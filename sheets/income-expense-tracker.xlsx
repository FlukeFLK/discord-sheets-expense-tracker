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Overview" sheetId="1" state="visible" r:id="rId1"/>
    <sheet xmlns:r="http://schemas.openxmlformats.org/officeDocument/2006/relationships" name="Monthly Overview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Setup" sheetId="4" state="visible" r:id="rId4"/>
  </sheets>
  <definedNames>
    <definedName name="_xlnm.Print_Area" localSheetId="0">'Dashboard Overview'!$A$1:$Q$126</definedName>
    <definedName name="_xlnm.Print_Area" localSheetId="1">'Monthly Overview'!$A$1:$Q$59</definedName>
    <definedName name="_xlnm._FilterDatabase" localSheetId="2" hidden="1">'Transaction'!$B$5:$G$5005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dd/mm/yyyy"/>
    <numFmt numFmtId="165" formatCode="#,##0.00;[Red]-#,##0.00;&quot;-&quot;"/>
    <numFmt numFmtId="166" formatCode="#,##0;[Red]-#,##0;&quot;-&quot;"/>
    <numFmt numFmtId="167" formatCode="0.0%;[Red]-0.0%;&quot;-&quot;"/>
    <numFmt numFmtId="168" formatCode="฿#,##0;[Red]-฿#,##0;฿0"/>
    <numFmt numFmtId="169" formatCode="&quot;เฉลี่ย/เดือน ฿&quot;#,##0"/>
    <numFmt numFmtId="170" formatCode="&quot;เฉลี่ย/เดือน ฿&quot;#,##0;&quot;เฉลี่ย/เดือน -฿&quot;#,##0;&quot;เฉลี่ย/เดือน ฿0&quot;"/>
    <numFmt numFmtId="171" formatCode="0.0%"/>
    <numFmt numFmtId="172" formatCode="0&quot; เดือน&quot;"/>
    <numFmt numFmtId="173" formatCode="+#,##0;[Red]-#,##0;&quot;-&quot;"/>
    <numFmt numFmtId="174" formatCode="▲ 0.0%;▼ 0.0%;0.0%"/>
    <numFmt numFmtId="175" formatCode="0&quot; รายการ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475569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475569"/>
      <sz val="9"/>
    </font>
    <font>
      <name val="Arial"/>
      <b val="1"/>
      <color rgb="00FFFFFF"/>
      <sz val="10"/>
    </font>
    <font>
      <name val="Arial"/>
      <color rgb="00475569"/>
      <sz val="9"/>
    </font>
    <font>
      <name val="Arial"/>
      <b val="1"/>
      <color rgb="001E293B"/>
      <sz val="11"/>
    </font>
    <font>
      <name val="Arial"/>
      <b val="1"/>
      <color rgb="001E293B"/>
      <sz val="10"/>
    </font>
    <font>
      <name val="Arial"/>
      <b val="1"/>
      <color rgb="001E293B"/>
      <sz val="14"/>
    </font>
    <font>
      <name val="Arial"/>
      <b val="1"/>
      <color rgb="001E293B"/>
      <sz val="12"/>
    </font>
    <font>
      <name val="Arial"/>
      <b val="1"/>
      <color rgb="003B2E8A"/>
      <sz val="10"/>
    </font>
    <font>
      <name val="Arial"/>
      <i val="1"/>
      <color rgb="0094A3B8"/>
      <sz val="8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0E7A55"/>
      <sz val="9"/>
    </font>
    <font>
      <name val="Arial"/>
      <b val="1"/>
      <color rgb="000E7A55"/>
      <sz val="10"/>
    </font>
    <font>
      <name val="Arial"/>
      <b val="1"/>
      <color rgb="00B4461C"/>
      <sz val="9"/>
    </font>
    <font>
      <name val="Arial"/>
      <b val="1"/>
      <color rgb="00B4461C"/>
      <sz val="10"/>
    </font>
    <font>
      <name val="Arial"/>
      <b val="1"/>
      <color rgb="001C5CAB"/>
      <sz val="9"/>
    </font>
    <font>
      <name val="Arial"/>
      <b val="1"/>
      <color rgb="001C5CAB"/>
      <sz val="10"/>
    </font>
    <font>
      <name val="Arial"/>
      <i val="1"/>
      <color rgb="00475569"/>
      <sz val="9"/>
    </font>
    <font>
      <name val="Arial"/>
      <color rgb="001BAF7A"/>
      <sz val="7"/>
    </font>
    <font>
      <name val="Arial"/>
      <color rgb="00EB6834"/>
      <sz val="7"/>
    </font>
    <font>
      <name val="Arial"/>
      <color rgb="002A78D6"/>
      <sz val="7"/>
    </font>
    <font>
      <name val="Arial"/>
      <b val="1"/>
      <color rgb="001E293B"/>
      <sz val="13"/>
    </font>
  </fonts>
  <fills count="2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E7A55"/>
        <bgColor rgb="000E7A55"/>
      </patternFill>
    </fill>
    <fill>
      <patternFill patternType="solid">
        <fgColor rgb="00FEF9C3"/>
        <bgColor rgb="00FEF9C3"/>
      </patternFill>
    </fill>
    <fill>
      <patternFill patternType="solid">
        <fgColor rgb="00B4461C"/>
        <bgColor rgb="00B4461C"/>
      </patternFill>
    </fill>
    <fill>
      <patternFill patternType="solid">
        <fgColor rgb="001C5CAB"/>
        <bgColor rgb="001C5CAB"/>
      </patternFill>
    </fill>
    <fill>
      <patternFill patternType="solid">
        <fgColor rgb="0064748B"/>
        <bgColor rgb="0064748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3B2E8A"/>
        <bgColor rgb="003B2E8A"/>
      </patternFill>
    </fill>
    <fill>
      <patternFill patternType="solid">
        <fgColor rgb="00E2E8F0"/>
        <bgColor rgb="00E2E8F0"/>
      </patternFill>
    </fill>
    <fill>
      <patternFill patternType="solid">
        <fgColor rgb="00E8F7F1"/>
        <bgColor rgb="00E8F7F1"/>
      </patternFill>
    </fill>
    <fill>
      <patternFill patternType="solid">
        <fgColor rgb="00FDEEE7"/>
        <bgColor rgb="00FDEEE7"/>
      </patternFill>
    </fill>
    <fill>
      <patternFill patternType="solid">
        <fgColor rgb="00EAF2FC"/>
        <bgColor rgb="00EAF2FC"/>
      </patternFill>
    </fill>
    <fill>
      <patternFill patternType="solid">
        <fgColor rgb="00EEECF8"/>
        <bgColor rgb="00EEECF8"/>
      </patternFill>
    </fill>
    <fill>
      <patternFill patternType="solid">
        <fgColor rgb="008A5D00"/>
        <bgColor rgb="008A5D00"/>
      </patternFill>
    </fill>
    <fill>
      <patternFill patternType="solid">
        <fgColor rgb="00FDF5E1"/>
        <bgColor rgb="00FDF5E1"/>
      </patternFill>
    </fill>
    <fill>
      <patternFill patternType="solid">
        <fgColor rgb="00475569"/>
        <bgColor rgb="00475569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E2E8F0"/>
      </bottom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bottom style="medium">
        <color rgb="001E293B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right" vertical="center"/>
    </xf>
    <xf numFmtId="1" fontId="10" fillId="4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left" vertical="center" indent="1"/>
    </xf>
    <xf numFmtId="0" fontId="6" fillId="5" borderId="5" applyAlignment="1" pivotButton="0" quotePrefix="0" xfId="0">
      <alignment horizontal="left" vertical="center" indent="1"/>
    </xf>
    <xf numFmtId="0" fontId="6" fillId="6" borderId="5" applyAlignment="1" pivotButton="0" quotePrefix="0" xfId="0">
      <alignment horizontal="left" vertical="center" indent="1"/>
    </xf>
    <xf numFmtId="0" fontId="6" fillId="11" borderId="5" applyAlignment="1" pivotButton="0" quotePrefix="0" xfId="0">
      <alignment horizontal="left" vertical="center" indent="1"/>
    </xf>
    <xf numFmtId="0" fontId="6" fillId="17" borderId="5" applyAlignment="1" pivotButton="0" quotePrefix="0" xfId="0">
      <alignment horizontal="left" vertical="center" indent="1"/>
    </xf>
    <xf numFmtId="0" fontId="6" fillId="19" borderId="5" applyAlignment="1" pivotButton="0" quotePrefix="0" xfId="0">
      <alignment horizontal="left" vertical="center" indent="1"/>
    </xf>
    <xf numFmtId="168" fontId="14" fillId="13" borderId="5" applyAlignment="1" pivotButton="0" quotePrefix="0" xfId="0">
      <alignment horizontal="left" vertical="center" indent="1"/>
    </xf>
    <xf numFmtId="168" fontId="14" fillId="14" borderId="5" applyAlignment="1" pivotButton="0" quotePrefix="0" xfId="0">
      <alignment horizontal="left" vertical="center" indent="1"/>
    </xf>
    <xf numFmtId="168" fontId="14" fillId="15" borderId="5" applyAlignment="1" pivotButton="0" quotePrefix="0" xfId="0">
      <alignment horizontal="left" vertical="center" indent="1"/>
    </xf>
    <xf numFmtId="168" fontId="14" fillId="16" borderId="5" applyAlignment="1" pivotButton="0" quotePrefix="0" xfId="0">
      <alignment horizontal="left" vertical="center" indent="1"/>
    </xf>
    <xf numFmtId="171" fontId="14" fillId="18" borderId="5" applyAlignment="1" pivotButton="0" quotePrefix="0" xfId="0">
      <alignment horizontal="left" vertical="center" indent="1"/>
    </xf>
    <xf numFmtId="172" fontId="14" fillId="8" borderId="5" applyAlignment="1" pivotButton="0" quotePrefix="0" xfId="0">
      <alignment horizontal="left" vertical="center" indent="1"/>
    </xf>
    <xf numFmtId="169" fontId="7" fillId="13" borderId="5" applyAlignment="1" pivotButton="0" quotePrefix="0" xfId="0">
      <alignment horizontal="left" vertical="center" indent="1"/>
    </xf>
    <xf numFmtId="169" fontId="7" fillId="14" borderId="5" applyAlignment="1" pivotButton="0" quotePrefix="0" xfId="0">
      <alignment horizontal="left" vertical="center" indent="1"/>
    </xf>
    <xf numFmtId="169" fontId="7" fillId="15" borderId="5" applyAlignment="1" pivotButton="0" quotePrefix="0" xfId="0">
      <alignment horizontal="left" vertical="center" indent="1"/>
    </xf>
    <xf numFmtId="170" fontId="7" fillId="16" borderId="5" applyAlignment="1" pivotButton="0" quotePrefix="0" xfId="0">
      <alignment horizontal="left" vertical="center" indent="1"/>
    </xf>
    <xf numFmtId="0" fontId="7" fillId="18" borderId="5" applyAlignment="1" pivotButton="0" quotePrefix="0" xfId="0">
      <alignment horizontal="left" vertical="center" indent="1"/>
    </xf>
    <xf numFmtId="0" fontId="7" fillId="8" borderId="5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indent="1"/>
    </xf>
    <xf numFmtId="166" fontId="12" fillId="0" borderId="1" applyAlignment="1" pivotButton="0" quotePrefix="0" xfId="0">
      <alignment horizontal="right" vertical="center" indent="1"/>
    </xf>
    <xf numFmtId="167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 indent="1"/>
    </xf>
    <xf numFmtId="0" fontId="6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right" vertical="center" indent="1"/>
    </xf>
    <xf numFmtId="167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9" fillId="12" borderId="1" applyAlignment="1" pivotButton="0" quotePrefix="0" xfId="0">
      <alignment horizontal="center" vertical="center"/>
    </xf>
    <xf numFmtId="166" fontId="9" fillId="12" borderId="1" applyAlignment="1" pivotButton="0" quotePrefix="0" xfId="0">
      <alignment horizontal="right" vertical="center" indent="1"/>
    </xf>
    <xf numFmtId="167" fontId="9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3" fillId="0" borderId="0" pivotButton="0" quotePrefix="0" xfId="0"/>
    <xf numFmtId="0" fontId="5" fillId="0" borderId="0" pivotButton="0" quotePrefix="0" xfId="0"/>
    <xf numFmtId="0" fontId="5" fillId="12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166" fontId="7" fillId="8" borderId="1" applyAlignment="1" pivotButton="0" quotePrefix="0" xfId="0">
      <alignment horizontal="right" vertical="center" indent="1"/>
    </xf>
    <xf numFmtId="0" fontId="3" fillId="3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17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right" vertical="center" indent="1"/>
    </xf>
    <xf numFmtId="171" fontId="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1"/>
    </xf>
    <xf numFmtId="0" fontId="22" fillId="0" borderId="1" applyAlignment="1" pivotButton="0" quotePrefix="0" xfId="0">
      <alignment horizontal="left" vertical="center" indent="1"/>
    </xf>
    <xf numFmtId="166" fontId="7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17" fillId="13" borderId="1" applyAlignment="1" pivotButton="0" quotePrefix="0" xfId="0">
      <alignment horizontal="left" vertical="center" indent="1"/>
    </xf>
    <xf numFmtId="166" fontId="17" fillId="13" borderId="1" applyAlignment="1" pivotButton="0" quotePrefix="0" xfId="0">
      <alignment horizontal="right" vertical="center" indent="1"/>
    </xf>
    <xf numFmtId="9" fontId="1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9" fillId="14" borderId="1" applyAlignment="1" pivotButton="0" quotePrefix="0" xfId="0">
      <alignment horizontal="left" vertical="center" indent="1"/>
    </xf>
    <xf numFmtId="166" fontId="19" fillId="14" borderId="1" applyAlignment="1" pivotButton="0" quotePrefix="0" xfId="0">
      <alignment horizontal="right" vertical="center" indent="1"/>
    </xf>
    <xf numFmtId="9" fontId="18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1" fillId="15" borderId="1" applyAlignment="1" pivotButton="0" quotePrefix="0" xfId="0">
      <alignment horizontal="left" vertical="center" indent="1"/>
    </xf>
    <xf numFmtId="166" fontId="21" fillId="15" borderId="1" applyAlignment="1" pivotButton="0" quotePrefix="0" xfId="0">
      <alignment horizontal="right" vertical="center" indent="1"/>
    </xf>
    <xf numFmtId="9" fontId="20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22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166" fontId="15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166" fontId="17" fillId="1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" fontId="18" fillId="0" borderId="1" applyAlignment="1" pivotButton="0" quotePrefix="0" xfId="0">
      <alignment horizontal="center" vertical="center"/>
    </xf>
    <xf numFmtId="166" fontId="19" fillId="1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" fontId="20" fillId="0" borderId="1" applyAlignment="1" pivotButton="0" quotePrefix="0" xfId="0">
      <alignment horizontal="center" vertical="center"/>
    </xf>
    <xf numFmtId="166" fontId="21" fillId="15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166" fontId="12" fillId="16" borderId="1" applyAlignment="1" pivotButton="0" quotePrefix="0" xfId="0">
      <alignment horizontal="center" vertical="center"/>
    </xf>
    <xf numFmtId="166" fontId="12" fillId="16" borderId="1" applyAlignment="1" pivotButton="0" quotePrefix="0" xfId="0">
      <alignment horizontal="right" vertical="center" indent="1"/>
    </xf>
    <xf numFmtId="0" fontId="0" fillId="16" borderId="1" pivotButton="0" quotePrefix="0" xfId="0"/>
    <xf numFmtId="1" fontId="26" fillId="4" borderId="3" applyAlignment="1" pivotButton="0" quotePrefix="0" xfId="0">
      <alignment horizontal="center" vertical="center"/>
    </xf>
    <xf numFmtId="0" fontId="26" fillId="4" borderId="3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75" fontId="14" fillId="8" borderId="5" applyAlignment="1" pivotButton="0" quotePrefix="0" xfId="0">
      <alignment horizontal="left" vertical="center" indent="1"/>
    </xf>
    <xf numFmtId="0" fontId="7" fillId="13" borderId="5" applyAlignment="1" pivotButton="0" quotePrefix="0" xfId="0">
      <alignment horizontal="left" vertical="center" indent="1"/>
    </xf>
    <xf numFmtId="0" fontId="7" fillId="14" borderId="5" applyAlignment="1" pivotButton="0" quotePrefix="0" xfId="0">
      <alignment horizontal="left" vertical="center" indent="1"/>
    </xf>
    <xf numFmtId="0" fontId="7" fillId="15" borderId="5" applyAlignment="1" pivotButton="0" quotePrefix="0" xfId="0">
      <alignment horizontal="left" vertical="center" indent="1"/>
    </xf>
    <xf numFmtId="0" fontId="7" fillId="16" borderId="5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 wrapText="1"/>
    </xf>
    <xf numFmtId="173" fontId="2" fillId="0" borderId="1" applyAlignment="1" pivotButton="0" quotePrefix="0" xfId="0">
      <alignment horizontal="right" vertical="center" indent="1"/>
    </xf>
    <xf numFmtId="174" fontId="7" fillId="0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168" fontId="9" fillId="0" borderId="1" applyAlignment="1" pivotButton="0" quotePrefix="0" xfId="0">
      <alignment horizontal="left" vertical="center" indent="1"/>
    </xf>
    <xf numFmtId="166" fontId="5" fillId="12" borderId="1" applyAlignment="1" pivotButton="0" quotePrefix="0" xfId="0">
      <alignment horizontal="right" vertical="center" indent="1"/>
    </xf>
    <xf numFmtId="0" fontId="2" fillId="0" borderId="0" applyAlignment="1" pivotButton="0" quotePrefix="0" xfId="0">
      <alignment horizontal="left" vertical="center" wrapText="1" indent="1"/>
    </xf>
    <xf numFmtId="0" fontId="9" fillId="9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9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9"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15803D"/>
      </font>
      <fill>
        <patternFill patternType="solid">
          <fgColor rgb="00DCFCE7"/>
          <bgColor rgb="00DCFCE7"/>
        </patternFill>
      </fill>
    </dxf>
    <dxf>
      <font>
        <b val="1"/>
        <color rgb="000E7A55"/>
      </font>
      <fill>
        <patternFill patternType="solid">
          <fgColor rgb="00E8F7F1"/>
          <bgColor rgb="00E8F7F1"/>
        </patternFill>
      </fill>
    </dxf>
    <dxf>
      <font>
        <b val="1"/>
        <color rgb="00B4461C"/>
      </font>
      <fill>
        <patternFill patternType="solid">
          <fgColor rgb="00FDEEE7"/>
          <bgColor rgb="00FDEEE7"/>
        </patternFill>
      </fill>
    </dxf>
    <dxf>
      <font>
        <b val="1"/>
        <color rgb="001C5CAB"/>
      </font>
      <fill>
        <patternFill patternType="solid">
          <fgColor rgb="00EAF2FC"/>
          <bgColor rgb="00EAF2FC"/>
        </patternFill>
      </fill>
    </dxf>
    <dxf>
      <font>
        <color rgb="000E7A55"/>
      </font>
    </dxf>
    <dxf>
      <font>
        <color rgb="00B4461C"/>
      </font>
    </dxf>
    <dxf>
      <font>
        <color rgb="001C5CAB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รายรับ · รายจ่าย · เงินออม รายเดือน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 Overview'!C10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'Dashboard Overview'!$B$11:$B$22</f>
            </numRef>
          </cat>
          <val>
            <numRef>
              <f>'Dashboard Overview'!$C$11:$C$22</f>
            </numRef>
          </val>
        </ser>
        <ser>
          <idx val="1"/>
          <order val="1"/>
          <tx>
            <strRef>
              <f>'Dashboard Overview'!D10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'Dashboard Overview'!$B$11:$B$22</f>
            </numRef>
          </cat>
          <val>
            <numRef>
              <f>'Dashboard Overview'!$D$11:$D$22</f>
            </numRef>
          </val>
        </ser>
        <ser>
          <idx val="2"/>
          <order val="2"/>
          <tx>
            <strRef>
              <f>'Dashboard Overview'!E10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'Dashboard Overview'!$B$11:$B$22</f>
            </numRef>
          </cat>
          <val>
            <numRef>
              <f>'Dashboard Overview'!$E$11:$E$22</f>
            </numRef>
          </val>
        </ser>
        <gapWidth val="7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  <a:cs typeface="Tahoma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  <a:cs typeface="Tahom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EF2F6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  <a:cs typeface="Tahoma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  <a:cs typeface="Tahoma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90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สัดส่วนรายรับตามหมวดหมู่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'Dashboard Overview'!$S$29:$S$36</f>
            </numRef>
          </cat>
          <val>
            <numRef>
              <f>'Dashboard Overview'!$T$29:$T$36</f>
            </numRef>
          </val>
        </ser>
        <dLbls>
          <numFmt formatCode="[&gt;=0.04]0%;&quot;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1">
                <a:solidFill>
                  <a:srgbClr val="1E293B"/>
                </a:solidFill>
                <a:latin typeface="Arial"/>
                <a:cs typeface="Tahoma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85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สัดส่วนรายจ่ายตามหมวดหมู่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'Dashboard Overview'!$V$29:$V$36</f>
            </numRef>
          </cat>
          <val>
            <numRef>
              <f>'Dashboard Overview'!$W$29:$W$36</f>
            </numRef>
          </val>
        </ser>
        <dLbls>
          <numFmt formatCode="[&gt;=0.04]0%;&quot;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1">
                <a:solidFill>
                  <a:srgbClr val="1E293B"/>
                </a:solidFill>
                <a:latin typeface="Arial"/>
                <a:cs typeface="Tahoma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85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สัดส่วนเงินออมตามหมวดหมู่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'Dashboard Overview'!$Y$29:$Y$36</f>
            </numRef>
          </cat>
          <val>
            <numRef>
              <f>'Dashboard Overview'!$Z$29:$Z$36</f>
            </numRef>
          </val>
        </ser>
        <dLbls>
          <numFmt formatCode="[&gt;=0.04]0%;&quot;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1">
                <a:solidFill>
                  <a:srgbClr val="1E293B"/>
                </a:solidFill>
                <a:latin typeface="Arial"/>
                <a:cs typeface="Tahoma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85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เดือนนี้ vs เดือนก่อน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'Monthly Overview'!C10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'Monthly Overview'!$B$11:$B$14</f>
            </numRef>
          </cat>
          <val>
            <numRef>
              <f>'Monthly Overview'!$C$11:$C$14</f>
            </numRef>
          </val>
        </ser>
        <ser>
          <idx val="1"/>
          <order val="1"/>
          <tx>
            <strRef>
              <f>'Monthly Overview'!D10</f>
            </strRef>
          </tx>
          <spPr>
            <a:solidFill xmlns:a="http://schemas.openxmlformats.org/drawingml/2006/main">
              <a:srgbClr val="B8C4D6"/>
            </a:solidFill>
            <a:ln xmlns:a="http://schemas.openxmlformats.org/drawingml/2006/main">
              <a:solidFill>
                <a:srgbClr val="B8C4D6"/>
              </a:solidFill>
              <a:prstDash val="solid"/>
            </a:ln>
          </spPr>
          <cat>
            <numRef>
              <f>'Monthly Overview'!$B$11:$B$14</f>
            </numRef>
          </cat>
          <val>
            <numRef>
              <f>'Monthly Overview'!$D$11:$D$14</f>
            </numRef>
          </val>
        </ser>
        <gapWidth val="7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75569"/>
                </a:solidFill>
                <a:latin typeface="Arial"/>
                <a:cs typeface="Tahoma"/>
              </a:defRPr>
            </a:pPr>
            <a:r>
              <a:t/>
            </a:r>
            <a:endParaRPr sz="900" b="0">
              <a:solidFill>
                <a:srgbClr val="475569"/>
              </a:solidFill>
              <a:latin typeface="Arial"/>
              <a:cs typeface="Tahom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EF2F6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  <a:cs typeface="Tahoma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  <a:cs typeface="Tahoma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90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รายรับเดือนนี้ถูกใช้ไปอย่างไร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'Monthly Overview'!$B$17:$B$19</f>
            </numRef>
          </cat>
          <val>
            <numRef>
              <f>'Monthly Overview'!$C$17:$C$19</f>
            </numRef>
          </val>
        </ser>
        <dLbls>
          <numFmt formatCode="[&gt;=0.04]0%;&quot;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1">
                <a:solidFill>
                  <a:srgbClr val="1E293B"/>
                </a:solidFill>
                <a:latin typeface="Arial"/>
                <a:cs typeface="Tahoma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475569"/>
              </a:solidFill>
              <a:latin typeface="Arial"/>
              <a:cs typeface="Tahoma"/>
            </a:defRPr>
          </a:pPr>
          <a:r>
            <a:t/>
          </a:r>
          <a:endParaRPr sz="850" b="0">
            <a:solidFill>
              <a:srgbClr val="475569"/>
            </a:solidFill>
            <a:latin typeface="Arial"/>
            <a:cs typeface="Tahom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สัดส่วนรายรับเดือนนี้</a:t>
            </a:r>
          </a:p>
        </rich>
      </tx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'Monthly Overview'!$S$41:$S$48</f>
            </numRef>
          </cat>
          <val>
            <numRef>
              <f>'Monthly Overview'!$T$41:$T$48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0">
                <a:solidFill>
                  <a:srgbClr val="1E293B"/>
                </a:solidFill>
                <a:latin typeface="Arial"/>
                <a:cs typeface="Tahoma"/>
              </a:endParaRPr>
            </a:p>
          </txPr>
          <dLblPos val="outEnd"/>
          <showLegendKey val="0"/>
          <showVal val="0"/>
          <showCatName val="1"/>
          <showSerName val="0"/>
          <showPercent val="1"/>
          <showLeaderLines val="1"/>
          <separator val="&#10;"/>
        </dLbls>
        <firstSliceAng val="0"/>
      </pieChart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สัดส่วนรายจ่ายเดือนนี้</a:t>
            </a:r>
          </a:p>
        </rich>
      </tx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'Monthly Overview'!$W$41:$W$48</f>
            </numRef>
          </cat>
          <val>
            <numRef>
              <f>'Monthly Overview'!$X$41:$X$48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0">
                <a:solidFill>
                  <a:srgbClr val="1E293B"/>
                </a:solidFill>
                <a:latin typeface="Arial"/>
                <a:cs typeface="Tahoma"/>
              </a:endParaRPr>
            </a:p>
          </txPr>
          <dLblPos val="outEnd"/>
          <showLegendKey val="0"/>
          <showVal val="0"/>
          <showCatName val="1"/>
          <showSerName val="0"/>
          <showPercent val="1"/>
          <showLeaderLines val="1"/>
          <separator val="&#10;"/>
        </dLbls>
        <firstSliceAng val="0"/>
      </pieChart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charts/chart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E293B"/>
                </a:solidFill>
                <a:latin typeface="Arial"/>
                <a:cs typeface="Tahoma"/>
              </a:defRPr>
            </a:pPr>
            <a:r>
              <a:rPr sz="1100" b="1">
                <a:solidFill>
                  <a:srgbClr val="1E293B"/>
                </a:solidFill>
                <a:latin typeface="Arial"/>
                <a:cs typeface="Tahoma"/>
              </a:rPr>
              <a:t>สัดส่วนเงินออมเดือนนี้</a:t>
            </a:r>
          </a:p>
        </rich>
      </tx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B6A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'Monthly Overview'!$AA$41:$AA$48</f>
            </numRef>
          </cat>
          <val>
            <numRef>
              <f>'Monthly Overview'!$AB$41:$AB$48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1E293B"/>
                  </a:solidFill>
                  <a:latin typeface="Arial"/>
                  <a:cs typeface="Tahoma"/>
                </a:defRPr>
              </a:pPr>
              <a:r>
                <a:t/>
              </a:r>
              <a:endParaRPr sz="800" b="0">
                <a:solidFill>
                  <a:srgbClr val="1E293B"/>
                </a:solidFill>
                <a:latin typeface="Arial"/>
                <a:cs typeface="Tahoma"/>
              </a:endParaRPr>
            </a:p>
          </txPr>
          <dLblPos val="outEnd"/>
          <showLegendKey val="0"/>
          <showVal val="0"/>
          <showCatName val="1"/>
          <showSerName val="0"/>
          <showPercent val="1"/>
          <showLeaderLines val="1"/>
          <separator val="&#10;"/>
        </dLbls>
        <firstSliceAng val="0"/>
      </pieChart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2E8F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/Relationships>
</file>

<file path=xl/drawings/drawing1.xml><?xml version="1.0" encoding="utf-8"?>
<wsDr xmlns="http://schemas.openxmlformats.org/drawingml/2006/spreadsheetDrawing">
  <twoCellAnchor>
    <from>
      <col>8</col>
      <colOff>47625</colOff>
      <row>8</row>
      <rowOff>47625</rowOff>
    </from>
    <to>
      <col>16</col>
      <colOff>695325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47625</colOff>
      <row>27</row>
      <rowOff>47625</rowOff>
    </from>
    <to>
      <col>4</col>
      <colOff>695325</colOff>
      <row>43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47625</colOff>
      <row>27</row>
      <rowOff>47625</rowOff>
    </from>
    <to>
      <col>10</col>
      <colOff>695325</colOff>
      <row>43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47625</colOff>
      <row>27</row>
      <rowOff>47625</rowOff>
    </from>
    <to>
      <col>16</col>
      <colOff>695325</colOff>
      <row>43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47625</colOff>
      <row>9</row>
      <rowOff>47625</rowOff>
    </from>
    <to>
      <col>10</col>
      <colOff>695325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47625</colOff>
      <row>9</row>
      <rowOff>47625</rowOff>
    </from>
    <to>
      <col>16</col>
      <colOff>695325</colOff>
      <row>26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28</row>
      <rowOff>47625</rowOff>
    </from>
    <to>
      <col>4</col>
      <colOff>695325</colOff>
      <row>44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47625</colOff>
      <row>28</row>
      <rowOff>47625</rowOff>
    </from>
    <to>
      <col>10</col>
      <colOff>695325</colOff>
      <row>44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12</col>
      <colOff>47625</colOff>
      <row>28</row>
      <rowOff>47625</rowOff>
    </from>
    <to>
      <col>16</col>
      <colOff>695325</colOff>
      <row>44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B2:Z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8" customHeight="1"/>
  <cols>
    <col width="2" customWidth="1" min="1" max="1"/>
    <col width="26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4" customWidth="1" min="18" max="18"/>
    <col width="20" customWidth="1" min="19" max="19"/>
    <col width="11" customWidth="1" min="20" max="20"/>
    <col width="3" customWidth="1" min="21" max="21"/>
    <col width="20" customWidth="1" min="22" max="22"/>
    <col width="11" customWidth="1" min="23" max="23"/>
    <col width="3" customWidth="1" min="24" max="24"/>
    <col width="20" customWidth="1" min="25" max="25"/>
    <col width="11" customWidth="1" min="26" max="26"/>
  </cols>
  <sheetData>
    <row r="1" ht="8" customHeight="1"/>
    <row r="2" ht="38" customHeight="1">
      <c r="B2" s="1" t="inlineStr">
        <is>
          <t>📊 Dashboard Overview — ภาพรวมการเงินรายปี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B3" s="2">
        <f>"ข้อมูลปี ค.ศ. "&amp;$P$3&amp;" (พ.ศ. "&amp;($P$3+543)&amp;")   ·   ระบบสรุปอัตโนมัติจากหน้า Transaction"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inlineStr">
        <is>
          <t>เลือกปี (ค.ศ.) ▸</t>
        </is>
      </c>
      <c r="N3" s="3" t="n"/>
      <c r="O3" s="3" t="n"/>
      <c r="P3" s="4" t="n">
        <v>2026</v>
      </c>
      <c r="Q3" s="4" t="n"/>
    </row>
    <row r="4" ht="8" customHeight="1"/>
    <row r="5" ht="24" customHeight="1">
      <c r="B5" s="5" t="inlineStr">
        <is>
          <t>💰 รายรับรวม</t>
        </is>
      </c>
      <c r="C5" s="5" t="n"/>
      <c r="D5" s="6" t="inlineStr">
        <is>
          <t>💸 รายจ่ายรวม</t>
        </is>
      </c>
      <c r="E5" s="6" t="n"/>
      <c r="F5" s="6" t="n"/>
      <c r="G5" s="7" t="inlineStr">
        <is>
          <t>🏦 เงินออมรวม</t>
        </is>
      </c>
      <c r="H5" s="7" t="n"/>
      <c r="I5" s="7" t="n"/>
      <c r="J5" s="8" t="inlineStr">
        <is>
          <t>💵 คงเหลือ (Cash Flow)</t>
        </is>
      </c>
      <c r="K5" s="8" t="n"/>
      <c r="L5" s="8" t="n"/>
      <c r="M5" s="9" t="inlineStr">
        <is>
          <t>📈 อัตราการออม</t>
        </is>
      </c>
      <c r="N5" s="9" t="n"/>
      <c r="O5" s="9" t="n"/>
      <c r="P5" s="10" t="inlineStr">
        <is>
          <t>🗓️ เดือนที่มีข้อมูล</t>
        </is>
      </c>
      <c r="Q5" s="10" t="n"/>
    </row>
    <row r="6" ht="38" customHeight="1">
      <c r="B6" s="11">
        <f>$C$23</f>
        <v/>
      </c>
      <c r="C6" s="11" t="n"/>
      <c r="D6" s="12">
        <f>$D$23</f>
        <v/>
      </c>
      <c r="E6" s="12" t="n"/>
      <c r="F6" s="12" t="n"/>
      <c r="G6" s="13">
        <f>$E$23</f>
        <v/>
      </c>
      <c r="H6" s="13" t="n"/>
      <c r="I6" s="13" t="n"/>
      <c r="J6" s="14">
        <f>$F$23</f>
        <v/>
      </c>
      <c r="K6" s="14" t="n"/>
      <c r="L6" s="14" t="n"/>
      <c r="M6" s="15">
        <f>IF($C$23=0,0,$E$23/$C$23)</f>
        <v/>
      </c>
      <c r="N6" s="15" t="n"/>
      <c r="O6" s="15" t="n"/>
      <c r="P6" s="16">
        <f>SUMPRODUCT(--(($C$11:$C$22+$D$11:$D$22+$E$11:$E$22)&gt;0))</f>
        <v/>
      </c>
      <c r="Q6" s="16" t="n"/>
    </row>
    <row r="7" ht="22" customHeight="1">
      <c r="B7" s="17">
        <f>$C$24</f>
        <v/>
      </c>
      <c r="C7" s="17" t="n"/>
      <c r="D7" s="18">
        <f>$D$24</f>
        <v/>
      </c>
      <c r="E7" s="18" t="n"/>
      <c r="F7" s="18" t="n"/>
      <c r="G7" s="19">
        <f>$E$24</f>
        <v/>
      </c>
      <c r="H7" s="19" t="n"/>
      <c r="I7" s="19" t="n"/>
      <c r="J7" s="20">
        <f>$F$24</f>
        <v/>
      </c>
      <c r="K7" s="20" t="n"/>
      <c r="L7" s="20" t="n"/>
      <c r="M7" s="21">
        <f>IF($C$23=0,"ยังไม่มีรายรับในปีนี้","ใช้จ่าย "&amp;TEXT($D$23/$C$23,"0%")&amp;" ของรายรับ")</f>
        <v/>
      </c>
      <c r="N7" s="21" t="n"/>
      <c r="O7" s="21" t="n"/>
      <c r="P7" s="22">
        <f>TEXT(COUNTIFS(Transaction!$B:$B,"&gt;="&amp;DATE($P$3,1,1),Transaction!$B:$B,"&lt;"&amp;DATE($P$3+1,1,1)),"#,##0")&amp;" รายการ"</f>
        <v/>
      </c>
      <c r="Q7" s="22" t="n"/>
    </row>
    <row r="8" ht="14" customHeight="1"/>
    <row r="9" ht="26" customHeight="1">
      <c r="B9" s="23" t="inlineStr">
        <is>
          <t>📅 สรุปรายเดือน</t>
        </is>
      </c>
      <c r="C9" s="23" t="n"/>
      <c r="D9" s="23" t="n"/>
      <c r="E9" s="23" t="n"/>
      <c r="F9" s="23" t="n"/>
      <c r="G9" s="23" t="n"/>
      <c r="H9" s="23" t="n"/>
    </row>
    <row r="10" ht="24" customHeight="1">
      <c r="B10" s="24" t="inlineStr">
        <is>
          <t>เดือน</t>
        </is>
      </c>
      <c r="C10" s="25" t="inlineStr">
        <is>
          <t>รายรับ</t>
        </is>
      </c>
      <c r="D10" s="26" t="inlineStr">
        <is>
          <t>รายจ่าย</t>
        </is>
      </c>
      <c r="E10" s="27" t="inlineStr">
        <is>
          <t>เงินออม</t>
        </is>
      </c>
      <c r="F10" s="28" t="inlineStr">
        <is>
          <t>คงเหลือ</t>
        </is>
      </c>
      <c r="G10" s="24" t="inlineStr">
        <is>
          <t>อัตราออม</t>
        </is>
      </c>
      <c r="H10" s="24" t="inlineStr">
        <is>
          <t>คงเหลือสะสม</t>
        </is>
      </c>
    </row>
    <row r="11">
      <c r="B11" s="29" t="inlineStr">
        <is>
          <t>ม.ค.</t>
        </is>
      </c>
      <c r="C11" s="30">
        <f>SUMIFS(Transaction!$E:$E,Transaction!$C:$C,"รายรับ",Transaction!$B:$B,"&gt;="&amp;DATE($P$3,MATCH($B11,Setup!$J$6:$J$17,0),1),Transaction!$B:$B,"&lt;"&amp;DATE($P$3,MATCH($B11,Setup!$J$6:$J$17,0)+1,1))</f>
        <v/>
      </c>
      <c r="D11" s="30">
        <f>SUMIFS(Transaction!$E:$E,Transaction!$C:$C,"รายจ่าย",Transaction!$B:$B,"&gt;="&amp;DATE($P$3,MATCH($B11,Setup!$J$6:$J$17,0),1),Transaction!$B:$B,"&lt;"&amp;DATE($P$3,MATCH($B11,Setup!$J$6:$J$17,0)+1,1))</f>
        <v/>
      </c>
      <c r="E11" s="30">
        <f>SUMIFS(Transaction!$E:$E,Transaction!$C:$C,"เงินออม",Transaction!$B:$B,"&gt;="&amp;DATE($P$3,MATCH($B11,Setup!$J$6:$J$17,0),1),Transaction!$B:$B,"&lt;"&amp;DATE($P$3,MATCH($B11,Setup!$J$6:$J$17,0)+1,1))</f>
        <v/>
      </c>
      <c r="F11" s="31">
        <f>C11-D11-E11</f>
        <v/>
      </c>
      <c r="G11" s="32">
        <f>IF(C11=0,"",E11/C11)</f>
        <v/>
      </c>
      <c r="H11" s="33">
        <f>IF(C11+D11+E11=0,"",SUM($F$11:F11))</f>
        <v/>
      </c>
    </row>
    <row r="12">
      <c r="B12" s="29" t="inlineStr">
        <is>
          <t>ก.พ.</t>
        </is>
      </c>
      <c r="C12" s="30">
        <f>SUMIFS(Transaction!$E:$E,Transaction!$C:$C,"รายรับ",Transaction!$B:$B,"&gt;="&amp;DATE($P$3,MATCH($B12,Setup!$J$6:$J$17,0),1),Transaction!$B:$B,"&lt;"&amp;DATE($P$3,MATCH($B12,Setup!$J$6:$J$17,0)+1,1))</f>
        <v/>
      </c>
      <c r="D12" s="30">
        <f>SUMIFS(Transaction!$E:$E,Transaction!$C:$C,"รายจ่าย",Transaction!$B:$B,"&gt;="&amp;DATE($P$3,MATCH($B12,Setup!$J$6:$J$17,0),1),Transaction!$B:$B,"&lt;"&amp;DATE($P$3,MATCH($B12,Setup!$J$6:$J$17,0)+1,1))</f>
        <v/>
      </c>
      <c r="E12" s="30">
        <f>SUMIFS(Transaction!$E:$E,Transaction!$C:$C,"เงินออม",Transaction!$B:$B,"&gt;="&amp;DATE($P$3,MATCH($B12,Setup!$J$6:$J$17,0),1),Transaction!$B:$B,"&lt;"&amp;DATE($P$3,MATCH($B12,Setup!$J$6:$J$17,0)+1,1))</f>
        <v/>
      </c>
      <c r="F12" s="31">
        <f>C12-D12-E12</f>
        <v/>
      </c>
      <c r="G12" s="32">
        <f>IF(C12=0,"",E12/C12)</f>
        <v/>
      </c>
      <c r="H12" s="33">
        <f>IF(C12+D12+E12=0,"",SUM($F$11:F12))</f>
        <v/>
      </c>
    </row>
    <row r="13">
      <c r="B13" s="29" t="inlineStr">
        <is>
          <t>มี.ค.</t>
        </is>
      </c>
      <c r="C13" s="30">
        <f>SUMIFS(Transaction!$E:$E,Transaction!$C:$C,"รายรับ",Transaction!$B:$B,"&gt;="&amp;DATE($P$3,MATCH($B13,Setup!$J$6:$J$17,0),1),Transaction!$B:$B,"&lt;"&amp;DATE($P$3,MATCH($B13,Setup!$J$6:$J$17,0)+1,1))</f>
        <v/>
      </c>
      <c r="D13" s="30">
        <f>SUMIFS(Transaction!$E:$E,Transaction!$C:$C,"รายจ่าย",Transaction!$B:$B,"&gt;="&amp;DATE($P$3,MATCH($B13,Setup!$J$6:$J$17,0),1),Transaction!$B:$B,"&lt;"&amp;DATE($P$3,MATCH($B13,Setup!$J$6:$J$17,0)+1,1))</f>
        <v/>
      </c>
      <c r="E13" s="30">
        <f>SUMIFS(Transaction!$E:$E,Transaction!$C:$C,"เงินออม",Transaction!$B:$B,"&gt;="&amp;DATE($P$3,MATCH($B13,Setup!$J$6:$J$17,0),1),Transaction!$B:$B,"&lt;"&amp;DATE($P$3,MATCH($B13,Setup!$J$6:$J$17,0)+1,1))</f>
        <v/>
      </c>
      <c r="F13" s="31">
        <f>C13-D13-E13</f>
        <v/>
      </c>
      <c r="G13" s="32">
        <f>IF(C13=0,"",E13/C13)</f>
        <v/>
      </c>
      <c r="H13" s="33">
        <f>IF(C13+D13+E13=0,"",SUM($F$11:F13))</f>
        <v/>
      </c>
    </row>
    <row r="14">
      <c r="B14" s="29" t="inlineStr">
        <is>
          <t>เม.ย.</t>
        </is>
      </c>
      <c r="C14" s="30">
        <f>SUMIFS(Transaction!$E:$E,Transaction!$C:$C,"รายรับ",Transaction!$B:$B,"&gt;="&amp;DATE($P$3,MATCH($B14,Setup!$J$6:$J$17,0),1),Transaction!$B:$B,"&lt;"&amp;DATE($P$3,MATCH($B14,Setup!$J$6:$J$17,0)+1,1))</f>
        <v/>
      </c>
      <c r="D14" s="30">
        <f>SUMIFS(Transaction!$E:$E,Transaction!$C:$C,"รายจ่าย",Transaction!$B:$B,"&gt;="&amp;DATE($P$3,MATCH($B14,Setup!$J$6:$J$17,0),1),Transaction!$B:$B,"&lt;"&amp;DATE($P$3,MATCH($B14,Setup!$J$6:$J$17,0)+1,1))</f>
        <v/>
      </c>
      <c r="E14" s="30">
        <f>SUMIFS(Transaction!$E:$E,Transaction!$C:$C,"เงินออม",Transaction!$B:$B,"&gt;="&amp;DATE($P$3,MATCH($B14,Setup!$J$6:$J$17,0),1),Transaction!$B:$B,"&lt;"&amp;DATE($P$3,MATCH($B14,Setup!$J$6:$J$17,0)+1,1))</f>
        <v/>
      </c>
      <c r="F14" s="31">
        <f>C14-D14-E14</f>
        <v/>
      </c>
      <c r="G14" s="32">
        <f>IF(C14=0,"",E14/C14)</f>
        <v/>
      </c>
      <c r="H14" s="33">
        <f>IF(C14+D14+E14=0,"",SUM($F$11:F14))</f>
        <v/>
      </c>
    </row>
    <row r="15">
      <c r="B15" s="29" t="inlineStr">
        <is>
          <t>พ.ค.</t>
        </is>
      </c>
      <c r="C15" s="30">
        <f>SUMIFS(Transaction!$E:$E,Transaction!$C:$C,"รายรับ",Transaction!$B:$B,"&gt;="&amp;DATE($P$3,MATCH($B15,Setup!$J$6:$J$17,0),1),Transaction!$B:$B,"&lt;"&amp;DATE($P$3,MATCH($B15,Setup!$J$6:$J$17,0)+1,1))</f>
        <v/>
      </c>
      <c r="D15" s="30">
        <f>SUMIFS(Transaction!$E:$E,Transaction!$C:$C,"รายจ่าย",Transaction!$B:$B,"&gt;="&amp;DATE($P$3,MATCH($B15,Setup!$J$6:$J$17,0),1),Transaction!$B:$B,"&lt;"&amp;DATE($P$3,MATCH($B15,Setup!$J$6:$J$17,0)+1,1))</f>
        <v/>
      </c>
      <c r="E15" s="30">
        <f>SUMIFS(Transaction!$E:$E,Transaction!$C:$C,"เงินออม",Transaction!$B:$B,"&gt;="&amp;DATE($P$3,MATCH($B15,Setup!$J$6:$J$17,0),1),Transaction!$B:$B,"&lt;"&amp;DATE($P$3,MATCH($B15,Setup!$J$6:$J$17,0)+1,1))</f>
        <v/>
      </c>
      <c r="F15" s="31">
        <f>C15-D15-E15</f>
        <v/>
      </c>
      <c r="G15" s="32">
        <f>IF(C15=0,"",E15/C15)</f>
        <v/>
      </c>
      <c r="H15" s="33">
        <f>IF(C15+D15+E15=0,"",SUM($F$11:F15))</f>
        <v/>
      </c>
    </row>
    <row r="16">
      <c r="B16" s="29" t="inlineStr">
        <is>
          <t>มิ.ย.</t>
        </is>
      </c>
      <c r="C16" s="30">
        <f>SUMIFS(Transaction!$E:$E,Transaction!$C:$C,"รายรับ",Transaction!$B:$B,"&gt;="&amp;DATE($P$3,MATCH($B16,Setup!$J$6:$J$17,0),1),Transaction!$B:$B,"&lt;"&amp;DATE($P$3,MATCH($B16,Setup!$J$6:$J$17,0)+1,1))</f>
        <v/>
      </c>
      <c r="D16" s="30">
        <f>SUMIFS(Transaction!$E:$E,Transaction!$C:$C,"รายจ่าย",Transaction!$B:$B,"&gt;="&amp;DATE($P$3,MATCH($B16,Setup!$J$6:$J$17,0),1),Transaction!$B:$B,"&lt;"&amp;DATE($P$3,MATCH($B16,Setup!$J$6:$J$17,0)+1,1))</f>
        <v/>
      </c>
      <c r="E16" s="30">
        <f>SUMIFS(Transaction!$E:$E,Transaction!$C:$C,"เงินออม",Transaction!$B:$B,"&gt;="&amp;DATE($P$3,MATCH($B16,Setup!$J$6:$J$17,0),1),Transaction!$B:$B,"&lt;"&amp;DATE($P$3,MATCH($B16,Setup!$J$6:$J$17,0)+1,1))</f>
        <v/>
      </c>
      <c r="F16" s="31">
        <f>C16-D16-E16</f>
        <v/>
      </c>
      <c r="G16" s="32">
        <f>IF(C16=0,"",E16/C16)</f>
        <v/>
      </c>
      <c r="H16" s="33">
        <f>IF(C16+D16+E16=0,"",SUM($F$11:F16))</f>
        <v/>
      </c>
    </row>
    <row r="17">
      <c r="B17" s="29" t="inlineStr">
        <is>
          <t>ก.ค.</t>
        </is>
      </c>
      <c r="C17" s="30">
        <f>SUMIFS(Transaction!$E:$E,Transaction!$C:$C,"รายรับ",Transaction!$B:$B,"&gt;="&amp;DATE($P$3,MATCH($B17,Setup!$J$6:$J$17,0),1),Transaction!$B:$B,"&lt;"&amp;DATE($P$3,MATCH($B17,Setup!$J$6:$J$17,0)+1,1))</f>
        <v/>
      </c>
      <c r="D17" s="30">
        <f>SUMIFS(Transaction!$E:$E,Transaction!$C:$C,"รายจ่าย",Transaction!$B:$B,"&gt;="&amp;DATE($P$3,MATCH($B17,Setup!$J$6:$J$17,0),1),Transaction!$B:$B,"&lt;"&amp;DATE($P$3,MATCH($B17,Setup!$J$6:$J$17,0)+1,1))</f>
        <v/>
      </c>
      <c r="E17" s="30">
        <f>SUMIFS(Transaction!$E:$E,Transaction!$C:$C,"เงินออม",Transaction!$B:$B,"&gt;="&amp;DATE($P$3,MATCH($B17,Setup!$J$6:$J$17,0),1),Transaction!$B:$B,"&lt;"&amp;DATE($P$3,MATCH($B17,Setup!$J$6:$J$17,0)+1,1))</f>
        <v/>
      </c>
      <c r="F17" s="31">
        <f>C17-D17-E17</f>
        <v/>
      </c>
      <c r="G17" s="32">
        <f>IF(C17=0,"",E17/C17)</f>
        <v/>
      </c>
      <c r="H17" s="33">
        <f>IF(C17+D17+E17=0,"",SUM($F$11:F17))</f>
        <v/>
      </c>
    </row>
    <row r="18">
      <c r="B18" s="29" t="inlineStr">
        <is>
          <t>ส.ค.</t>
        </is>
      </c>
      <c r="C18" s="30">
        <f>SUMIFS(Transaction!$E:$E,Transaction!$C:$C,"รายรับ",Transaction!$B:$B,"&gt;="&amp;DATE($P$3,MATCH($B18,Setup!$J$6:$J$17,0),1),Transaction!$B:$B,"&lt;"&amp;DATE($P$3,MATCH($B18,Setup!$J$6:$J$17,0)+1,1))</f>
        <v/>
      </c>
      <c r="D18" s="30">
        <f>SUMIFS(Transaction!$E:$E,Transaction!$C:$C,"รายจ่าย",Transaction!$B:$B,"&gt;="&amp;DATE($P$3,MATCH($B18,Setup!$J$6:$J$17,0),1),Transaction!$B:$B,"&lt;"&amp;DATE($P$3,MATCH($B18,Setup!$J$6:$J$17,0)+1,1))</f>
        <v/>
      </c>
      <c r="E18" s="30">
        <f>SUMIFS(Transaction!$E:$E,Transaction!$C:$C,"เงินออม",Transaction!$B:$B,"&gt;="&amp;DATE($P$3,MATCH($B18,Setup!$J$6:$J$17,0),1),Transaction!$B:$B,"&lt;"&amp;DATE($P$3,MATCH($B18,Setup!$J$6:$J$17,0)+1,1))</f>
        <v/>
      </c>
      <c r="F18" s="31">
        <f>C18-D18-E18</f>
        <v/>
      </c>
      <c r="G18" s="32">
        <f>IF(C18=0,"",E18/C18)</f>
        <v/>
      </c>
      <c r="H18" s="33">
        <f>IF(C18+D18+E18=0,"",SUM($F$11:F18))</f>
        <v/>
      </c>
    </row>
    <row r="19">
      <c r="B19" s="29" t="inlineStr">
        <is>
          <t>ก.ย.</t>
        </is>
      </c>
      <c r="C19" s="30">
        <f>SUMIFS(Transaction!$E:$E,Transaction!$C:$C,"รายรับ",Transaction!$B:$B,"&gt;="&amp;DATE($P$3,MATCH($B19,Setup!$J$6:$J$17,0),1),Transaction!$B:$B,"&lt;"&amp;DATE($P$3,MATCH($B19,Setup!$J$6:$J$17,0)+1,1))</f>
        <v/>
      </c>
      <c r="D19" s="30">
        <f>SUMIFS(Transaction!$E:$E,Transaction!$C:$C,"รายจ่าย",Transaction!$B:$B,"&gt;="&amp;DATE($P$3,MATCH($B19,Setup!$J$6:$J$17,0),1),Transaction!$B:$B,"&lt;"&amp;DATE($P$3,MATCH($B19,Setup!$J$6:$J$17,0)+1,1))</f>
        <v/>
      </c>
      <c r="E19" s="30">
        <f>SUMIFS(Transaction!$E:$E,Transaction!$C:$C,"เงินออม",Transaction!$B:$B,"&gt;="&amp;DATE($P$3,MATCH($B19,Setup!$J$6:$J$17,0),1),Transaction!$B:$B,"&lt;"&amp;DATE($P$3,MATCH($B19,Setup!$J$6:$J$17,0)+1,1))</f>
        <v/>
      </c>
      <c r="F19" s="31">
        <f>C19-D19-E19</f>
        <v/>
      </c>
      <c r="G19" s="32">
        <f>IF(C19=0,"",E19/C19)</f>
        <v/>
      </c>
      <c r="H19" s="33">
        <f>IF(C19+D19+E19=0,"",SUM($F$11:F19))</f>
        <v/>
      </c>
    </row>
    <row r="20">
      <c r="B20" s="29" t="inlineStr">
        <is>
          <t>ต.ค.</t>
        </is>
      </c>
      <c r="C20" s="30">
        <f>SUMIFS(Transaction!$E:$E,Transaction!$C:$C,"รายรับ",Transaction!$B:$B,"&gt;="&amp;DATE($P$3,MATCH($B20,Setup!$J$6:$J$17,0),1),Transaction!$B:$B,"&lt;"&amp;DATE($P$3,MATCH($B20,Setup!$J$6:$J$17,0)+1,1))</f>
        <v/>
      </c>
      <c r="D20" s="30">
        <f>SUMIFS(Transaction!$E:$E,Transaction!$C:$C,"รายจ่าย",Transaction!$B:$B,"&gt;="&amp;DATE($P$3,MATCH($B20,Setup!$J$6:$J$17,0),1),Transaction!$B:$B,"&lt;"&amp;DATE($P$3,MATCH($B20,Setup!$J$6:$J$17,0)+1,1))</f>
        <v/>
      </c>
      <c r="E20" s="30">
        <f>SUMIFS(Transaction!$E:$E,Transaction!$C:$C,"เงินออม",Transaction!$B:$B,"&gt;="&amp;DATE($P$3,MATCH($B20,Setup!$J$6:$J$17,0),1),Transaction!$B:$B,"&lt;"&amp;DATE($P$3,MATCH($B20,Setup!$J$6:$J$17,0)+1,1))</f>
        <v/>
      </c>
      <c r="F20" s="31">
        <f>C20-D20-E20</f>
        <v/>
      </c>
      <c r="G20" s="32">
        <f>IF(C20=0,"",E20/C20)</f>
        <v/>
      </c>
      <c r="H20" s="33">
        <f>IF(C20+D20+E20=0,"",SUM($F$11:F20))</f>
        <v/>
      </c>
    </row>
    <row r="21">
      <c r="B21" s="29" t="inlineStr">
        <is>
          <t>พ.ย.</t>
        </is>
      </c>
      <c r="C21" s="30">
        <f>SUMIFS(Transaction!$E:$E,Transaction!$C:$C,"รายรับ",Transaction!$B:$B,"&gt;="&amp;DATE($P$3,MATCH($B21,Setup!$J$6:$J$17,0),1),Transaction!$B:$B,"&lt;"&amp;DATE($P$3,MATCH($B21,Setup!$J$6:$J$17,0)+1,1))</f>
        <v/>
      </c>
      <c r="D21" s="30">
        <f>SUMIFS(Transaction!$E:$E,Transaction!$C:$C,"รายจ่าย",Transaction!$B:$B,"&gt;="&amp;DATE($P$3,MATCH($B21,Setup!$J$6:$J$17,0),1),Transaction!$B:$B,"&lt;"&amp;DATE($P$3,MATCH($B21,Setup!$J$6:$J$17,0)+1,1))</f>
        <v/>
      </c>
      <c r="E21" s="30">
        <f>SUMIFS(Transaction!$E:$E,Transaction!$C:$C,"เงินออม",Transaction!$B:$B,"&gt;="&amp;DATE($P$3,MATCH($B21,Setup!$J$6:$J$17,0),1),Transaction!$B:$B,"&lt;"&amp;DATE($P$3,MATCH($B21,Setup!$J$6:$J$17,0)+1,1))</f>
        <v/>
      </c>
      <c r="F21" s="31">
        <f>C21-D21-E21</f>
        <v/>
      </c>
      <c r="G21" s="32">
        <f>IF(C21=0,"",E21/C21)</f>
        <v/>
      </c>
      <c r="H21" s="33">
        <f>IF(C21+D21+E21=0,"",SUM($F$11:F21))</f>
        <v/>
      </c>
    </row>
    <row r="22">
      <c r="B22" s="29" t="inlineStr">
        <is>
          <t>ธ.ค.</t>
        </is>
      </c>
      <c r="C22" s="30">
        <f>SUMIFS(Transaction!$E:$E,Transaction!$C:$C,"รายรับ",Transaction!$B:$B,"&gt;="&amp;DATE($P$3,MATCH($B22,Setup!$J$6:$J$17,0),1),Transaction!$B:$B,"&lt;"&amp;DATE($P$3,MATCH($B22,Setup!$J$6:$J$17,0)+1,1))</f>
        <v/>
      </c>
      <c r="D22" s="30">
        <f>SUMIFS(Transaction!$E:$E,Transaction!$C:$C,"รายจ่าย",Transaction!$B:$B,"&gt;="&amp;DATE($P$3,MATCH($B22,Setup!$J$6:$J$17,0),1),Transaction!$B:$B,"&lt;"&amp;DATE($P$3,MATCH($B22,Setup!$J$6:$J$17,0)+1,1))</f>
        <v/>
      </c>
      <c r="E22" s="30">
        <f>SUMIFS(Transaction!$E:$E,Transaction!$C:$C,"เงินออม",Transaction!$B:$B,"&gt;="&amp;DATE($P$3,MATCH($B22,Setup!$J$6:$J$17,0),1),Transaction!$B:$B,"&lt;"&amp;DATE($P$3,MATCH($B22,Setup!$J$6:$J$17,0)+1,1))</f>
        <v/>
      </c>
      <c r="F22" s="31">
        <f>C22-D22-E22</f>
        <v/>
      </c>
      <c r="G22" s="32">
        <f>IF(C22=0,"",E22/C22)</f>
        <v/>
      </c>
      <c r="H22" s="33">
        <f>IF(C22+D22+E22=0,"",SUM($F$11:F22))</f>
        <v/>
      </c>
    </row>
    <row r="23">
      <c r="B23" s="34" t="inlineStr">
        <is>
          <t>รวมทั้งปี</t>
        </is>
      </c>
      <c r="C23" s="35">
        <f>SUM(C11:C22)</f>
        <v/>
      </c>
      <c r="D23" s="35">
        <f>SUM(D11:D22)</f>
        <v/>
      </c>
      <c r="E23" s="35">
        <f>SUM(E11:E22)</f>
        <v/>
      </c>
      <c r="F23" s="35">
        <f>SUM(F11:F22)</f>
        <v/>
      </c>
      <c r="G23" s="36">
        <f>IF(C23=0,"",E23/C23)</f>
        <v/>
      </c>
      <c r="H23" s="37" t="n"/>
    </row>
    <row r="24">
      <c r="B24" s="38" t="inlineStr">
        <is>
          <t>เฉลี่ย/เดือน</t>
        </is>
      </c>
      <c r="C24" s="39">
        <f>IF(N($P$6)=0,0,C23/$P$6)</f>
        <v/>
      </c>
      <c r="D24" s="39">
        <f>IF(N($P$6)=0,0,D23/$P$6)</f>
        <v/>
      </c>
      <c r="E24" s="39">
        <f>IF(N($P$6)=0,0,E23/$P$6)</f>
        <v/>
      </c>
      <c r="F24" s="39">
        <f>IF(N($P$6)=0,0,F23/$P$6)</f>
        <v/>
      </c>
      <c r="G24" s="40">
        <f>IF(C24=0,"",E24/C24)</f>
        <v/>
      </c>
      <c r="H24" s="41" t="n"/>
    </row>
    <row r="25" ht="16" customHeight="1">
      <c r="B25" s="42" t="inlineStr">
        <is>
          <t>* คงเหลือ = รายรับ − รายจ่าย − เงินออม   ·   ค่าเฉลี่ยคิดจากเดือนที่มีการบันทึกข้อมูล</t>
        </is>
      </c>
      <c r="C25" s="42" t="n"/>
      <c r="D25" s="42" t="n"/>
      <c r="E25" s="42" t="n"/>
      <c r="F25" s="42" t="n"/>
      <c r="G25" s="42" t="n"/>
      <c r="H25" s="42" t="n"/>
    </row>
    <row r="26" ht="10" customHeight="1"/>
    <row r="27" ht="26" customHeight="1">
      <c r="B27" s="23" t="inlineStr">
        <is>
          <t>🍩 สัดส่วนตามหมวดหมู่ &amp; Top 10 (ทั้งปี)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S27" s="43" t="inlineStr">
        <is>
          <t>⚙️ ข้อมูลประกอบกราฟ (ระบบคำนวณ — ไม่ต้องแก้ไข)</t>
        </is>
      </c>
      <c r="T27" s="43" t="n"/>
      <c r="U27" s="43" t="n"/>
      <c r="V27" s="43" t="n"/>
      <c r="W27" s="43" t="n"/>
      <c r="X27" s="43" t="n"/>
      <c r="Y27" s="43" t="n"/>
      <c r="Z27" s="43" t="n"/>
    </row>
    <row r="28">
      <c r="S28" s="44" t="inlineStr">
        <is>
          <t>กราฟ: รายรับ</t>
        </is>
      </c>
      <c r="T28" s="45" t="inlineStr">
        <is>
          <t>จำนวนเงิน</t>
        </is>
      </c>
      <c r="V28" s="44" t="inlineStr">
        <is>
          <t>กราฟ: รายจ่าย</t>
        </is>
      </c>
      <c r="W28" s="45" t="inlineStr">
        <is>
          <t>จำนวนเงิน</t>
        </is>
      </c>
      <c r="Y28" s="44" t="inlineStr">
        <is>
          <t>กราฟ: เงินออม</t>
        </is>
      </c>
      <c r="Z28" s="45" t="inlineStr">
        <is>
          <t>จำนวนเงิน</t>
        </is>
      </c>
    </row>
    <row r="29">
      <c r="S29" s="46">
        <f>IFERROR(INDEX($B$63:$B$77,MATCH(1,$Q$63:$Q$77,0)),"")</f>
        <v/>
      </c>
      <c r="T29" s="47">
        <f>IFERROR(INDEX($O$63:$O$77,MATCH(1,$Q$63:$Q$77,0)),"")</f>
        <v/>
      </c>
      <c r="V29" s="46">
        <f>IFERROR(INDEX($B$81:$B$105,MATCH(1,$Q$81:$Q$105,0)),"")</f>
        <v/>
      </c>
      <c r="W29" s="47">
        <f>IFERROR(INDEX($O$81:$O$105,MATCH(1,$Q$81:$Q$105,0)),"")</f>
        <v/>
      </c>
      <c r="Y29" s="46">
        <f>IFERROR(INDEX($B$109:$B$123,MATCH(1,$Q$109:$Q$123,0)),"")</f>
        <v/>
      </c>
      <c r="Z29" s="47">
        <f>IFERROR(INDEX($O$109:$O$123,MATCH(1,$Q$109:$Q$123,0)),"")</f>
        <v/>
      </c>
    </row>
    <row r="30">
      <c r="S30" s="46">
        <f>IFERROR(INDEX($B$63:$B$77,MATCH(2,$Q$63:$Q$77,0)),"")</f>
        <v/>
      </c>
      <c r="T30" s="47">
        <f>IFERROR(INDEX($O$63:$O$77,MATCH(2,$Q$63:$Q$77,0)),"")</f>
        <v/>
      </c>
      <c r="V30" s="46">
        <f>IFERROR(INDEX($B$81:$B$105,MATCH(2,$Q$81:$Q$105,0)),"")</f>
        <v/>
      </c>
      <c r="W30" s="47">
        <f>IFERROR(INDEX($O$81:$O$105,MATCH(2,$Q$81:$Q$105,0)),"")</f>
        <v/>
      </c>
      <c r="Y30" s="46">
        <f>IFERROR(INDEX($B$109:$B$123,MATCH(2,$Q$109:$Q$123,0)),"")</f>
        <v/>
      </c>
      <c r="Z30" s="47">
        <f>IFERROR(INDEX($O$109:$O$123,MATCH(2,$Q$109:$Q$123,0)),"")</f>
        <v/>
      </c>
    </row>
    <row r="31">
      <c r="S31" s="46">
        <f>IFERROR(INDEX($B$63:$B$77,MATCH(3,$Q$63:$Q$77,0)),"")</f>
        <v/>
      </c>
      <c r="T31" s="47">
        <f>IFERROR(INDEX($O$63:$O$77,MATCH(3,$Q$63:$Q$77,0)),"")</f>
        <v/>
      </c>
      <c r="V31" s="46">
        <f>IFERROR(INDEX($B$81:$B$105,MATCH(3,$Q$81:$Q$105,0)),"")</f>
        <v/>
      </c>
      <c r="W31" s="47">
        <f>IFERROR(INDEX($O$81:$O$105,MATCH(3,$Q$81:$Q$105,0)),"")</f>
        <v/>
      </c>
      <c r="Y31" s="46">
        <f>IFERROR(INDEX($B$109:$B$123,MATCH(3,$Q$109:$Q$123,0)),"")</f>
        <v/>
      </c>
      <c r="Z31" s="47">
        <f>IFERROR(INDEX($O$109:$O$123,MATCH(3,$Q$109:$Q$123,0)),"")</f>
        <v/>
      </c>
    </row>
    <row r="32">
      <c r="S32" s="46">
        <f>IFERROR(INDEX($B$63:$B$77,MATCH(4,$Q$63:$Q$77,0)),"")</f>
        <v/>
      </c>
      <c r="T32" s="47">
        <f>IFERROR(INDEX($O$63:$O$77,MATCH(4,$Q$63:$Q$77,0)),"")</f>
        <v/>
      </c>
      <c r="V32" s="46">
        <f>IFERROR(INDEX($B$81:$B$105,MATCH(4,$Q$81:$Q$105,0)),"")</f>
        <v/>
      </c>
      <c r="W32" s="47">
        <f>IFERROR(INDEX($O$81:$O$105,MATCH(4,$Q$81:$Q$105,0)),"")</f>
        <v/>
      </c>
      <c r="Y32" s="46">
        <f>IFERROR(INDEX($B$109:$B$123,MATCH(4,$Q$109:$Q$123,0)),"")</f>
        <v/>
      </c>
      <c r="Z32" s="47">
        <f>IFERROR(INDEX($O$109:$O$123,MATCH(4,$Q$109:$Q$123,0)),"")</f>
        <v/>
      </c>
    </row>
    <row r="33">
      <c r="S33" s="46">
        <f>IFERROR(INDEX($B$63:$B$77,MATCH(5,$Q$63:$Q$77,0)),"")</f>
        <v/>
      </c>
      <c r="T33" s="47">
        <f>IFERROR(INDEX($O$63:$O$77,MATCH(5,$Q$63:$Q$77,0)),"")</f>
        <v/>
      </c>
      <c r="V33" s="46">
        <f>IFERROR(INDEX($B$81:$B$105,MATCH(5,$Q$81:$Q$105,0)),"")</f>
        <v/>
      </c>
      <c r="W33" s="47">
        <f>IFERROR(INDEX($O$81:$O$105,MATCH(5,$Q$81:$Q$105,0)),"")</f>
        <v/>
      </c>
      <c r="Y33" s="46">
        <f>IFERROR(INDEX($B$109:$B$123,MATCH(5,$Q$109:$Q$123,0)),"")</f>
        <v/>
      </c>
      <c r="Z33" s="47">
        <f>IFERROR(INDEX($O$109:$O$123,MATCH(5,$Q$109:$Q$123,0)),"")</f>
        <v/>
      </c>
    </row>
    <row r="34">
      <c r="S34" s="46">
        <f>IFERROR(INDEX($B$63:$B$77,MATCH(6,$Q$63:$Q$77,0)),"")</f>
        <v/>
      </c>
      <c r="T34" s="47">
        <f>IFERROR(INDEX($O$63:$O$77,MATCH(6,$Q$63:$Q$77,0)),"")</f>
        <v/>
      </c>
      <c r="V34" s="46">
        <f>IFERROR(INDEX($B$81:$B$105,MATCH(6,$Q$81:$Q$105,0)),"")</f>
        <v/>
      </c>
      <c r="W34" s="47">
        <f>IFERROR(INDEX($O$81:$O$105,MATCH(6,$Q$81:$Q$105,0)),"")</f>
        <v/>
      </c>
      <c r="Y34" s="46">
        <f>IFERROR(INDEX($B$109:$B$123,MATCH(6,$Q$109:$Q$123,0)),"")</f>
        <v/>
      </c>
      <c r="Z34" s="47">
        <f>IFERROR(INDEX($O$109:$O$123,MATCH(6,$Q$109:$Q$123,0)),"")</f>
        <v/>
      </c>
    </row>
    <row r="35">
      <c r="S35" s="46">
        <f>IFERROR(INDEX($B$63:$B$77,MATCH(7,$Q$63:$Q$77,0)),"")</f>
        <v/>
      </c>
      <c r="T35" s="47">
        <f>IFERROR(INDEX($O$63:$O$77,MATCH(7,$Q$63:$Q$77,0)),"")</f>
        <v/>
      </c>
      <c r="V35" s="46">
        <f>IFERROR(INDEX($B$81:$B$105,MATCH(7,$Q$81:$Q$105,0)),"")</f>
        <v/>
      </c>
      <c r="W35" s="47">
        <f>IFERROR(INDEX($O$81:$O$105,MATCH(7,$Q$81:$Q$105,0)),"")</f>
        <v/>
      </c>
      <c r="Y35" s="46">
        <f>IFERROR(INDEX($B$109:$B$123,MATCH(7,$Q$109:$Q$123,0)),"")</f>
        <v/>
      </c>
      <c r="Z35" s="47">
        <f>IFERROR(INDEX($O$109:$O$123,MATCH(7,$Q$109:$Q$123,0)),"")</f>
        <v/>
      </c>
    </row>
    <row r="36">
      <c r="S36" s="46" t="inlineStr">
        <is>
          <t>อื่นๆ</t>
        </is>
      </c>
      <c r="T36" s="47">
        <f>IF(MAX(0,$O$78-SUM(T29:T35))=0,"",MAX(0,$O$78-SUM(T29:T35)))</f>
        <v/>
      </c>
      <c r="V36" s="46" t="inlineStr">
        <is>
          <t>อื่นๆ</t>
        </is>
      </c>
      <c r="W36" s="47">
        <f>IF(MAX(0,$O$106-SUM(W29:W35))=0,"",MAX(0,$O$106-SUM(W29:W35)))</f>
        <v/>
      </c>
      <c r="Y36" s="46" t="inlineStr">
        <is>
          <t>อื่นๆ</t>
        </is>
      </c>
      <c r="Z36" s="47">
        <f>IF(MAX(0,$O$124-SUM(Z29:Z35))=0,"",MAX(0,$O$124-SUM(Z29:Z35)))</f>
        <v/>
      </c>
    </row>
    <row r="44" ht="10" customHeight="1"/>
    <row r="45" ht="24" customHeight="1">
      <c r="B45" s="48" t="inlineStr">
        <is>
          <t>🏆 Top 10 รายรับ</t>
        </is>
      </c>
      <c r="C45" s="48" t="n"/>
      <c r="D45" s="48" t="n"/>
      <c r="E45" s="48" t="n"/>
      <c r="G45" s="49" t="inlineStr">
        <is>
          <t>🏆 Top 10 รายจ่าย</t>
        </is>
      </c>
      <c r="H45" s="49" t="n"/>
      <c r="I45" s="49" t="n"/>
      <c r="J45" s="49" t="n"/>
      <c r="K45" s="49" t="n"/>
      <c r="M45" s="50" t="inlineStr">
        <is>
          <t>🏆 Top 10 เงินออม</t>
        </is>
      </c>
      <c r="N45" s="50" t="n"/>
      <c r="O45" s="50" t="n"/>
      <c r="P45" s="50" t="n"/>
      <c r="Q45" s="50" t="n"/>
    </row>
    <row r="46" ht="22" customHeight="1">
      <c r="B46" s="51" t="inlineStr">
        <is>
          <t>หมวดหมู่</t>
        </is>
      </c>
      <c r="C46" s="51" t="inlineStr">
        <is>
          <t>จำนวนเงิน</t>
        </is>
      </c>
      <c r="D46" s="51" t="inlineStr">
        <is>
          <t>%</t>
        </is>
      </c>
      <c r="E46" s="51" t="inlineStr">
        <is>
          <t>สัดส่วน</t>
        </is>
      </c>
      <c r="G46" s="52" t="inlineStr">
        <is>
          <t>หมวดหมู่</t>
        </is>
      </c>
      <c r="H46" s="52" t="n"/>
      <c r="I46" s="52" t="inlineStr">
        <is>
          <t>จำนวนเงิน</t>
        </is>
      </c>
      <c r="J46" s="52" t="inlineStr">
        <is>
          <t>%</t>
        </is>
      </c>
      <c r="K46" s="52" t="inlineStr">
        <is>
          <t>สัดส่วน</t>
        </is>
      </c>
      <c r="M46" s="53" t="inlineStr">
        <is>
          <t>หมวดหมู่</t>
        </is>
      </c>
      <c r="N46" s="53" t="n"/>
      <c r="O46" s="53" t="inlineStr">
        <is>
          <t>จำนวนเงิน</t>
        </is>
      </c>
      <c r="P46" s="53" t="inlineStr">
        <is>
          <t>%</t>
        </is>
      </c>
      <c r="Q46" s="53" t="inlineStr">
        <is>
          <t>สัดส่วน</t>
        </is>
      </c>
    </row>
    <row r="47" ht="19" customHeight="1">
      <c r="B47" s="54">
        <f>IFERROR("1. "&amp;INDEX($B$63:$B$77,MATCH(1,$Q$63:$Q$77,0)),"")</f>
        <v/>
      </c>
      <c r="C47" s="55">
        <f>IFERROR(INDEX($O$63:$O$77,MATCH(1,$Q$63:$Q$77,0)),"")</f>
        <v/>
      </c>
      <c r="D47" s="56">
        <f>IF(OR(C47="",N(C$58)=0),"",C47/C$58)</f>
        <v/>
      </c>
      <c r="E47" s="57">
        <f>IF(C47="","",REPT("█",MAX(1,ROUND(C47/MAX($C$47:$C$56)*10,0))))</f>
        <v/>
      </c>
      <c r="G47" s="54">
        <f>IFERROR("1. "&amp;INDEX($B$81:$B$105,MATCH(1,$Q$81:$Q$105,0)),"")</f>
        <v/>
      </c>
      <c r="H47" s="54" t="n"/>
      <c r="I47" s="55">
        <f>IFERROR(INDEX($O$81:$O$105,MATCH(1,$Q$81:$Q$105,0)),"")</f>
        <v/>
      </c>
      <c r="J47" s="56">
        <f>IF(OR(I47="",N(I$58)=0),"",I47/I$58)</f>
        <v/>
      </c>
      <c r="K47" s="58">
        <f>IF(I47="","",REPT("█",MAX(1,ROUND(I47/MAX($I$47:$I$56)*10,0))))</f>
        <v/>
      </c>
      <c r="M47" s="54">
        <f>IFERROR("1. "&amp;INDEX($B$109:$B$123,MATCH(1,$Q$109:$Q$123,0)),"")</f>
        <v/>
      </c>
      <c r="N47" s="54" t="n"/>
      <c r="O47" s="55">
        <f>IFERROR(INDEX($O$109:$O$123,MATCH(1,$Q$109:$Q$123,0)),"")</f>
        <v/>
      </c>
      <c r="P47" s="56">
        <f>IF(OR(O47="",N(O$58)=0),"",O47/O$58)</f>
        <v/>
      </c>
      <c r="Q47" s="59">
        <f>IF(O47="","",REPT("█",MAX(1,ROUND(O47/MAX($O$47:$O$56)*10,0))))</f>
        <v/>
      </c>
    </row>
    <row r="48" ht="19" customHeight="1">
      <c r="B48" s="54">
        <f>IFERROR("2. "&amp;INDEX($B$63:$B$77,MATCH(2,$Q$63:$Q$77,0)),"")</f>
        <v/>
      </c>
      <c r="C48" s="55">
        <f>IFERROR(INDEX($O$63:$O$77,MATCH(2,$Q$63:$Q$77,0)),"")</f>
        <v/>
      </c>
      <c r="D48" s="56">
        <f>IF(OR(C48="",N(C$58)=0),"",C48/C$58)</f>
        <v/>
      </c>
      <c r="E48" s="57">
        <f>IF(C48="","",REPT("█",MAX(1,ROUND(C48/MAX($C$47:$C$56)*10,0))))</f>
        <v/>
      </c>
      <c r="G48" s="54">
        <f>IFERROR("2. "&amp;INDEX($B$81:$B$105,MATCH(2,$Q$81:$Q$105,0)),"")</f>
        <v/>
      </c>
      <c r="H48" s="54" t="n"/>
      <c r="I48" s="55">
        <f>IFERROR(INDEX($O$81:$O$105,MATCH(2,$Q$81:$Q$105,0)),"")</f>
        <v/>
      </c>
      <c r="J48" s="56">
        <f>IF(OR(I48="",N(I$58)=0),"",I48/I$58)</f>
        <v/>
      </c>
      <c r="K48" s="58">
        <f>IF(I48="","",REPT("█",MAX(1,ROUND(I48/MAX($I$47:$I$56)*10,0))))</f>
        <v/>
      </c>
      <c r="M48" s="54">
        <f>IFERROR("2. "&amp;INDEX($B$109:$B$123,MATCH(2,$Q$109:$Q$123,0)),"")</f>
        <v/>
      </c>
      <c r="N48" s="54" t="n"/>
      <c r="O48" s="55">
        <f>IFERROR(INDEX($O$109:$O$123,MATCH(2,$Q$109:$Q$123,0)),"")</f>
        <v/>
      </c>
      <c r="P48" s="56">
        <f>IF(OR(O48="",N(O$58)=0),"",O48/O$58)</f>
        <v/>
      </c>
      <c r="Q48" s="59">
        <f>IF(O48="","",REPT("█",MAX(1,ROUND(O48/MAX($O$47:$O$56)*10,0))))</f>
        <v/>
      </c>
    </row>
    <row r="49" ht="19" customHeight="1">
      <c r="B49" s="54">
        <f>IFERROR("3. "&amp;INDEX($B$63:$B$77,MATCH(3,$Q$63:$Q$77,0)),"")</f>
        <v/>
      </c>
      <c r="C49" s="55">
        <f>IFERROR(INDEX($O$63:$O$77,MATCH(3,$Q$63:$Q$77,0)),"")</f>
        <v/>
      </c>
      <c r="D49" s="56">
        <f>IF(OR(C49="",N(C$58)=0),"",C49/C$58)</f>
        <v/>
      </c>
      <c r="E49" s="57">
        <f>IF(C49="","",REPT("█",MAX(1,ROUND(C49/MAX($C$47:$C$56)*10,0))))</f>
        <v/>
      </c>
      <c r="G49" s="54">
        <f>IFERROR("3. "&amp;INDEX($B$81:$B$105,MATCH(3,$Q$81:$Q$105,0)),"")</f>
        <v/>
      </c>
      <c r="H49" s="54" t="n"/>
      <c r="I49" s="55">
        <f>IFERROR(INDEX($O$81:$O$105,MATCH(3,$Q$81:$Q$105,0)),"")</f>
        <v/>
      </c>
      <c r="J49" s="56">
        <f>IF(OR(I49="",N(I$58)=0),"",I49/I$58)</f>
        <v/>
      </c>
      <c r="K49" s="58">
        <f>IF(I49="","",REPT("█",MAX(1,ROUND(I49/MAX($I$47:$I$56)*10,0))))</f>
        <v/>
      </c>
      <c r="M49" s="54">
        <f>IFERROR("3. "&amp;INDEX($B$109:$B$123,MATCH(3,$Q$109:$Q$123,0)),"")</f>
        <v/>
      </c>
      <c r="N49" s="54" t="n"/>
      <c r="O49" s="55">
        <f>IFERROR(INDEX($O$109:$O$123,MATCH(3,$Q$109:$Q$123,0)),"")</f>
        <v/>
      </c>
      <c r="P49" s="56">
        <f>IF(OR(O49="",N(O$58)=0),"",O49/O$58)</f>
        <v/>
      </c>
      <c r="Q49" s="59">
        <f>IF(O49="","",REPT("█",MAX(1,ROUND(O49/MAX($O$47:$O$56)*10,0))))</f>
        <v/>
      </c>
    </row>
    <row r="50" ht="19" customHeight="1">
      <c r="B50" s="60">
        <f>IFERROR("4. "&amp;INDEX($B$63:$B$77,MATCH(4,$Q$63:$Q$77,0)),"")</f>
        <v/>
      </c>
      <c r="C50" s="30">
        <f>IFERROR(INDEX($O$63:$O$77,MATCH(4,$Q$63:$Q$77,0)),"")</f>
        <v/>
      </c>
      <c r="D50" s="56">
        <f>IF(OR(C50="",N(C$58)=0),"",C50/C$58)</f>
        <v/>
      </c>
      <c r="E50" s="57">
        <f>IF(C50="","",REPT("█",MAX(1,ROUND(C50/MAX($C$47:$C$56)*10,0))))</f>
        <v/>
      </c>
      <c r="G50" s="60">
        <f>IFERROR("4. "&amp;INDEX($B$81:$B$105,MATCH(4,$Q$81:$Q$105,0)),"")</f>
        <v/>
      </c>
      <c r="H50" s="60" t="n"/>
      <c r="I50" s="30">
        <f>IFERROR(INDEX($O$81:$O$105,MATCH(4,$Q$81:$Q$105,0)),"")</f>
        <v/>
      </c>
      <c r="J50" s="56">
        <f>IF(OR(I50="",N(I$58)=0),"",I50/I$58)</f>
        <v/>
      </c>
      <c r="K50" s="58">
        <f>IF(I50="","",REPT("█",MAX(1,ROUND(I50/MAX($I$47:$I$56)*10,0))))</f>
        <v/>
      </c>
      <c r="M50" s="60">
        <f>IFERROR("4. "&amp;INDEX($B$109:$B$123,MATCH(4,$Q$109:$Q$123,0)),"")</f>
        <v/>
      </c>
      <c r="N50" s="60" t="n"/>
      <c r="O50" s="30">
        <f>IFERROR(INDEX($O$109:$O$123,MATCH(4,$Q$109:$Q$123,0)),"")</f>
        <v/>
      </c>
      <c r="P50" s="56">
        <f>IF(OR(O50="",N(O$58)=0),"",O50/O$58)</f>
        <v/>
      </c>
      <c r="Q50" s="59">
        <f>IF(O50="","",REPT("█",MAX(1,ROUND(O50/MAX($O$47:$O$56)*10,0))))</f>
        <v/>
      </c>
    </row>
    <row r="51" ht="19" customHeight="1">
      <c r="B51" s="60">
        <f>IFERROR("5. "&amp;INDEX($B$63:$B$77,MATCH(5,$Q$63:$Q$77,0)),"")</f>
        <v/>
      </c>
      <c r="C51" s="30">
        <f>IFERROR(INDEX($O$63:$O$77,MATCH(5,$Q$63:$Q$77,0)),"")</f>
        <v/>
      </c>
      <c r="D51" s="56">
        <f>IF(OR(C51="",N(C$58)=0),"",C51/C$58)</f>
        <v/>
      </c>
      <c r="E51" s="57">
        <f>IF(C51="","",REPT("█",MAX(1,ROUND(C51/MAX($C$47:$C$56)*10,0))))</f>
        <v/>
      </c>
      <c r="G51" s="60">
        <f>IFERROR("5. "&amp;INDEX($B$81:$B$105,MATCH(5,$Q$81:$Q$105,0)),"")</f>
        <v/>
      </c>
      <c r="H51" s="60" t="n"/>
      <c r="I51" s="30">
        <f>IFERROR(INDEX($O$81:$O$105,MATCH(5,$Q$81:$Q$105,0)),"")</f>
        <v/>
      </c>
      <c r="J51" s="56">
        <f>IF(OR(I51="",N(I$58)=0),"",I51/I$58)</f>
        <v/>
      </c>
      <c r="K51" s="58">
        <f>IF(I51="","",REPT("█",MAX(1,ROUND(I51/MAX($I$47:$I$56)*10,0))))</f>
        <v/>
      </c>
      <c r="M51" s="60">
        <f>IFERROR("5. "&amp;INDEX($B$109:$B$123,MATCH(5,$Q$109:$Q$123,0)),"")</f>
        <v/>
      </c>
      <c r="N51" s="60" t="n"/>
      <c r="O51" s="30">
        <f>IFERROR(INDEX($O$109:$O$123,MATCH(5,$Q$109:$Q$123,0)),"")</f>
        <v/>
      </c>
      <c r="P51" s="56">
        <f>IF(OR(O51="",N(O$58)=0),"",O51/O$58)</f>
        <v/>
      </c>
      <c r="Q51" s="59">
        <f>IF(O51="","",REPT("█",MAX(1,ROUND(O51/MAX($O$47:$O$56)*10,0))))</f>
        <v/>
      </c>
    </row>
    <row r="52" ht="19" customHeight="1">
      <c r="B52" s="60">
        <f>IFERROR("6. "&amp;INDEX($B$63:$B$77,MATCH(6,$Q$63:$Q$77,0)),"")</f>
        <v/>
      </c>
      <c r="C52" s="30">
        <f>IFERROR(INDEX($O$63:$O$77,MATCH(6,$Q$63:$Q$77,0)),"")</f>
        <v/>
      </c>
      <c r="D52" s="56">
        <f>IF(OR(C52="",N(C$58)=0),"",C52/C$58)</f>
        <v/>
      </c>
      <c r="E52" s="57">
        <f>IF(C52="","",REPT("█",MAX(1,ROUND(C52/MAX($C$47:$C$56)*10,0))))</f>
        <v/>
      </c>
      <c r="G52" s="60">
        <f>IFERROR("6. "&amp;INDEX($B$81:$B$105,MATCH(6,$Q$81:$Q$105,0)),"")</f>
        <v/>
      </c>
      <c r="H52" s="60" t="n"/>
      <c r="I52" s="30">
        <f>IFERROR(INDEX($O$81:$O$105,MATCH(6,$Q$81:$Q$105,0)),"")</f>
        <v/>
      </c>
      <c r="J52" s="56">
        <f>IF(OR(I52="",N(I$58)=0),"",I52/I$58)</f>
        <v/>
      </c>
      <c r="K52" s="58">
        <f>IF(I52="","",REPT("█",MAX(1,ROUND(I52/MAX($I$47:$I$56)*10,0))))</f>
        <v/>
      </c>
      <c r="M52" s="60">
        <f>IFERROR("6. "&amp;INDEX($B$109:$B$123,MATCH(6,$Q$109:$Q$123,0)),"")</f>
        <v/>
      </c>
      <c r="N52" s="60" t="n"/>
      <c r="O52" s="30">
        <f>IFERROR(INDEX($O$109:$O$123,MATCH(6,$Q$109:$Q$123,0)),"")</f>
        <v/>
      </c>
      <c r="P52" s="56">
        <f>IF(OR(O52="",N(O$58)=0),"",O52/O$58)</f>
        <v/>
      </c>
      <c r="Q52" s="59">
        <f>IF(O52="","",REPT("█",MAX(1,ROUND(O52/MAX($O$47:$O$56)*10,0))))</f>
        <v/>
      </c>
    </row>
    <row r="53" ht="19" customHeight="1">
      <c r="B53" s="60">
        <f>IFERROR("7. "&amp;INDEX($B$63:$B$77,MATCH(7,$Q$63:$Q$77,0)),"")</f>
        <v/>
      </c>
      <c r="C53" s="30">
        <f>IFERROR(INDEX($O$63:$O$77,MATCH(7,$Q$63:$Q$77,0)),"")</f>
        <v/>
      </c>
      <c r="D53" s="56">
        <f>IF(OR(C53="",N(C$58)=0),"",C53/C$58)</f>
        <v/>
      </c>
      <c r="E53" s="57">
        <f>IF(C53="","",REPT("█",MAX(1,ROUND(C53/MAX($C$47:$C$56)*10,0))))</f>
        <v/>
      </c>
      <c r="G53" s="60">
        <f>IFERROR("7. "&amp;INDEX($B$81:$B$105,MATCH(7,$Q$81:$Q$105,0)),"")</f>
        <v/>
      </c>
      <c r="H53" s="60" t="n"/>
      <c r="I53" s="30">
        <f>IFERROR(INDEX($O$81:$O$105,MATCH(7,$Q$81:$Q$105,0)),"")</f>
        <v/>
      </c>
      <c r="J53" s="56">
        <f>IF(OR(I53="",N(I$58)=0),"",I53/I$58)</f>
        <v/>
      </c>
      <c r="K53" s="58">
        <f>IF(I53="","",REPT("█",MAX(1,ROUND(I53/MAX($I$47:$I$56)*10,0))))</f>
        <v/>
      </c>
      <c r="M53" s="60">
        <f>IFERROR("7. "&amp;INDEX($B$109:$B$123,MATCH(7,$Q$109:$Q$123,0)),"")</f>
        <v/>
      </c>
      <c r="N53" s="60" t="n"/>
      <c r="O53" s="30">
        <f>IFERROR(INDEX($O$109:$O$123,MATCH(7,$Q$109:$Q$123,0)),"")</f>
        <v/>
      </c>
      <c r="P53" s="56">
        <f>IF(OR(O53="",N(O$58)=0),"",O53/O$58)</f>
        <v/>
      </c>
      <c r="Q53" s="59">
        <f>IF(O53="","",REPT("█",MAX(1,ROUND(O53/MAX($O$47:$O$56)*10,0))))</f>
        <v/>
      </c>
    </row>
    <row r="54" ht="19" customHeight="1">
      <c r="B54" s="60">
        <f>IFERROR("8. "&amp;INDEX($B$63:$B$77,MATCH(8,$Q$63:$Q$77,0)),"")</f>
        <v/>
      </c>
      <c r="C54" s="30">
        <f>IFERROR(INDEX($O$63:$O$77,MATCH(8,$Q$63:$Q$77,0)),"")</f>
        <v/>
      </c>
      <c r="D54" s="56">
        <f>IF(OR(C54="",N(C$58)=0),"",C54/C$58)</f>
        <v/>
      </c>
      <c r="E54" s="57">
        <f>IF(C54="","",REPT("█",MAX(1,ROUND(C54/MAX($C$47:$C$56)*10,0))))</f>
        <v/>
      </c>
      <c r="G54" s="60">
        <f>IFERROR("8. "&amp;INDEX($B$81:$B$105,MATCH(8,$Q$81:$Q$105,0)),"")</f>
        <v/>
      </c>
      <c r="H54" s="60" t="n"/>
      <c r="I54" s="30">
        <f>IFERROR(INDEX($O$81:$O$105,MATCH(8,$Q$81:$Q$105,0)),"")</f>
        <v/>
      </c>
      <c r="J54" s="56">
        <f>IF(OR(I54="",N(I$58)=0),"",I54/I$58)</f>
        <v/>
      </c>
      <c r="K54" s="58">
        <f>IF(I54="","",REPT("█",MAX(1,ROUND(I54/MAX($I$47:$I$56)*10,0))))</f>
        <v/>
      </c>
      <c r="M54" s="60">
        <f>IFERROR("8. "&amp;INDEX($B$109:$B$123,MATCH(8,$Q$109:$Q$123,0)),"")</f>
        <v/>
      </c>
      <c r="N54" s="60" t="n"/>
      <c r="O54" s="30">
        <f>IFERROR(INDEX($O$109:$O$123,MATCH(8,$Q$109:$Q$123,0)),"")</f>
        <v/>
      </c>
      <c r="P54" s="56">
        <f>IF(OR(O54="",N(O$58)=0),"",O54/O$58)</f>
        <v/>
      </c>
      <c r="Q54" s="59">
        <f>IF(O54="","",REPT("█",MAX(1,ROUND(O54/MAX($O$47:$O$56)*10,0))))</f>
        <v/>
      </c>
    </row>
    <row r="55" ht="19" customHeight="1">
      <c r="B55" s="60">
        <f>IFERROR("9. "&amp;INDEX($B$63:$B$77,MATCH(9,$Q$63:$Q$77,0)),"")</f>
        <v/>
      </c>
      <c r="C55" s="30">
        <f>IFERROR(INDEX($O$63:$O$77,MATCH(9,$Q$63:$Q$77,0)),"")</f>
        <v/>
      </c>
      <c r="D55" s="56">
        <f>IF(OR(C55="",N(C$58)=0),"",C55/C$58)</f>
        <v/>
      </c>
      <c r="E55" s="57">
        <f>IF(C55="","",REPT("█",MAX(1,ROUND(C55/MAX($C$47:$C$56)*10,0))))</f>
        <v/>
      </c>
      <c r="G55" s="60">
        <f>IFERROR("9. "&amp;INDEX($B$81:$B$105,MATCH(9,$Q$81:$Q$105,0)),"")</f>
        <v/>
      </c>
      <c r="H55" s="60" t="n"/>
      <c r="I55" s="30">
        <f>IFERROR(INDEX($O$81:$O$105,MATCH(9,$Q$81:$Q$105,0)),"")</f>
        <v/>
      </c>
      <c r="J55" s="56">
        <f>IF(OR(I55="",N(I$58)=0),"",I55/I$58)</f>
        <v/>
      </c>
      <c r="K55" s="58">
        <f>IF(I55="","",REPT("█",MAX(1,ROUND(I55/MAX($I$47:$I$56)*10,0))))</f>
        <v/>
      </c>
      <c r="M55" s="60">
        <f>IFERROR("9. "&amp;INDEX($B$109:$B$123,MATCH(9,$Q$109:$Q$123,0)),"")</f>
        <v/>
      </c>
      <c r="N55" s="60" t="n"/>
      <c r="O55" s="30">
        <f>IFERROR(INDEX($O$109:$O$123,MATCH(9,$Q$109:$Q$123,0)),"")</f>
        <v/>
      </c>
      <c r="P55" s="56">
        <f>IF(OR(O55="",N(O$58)=0),"",O55/O$58)</f>
        <v/>
      </c>
      <c r="Q55" s="59">
        <f>IF(O55="","",REPT("█",MAX(1,ROUND(O55/MAX($O$47:$O$56)*10,0))))</f>
        <v/>
      </c>
    </row>
    <row r="56" ht="19" customHeight="1">
      <c r="B56" s="60">
        <f>IFERROR("10. "&amp;INDEX($B$63:$B$77,MATCH(10,$Q$63:$Q$77,0)),"")</f>
        <v/>
      </c>
      <c r="C56" s="30">
        <f>IFERROR(INDEX($O$63:$O$77,MATCH(10,$Q$63:$Q$77,0)),"")</f>
        <v/>
      </c>
      <c r="D56" s="56">
        <f>IF(OR(C56="",N(C$58)=0),"",C56/C$58)</f>
        <v/>
      </c>
      <c r="E56" s="57">
        <f>IF(C56="","",REPT("█",MAX(1,ROUND(C56/MAX($C$47:$C$56)*10,0))))</f>
        <v/>
      </c>
      <c r="G56" s="60">
        <f>IFERROR("10. "&amp;INDEX($B$81:$B$105,MATCH(10,$Q$81:$Q$105,0)),"")</f>
        <v/>
      </c>
      <c r="H56" s="60" t="n"/>
      <c r="I56" s="30">
        <f>IFERROR(INDEX($O$81:$O$105,MATCH(10,$Q$81:$Q$105,0)),"")</f>
        <v/>
      </c>
      <c r="J56" s="56">
        <f>IF(OR(I56="",N(I$58)=0),"",I56/I$58)</f>
        <v/>
      </c>
      <c r="K56" s="58">
        <f>IF(I56="","",REPT("█",MAX(1,ROUND(I56/MAX($I$47:$I$56)*10,0))))</f>
        <v/>
      </c>
      <c r="M56" s="60">
        <f>IFERROR("10. "&amp;INDEX($B$109:$B$123,MATCH(10,$Q$109:$Q$123,0)),"")</f>
        <v/>
      </c>
      <c r="N56" s="60" t="n"/>
      <c r="O56" s="30">
        <f>IFERROR(INDEX($O$109:$O$123,MATCH(10,$Q$109:$Q$123,0)),"")</f>
        <v/>
      </c>
      <c r="P56" s="56">
        <f>IF(OR(O56="",N(O$58)=0),"",O56/O$58)</f>
        <v/>
      </c>
      <c r="Q56" s="59">
        <f>IF(O56="","",REPT("█",MAX(1,ROUND(O56/MAX($O$47:$O$56)*10,0))))</f>
        <v/>
      </c>
    </row>
    <row r="57" ht="19" customHeight="1">
      <c r="B57" s="61" t="inlineStr">
        <is>
          <t>หมวดอื่นๆ ที่เหลือ</t>
        </is>
      </c>
      <c r="C57" s="62">
        <f>MAX(0,$O$78-SUM(C47:C56))</f>
        <v/>
      </c>
      <c r="D57" s="56">
        <f>IF(N(C$58)=0,"",C57/C$58)</f>
        <v/>
      </c>
      <c r="E57" s="63" t="n"/>
      <c r="G57" s="61" t="inlineStr">
        <is>
          <t>หมวดอื่นๆ ที่เหลือ</t>
        </is>
      </c>
      <c r="H57" s="61" t="n"/>
      <c r="I57" s="62">
        <f>MAX(0,$O$106-SUM(I47:I56))</f>
        <v/>
      </c>
      <c r="J57" s="56">
        <f>IF(N(I$58)=0,"",I57/I$58)</f>
        <v/>
      </c>
      <c r="K57" s="63" t="n"/>
      <c r="M57" s="61" t="inlineStr">
        <is>
          <t>หมวดอื่นๆ ที่เหลือ</t>
        </is>
      </c>
      <c r="N57" s="61" t="n"/>
      <c r="O57" s="62">
        <f>MAX(0,$O$124-SUM(O47:O56))</f>
        <v/>
      </c>
      <c r="P57" s="56">
        <f>IF(N(O$58)=0,"",O57/O$58)</f>
        <v/>
      </c>
      <c r="Q57" s="63" t="n"/>
    </row>
    <row r="58" ht="19" customHeight="1">
      <c r="B58" s="64" t="inlineStr">
        <is>
          <t>รวมรายรับ</t>
        </is>
      </c>
      <c r="C58" s="65">
        <f>$O$78</f>
        <v/>
      </c>
      <c r="D58" s="66">
        <f>IF(N(C58)=0,"",1)</f>
        <v/>
      </c>
      <c r="E58" s="67" t="n"/>
      <c r="G58" s="68" t="inlineStr">
        <is>
          <t>รวมรายจ่าย</t>
        </is>
      </c>
      <c r="H58" s="68" t="n"/>
      <c r="I58" s="69">
        <f>$O$106</f>
        <v/>
      </c>
      <c r="J58" s="70">
        <f>IF(N(I58)=0,"",1)</f>
        <v/>
      </c>
      <c r="K58" s="71" t="n"/>
      <c r="M58" s="72" t="inlineStr">
        <is>
          <t>รวมเงินออม</t>
        </is>
      </c>
      <c r="N58" s="72" t="n"/>
      <c r="O58" s="73">
        <f>$O$124</f>
        <v/>
      </c>
      <c r="P58" s="74">
        <f>IF(N(O58)=0,"",1)</f>
        <v/>
      </c>
      <c r="Q58" s="75" t="n"/>
    </row>
    <row r="59" ht="10" customHeight="1"/>
    <row r="60" ht="26" customHeight="1">
      <c r="B60" s="23" t="inlineStr">
        <is>
          <t>🔥 Heat Map — รายละเอียดแยกตามหมวดหมู่ × รายเดือน</t>
        </is>
      </c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</row>
    <row r="61" ht="18" customHeight="1">
      <c r="B61" s="76" t="inlineStr">
        <is>
          <t>สีเข้ม = จำนวนเงินมาก   ·   สีอ่อน = จำนวนเงินน้อย   ·   แสดงข้อมูลของปีที่เลือกด้านบน   ·   อันดับ = เรียงจากยอดรวมทั้งปีมากไปน้อย</t>
        </is>
      </c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</row>
    <row r="62" ht="24" customHeight="1">
      <c r="B62" s="77" t="inlineStr">
        <is>
          <t>💰 รายรับ</t>
        </is>
      </c>
      <c r="C62" s="25" t="inlineStr">
        <is>
          <t>ม.ค.</t>
        </is>
      </c>
      <c r="D62" s="25" t="inlineStr">
        <is>
          <t>ก.พ.</t>
        </is>
      </c>
      <c r="E62" s="25" t="inlineStr">
        <is>
          <t>มี.ค.</t>
        </is>
      </c>
      <c r="F62" s="25" t="inlineStr">
        <is>
          <t>เม.ย.</t>
        </is>
      </c>
      <c r="G62" s="25" t="inlineStr">
        <is>
          <t>พ.ค.</t>
        </is>
      </c>
      <c r="H62" s="25" t="inlineStr">
        <is>
          <t>มิ.ย.</t>
        </is>
      </c>
      <c r="I62" s="25" t="inlineStr">
        <is>
          <t>ก.ค.</t>
        </is>
      </c>
      <c r="J62" s="25" t="inlineStr">
        <is>
          <t>ส.ค.</t>
        </is>
      </c>
      <c r="K62" s="25" t="inlineStr">
        <is>
          <t>ก.ย.</t>
        </is>
      </c>
      <c r="L62" s="25" t="inlineStr">
        <is>
          <t>ต.ค.</t>
        </is>
      </c>
      <c r="M62" s="25" t="inlineStr">
        <is>
          <t>พ.ย.</t>
        </is>
      </c>
      <c r="N62" s="25" t="inlineStr">
        <is>
          <t>ธ.ค.</t>
        </is>
      </c>
      <c r="O62" s="25" t="inlineStr">
        <is>
          <t>รวมทั้งปี</t>
        </is>
      </c>
      <c r="P62" s="25" t="inlineStr">
        <is>
          <t>%</t>
        </is>
      </c>
      <c r="Q62" s="25" t="inlineStr">
        <is>
          <t>อันดับ</t>
        </is>
      </c>
    </row>
    <row r="63">
      <c r="B63" s="60">
        <f>IF(Setup!$B$6="","",Setup!$B$6)</f>
        <v/>
      </c>
      <c r="C63" s="78">
        <f>IF($B63="","",SUMIFS(Transaction!$E:$E,Transaction!$C:$C,"รายรับ",Transaction!$D:$D,$B63,Transaction!$B:$B,"&gt;="&amp;DATE($P$3,MATCH(C$62,Setup!$J$6:$J$17,0),1),Transaction!$B:$B,"&lt;"&amp;DATE($P$3,MATCH(C$62,Setup!$J$6:$J$17,0)+1,1)))</f>
        <v/>
      </c>
      <c r="D63" s="78">
        <f>IF($B63="","",SUMIFS(Transaction!$E:$E,Transaction!$C:$C,"รายรับ",Transaction!$D:$D,$B63,Transaction!$B:$B,"&gt;="&amp;DATE($P$3,MATCH(D$62,Setup!$J$6:$J$17,0),1),Transaction!$B:$B,"&lt;"&amp;DATE($P$3,MATCH(D$62,Setup!$J$6:$J$17,0)+1,1)))</f>
        <v/>
      </c>
      <c r="E63" s="78">
        <f>IF($B63="","",SUMIFS(Transaction!$E:$E,Transaction!$C:$C,"รายรับ",Transaction!$D:$D,$B63,Transaction!$B:$B,"&gt;="&amp;DATE($P$3,MATCH(E$62,Setup!$J$6:$J$17,0),1),Transaction!$B:$B,"&lt;"&amp;DATE($P$3,MATCH(E$62,Setup!$J$6:$J$17,0)+1,1)))</f>
        <v/>
      </c>
      <c r="F63" s="78">
        <f>IF($B63="","",SUMIFS(Transaction!$E:$E,Transaction!$C:$C,"รายรับ",Transaction!$D:$D,$B63,Transaction!$B:$B,"&gt;="&amp;DATE($P$3,MATCH(F$62,Setup!$J$6:$J$17,0),1),Transaction!$B:$B,"&lt;"&amp;DATE($P$3,MATCH(F$62,Setup!$J$6:$J$17,0)+1,1)))</f>
        <v/>
      </c>
      <c r="G63" s="78">
        <f>IF($B63="","",SUMIFS(Transaction!$E:$E,Transaction!$C:$C,"รายรับ",Transaction!$D:$D,$B63,Transaction!$B:$B,"&gt;="&amp;DATE($P$3,MATCH(G$62,Setup!$J$6:$J$17,0),1),Transaction!$B:$B,"&lt;"&amp;DATE($P$3,MATCH(G$62,Setup!$J$6:$J$17,0)+1,1)))</f>
        <v/>
      </c>
      <c r="H63" s="78">
        <f>IF($B63="","",SUMIFS(Transaction!$E:$E,Transaction!$C:$C,"รายรับ",Transaction!$D:$D,$B63,Transaction!$B:$B,"&gt;="&amp;DATE($P$3,MATCH(H$62,Setup!$J$6:$J$17,0),1),Transaction!$B:$B,"&lt;"&amp;DATE($P$3,MATCH(H$62,Setup!$J$6:$J$17,0)+1,1)))</f>
        <v/>
      </c>
      <c r="I63" s="78">
        <f>IF($B63="","",SUMIFS(Transaction!$E:$E,Transaction!$C:$C,"รายรับ",Transaction!$D:$D,$B63,Transaction!$B:$B,"&gt;="&amp;DATE($P$3,MATCH(I$62,Setup!$J$6:$J$17,0),1),Transaction!$B:$B,"&lt;"&amp;DATE($P$3,MATCH(I$62,Setup!$J$6:$J$17,0)+1,1)))</f>
        <v/>
      </c>
      <c r="J63" s="78">
        <f>IF($B63="","",SUMIFS(Transaction!$E:$E,Transaction!$C:$C,"รายรับ",Transaction!$D:$D,$B63,Transaction!$B:$B,"&gt;="&amp;DATE($P$3,MATCH(J$62,Setup!$J$6:$J$17,0),1),Transaction!$B:$B,"&lt;"&amp;DATE($P$3,MATCH(J$62,Setup!$J$6:$J$17,0)+1,1)))</f>
        <v/>
      </c>
      <c r="K63" s="78">
        <f>IF($B63="","",SUMIFS(Transaction!$E:$E,Transaction!$C:$C,"รายรับ",Transaction!$D:$D,$B63,Transaction!$B:$B,"&gt;="&amp;DATE($P$3,MATCH(K$62,Setup!$J$6:$J$17,0),1),Transaction!$B:$B,"&lt;"&amp;DATE($P$3,MATCH(K$62,Setup!$J$6:$J$17,0)+1,1)))</f>
        <v/>
      </c>
      <c r="L63" s="78">
        <f>IF($B63="","",SUMIFS(Transaction!$E:$E,Transaction!$C:$C,"รายรับ",Transaction!$D:$D,$B63,Transaction!$B:$B,"&gt;="&amp;DATE($P$3,MATCH(L$62,Setup!$J$6:$J$17,0),1),Transaction!$B:$B,"&lt;"&amp;DATE($P$3,MATCH(L$62,Setup!$J$6:$J$17,0)+1,1)))</f>
        <v/>
      </c>
      <c r="M63" s="78">
        <f>IF($B63="","",SUMIFS(Transaction!$E:$E,Transaction!$C:$C,"รายรับ",Transaction!$D:$D,$B63,Transaction!$B:$B,"&gt;="&amp;DATE($P$3,MATCH(M$62,Setup!$J$6:$J$17,0),1),Transaction!$B:$B,"&lt;"&amp;DATE($P$3,MATCH(M$62,Setup!$J$6:$J$17,0)+1,1)))</f>
        <v/>
      </c>
      <c r="N63" s="78">
        <f>IF($B63="","",SUMIFS(Transaction!$E:$E,Transaction!$C:$C,"รายรับ",Transaction!$D:$D,$B63,Transaction!$B:$B,"&gt;="&amp;DATE($P$3,MATCH(N$62,Setup!$J$6:$J$17,0),1),Transaction!$B:$B,"&lt;"&amp;DATE($P$3,MATCH(N$62,Setup!$J$6:$J$17,0)+1,1)))</f>
        <v/>
      </c>
      <c r="O63" s="55">
        <f>IF($B63="","",SUM(C63:N63))</f>
        <v/>
      </c>
      <c r="P63" s="79">
        <f>IF(OR($B63="",N($O$78)=0),"",O63/$O$78)</f>
        <v/>
      </c>
      <c r="Q63" s="80">
        <f>IF(OR($B63="",N(O63)&lt;=0),"",COUNTIF($O$63:$O$77,"&gt;"&amp;O63)+COUNTIF($O$63:O63,O63))</f>
        <v/>
      </c>
    </row>
    <row r="64">
      <c r="B64" s="60">
        <f>IF(Setup!$B$7="","",Setup!$B$7)</f>
        <v/>
      </c>
      <c r="C64" s="78">
        <f>IF($B64="","",SUMIFS(Transaction!$E:$E,Transaction!$C:$C,"รายรับ",Transaction!$D:$D,$B64,Transaction!$B:$B,"&gt;="&amp;DATE($P$3,MATCH(C$62,Setup!$J$6:$J$17,0),1),Transaction!$B:$B,"&lt;"&amp;DATE($P$3,MATCH(C$62,Setup!$J$6:$J$17,0)+1,1)))</f>
        <v/>
      </c>
      <c r="D64" s="78">
        <f>IF($B64="","",SUMIFS(Transaction!$E:$E,Transaction!$C:$C,"รายรับ",Transaction!$D:$D,$B64,Transaction!$B:$B,"&gt;="&amp;DATE($P$3,MATCH(D$62,Setup!$J$6:$J$17,0),1),Transaction!$B:$B,"&lt;"&amp;DATE($P$3,MATCH(D$62,Setup!$J$6:$J$17,0)+1,1)))</f>
        <v/>
      </c>
      <c r="E64" s="78">
        <f>IF($B64="","",SUMIFS(Transaction!$E:$E,Transaction!$C:$C,"รายรับ",Transaction!$D:$D,$B64,Transaction!$B:$B,"&gt;="&amp;DATE($P$3,MATCH(E$62,Setup!$J$6:$J$17,0),1),Transaction!$B:$B,"&lt;"&amp;DATE($P$3,MATCH(E$62,Setup!$J$6:$J$17,0)+1,1)))</f>
        <v/>
      </c>
      <c r="F64" s="78">
        <f>IF($B64="","",SUMIFS(Transaction!$E:$E,Transaction!$C:$C,"รายรับ",Transaction!$D:$D,$B64,Transaction!$B:$B,"&gt;="&amp;DATE($P$3,MATCH(F$62,Setup!$J$6:$J$17,0),1),Transaction!$B:$B,"&lt;"&amp;DATE($P$3,MATCH(F$62,Setup!$J$6:$J$17,0)+1,1)))</f>
        <v/>
      </c>
      <c r="G64" s="78">
        <f>IF($B64="","",SUMIFS(Transaction!$E:$E,Transaction!$C:$C,"รายรับ",Transaction!$D:$D,$B64,Transaction!$B:$B,"&gt;="&amp;DATE($P$3,MATCH(G$62,Setup!$J$6:$J$17,0),1),Transaction!$B:$B,"&lt;"&amp;DATE($P$3,MATCH(G$62,Setup!$J$6:$J$17,0)+1,1)))</f>
        <v/>
      </c>
      <c r="H64" s="78">
        <f>IF($B64="","",SUMIFS(Transaction!$E:$E,Transaction!$C:$C,"รายรับ",Transaction!$D:$D,$B64,Transaction!$B:$B,"&gt;="&amp;DATE($P$3,MATCH(H$62,Setup!$J$6:$J$17,0),1),Transaction!$B:$B,"&lt;"&amp;DATE($P$3,MATCH(H$62,Setup!$J$6:$J$17,0)+1,1)))</f>
        <v/>
      </c>
      <c r="I64" s="78">
        <f>IF($B64="","",SUMIFS(Transaction!$E:$E,Transaction!$C:$C,"รายรับ",Transaction!$D:$D,$B64,Transaction!$B:$B,"&gt;="&amp;DATE($P$3,MATCH(I$62,Setup!$J$6:$J$17,0),1),Transaction!$B:$B,"&lt;"&amp;DATE($P$3,MATCH(I$62,Setup!$J$6:$J$17,0)+1,1)))</f>
        <v/>
      </c>
      <c r="J64" s="78">
        <f>IF($B64="","",SUMIFS(Transaction!$E:$E,Transaction!$C:$C,"รายรับ",Transaction!$D:$D,$B64,Transaction!$B:$B,"&gt;="&amp;DATE($P$3,MATCH(J$62,Setup!$J$6:$J$17,0),1),Transaction!$B:$B,"&lt;"&amp;DATE($P$3,MATCH(J$62,Setup!$J$6:$J$17,0)+1,1)))</f>
        <v/>
      </c>
      <c r="K64" s="78">
        <f>IF($B64="","",SUMIFS(Transaction!$E:$E,Transaction!$C:$C,"รายรับ",Transaction!$D:$D,$B64,Transaction!$B:$B,"&gt;="&amp;DATE($P$3,MATCH(K$62,Setup!$J$6:$J$17,0),1),Transaction!$B:$B,"&lt;"&amp;DATE($P$3,MATCH(K$62,Setup!$J$6:$J$17,0)+1,1)))</f>
        <v/>
      </c>
      <c r="L64" s="78">
        <f>IF($B64="","",SUMIFS(Transaction!$E:$E,Transaction!$C:$C,"รายรับ",Transaction!$D:$D,$B64,Transaction!$B:$B,"&gt;="&amp;DATE($P$3,MATCH(L$62,Setup!$J$6:$J$17,0),1),Transaction!$B:$B,"&lt;"&amp;DATE($P$3,MATCH(L$62,Setup!$J$6:$J$17,0)+1,1)))</f>
        <v/>
      </c>
      <c r="M64" s="78">
        <f>IF($B64="","",SUMIFS(Transaction!$E:$E,Transaction!$C:$C,"รายรับ",Transaction!$D:$D,$B64,Transaction!$B:$B,"&gt;="&amp;DATE($P$3,MATCH(M$62,Setup!$J$6:$J$17,0),1),Transaction!$B:$B,"&lt;"&amp;DATE($P$3,MATCH(M$62,Setup!$J$6:$J$17,0)+1,1)))</f>
        <v/>
      </c>
      <c r="N64" s="78">
        <f>IF($B64="","",SUMIFS(Transaction!$E:$E,Transaction!$C:$C,"รายรับ",Transaction!$D:$D,$B64,Transaction!$B:$B,"&gt;="&amp;DATE($P$3,MATCH(N$62,Setup!$J$6:$J$17,0),1),Transaction!$B:$B,"&lt;"&amp;DATE($P$3,MATCH(N$62,Setup!$J$6:$J$17,0)+1,1)))</f>
        <v/>
      </c>
      <c r="O64" s="55">
        <f>IF($B64="","",SUM(C64:N64))</f>
        <v/>
      </c>
      <c r="P64" s="79">
        <f>IF(OR($B64="",N($O$78)=0),"",O64/$O$78)</f>
        <v/>
      </c>
      <c r="Q64" s="80">
        <f>IF(OR($B64="",N(O64)&lt;=0),"",COUNTIF($O$63:$O$77,"&gt;"&amp;O64)+COUNTIF($O$63:O64,O64))</f>
        <v/>
      </c>
    </row>
    <row r="65">
      <c r="B65" s="60">
        <f>IF(Setup!$B$8="","",Setup!$B$8)</f>
        <v/>
      </c>
      <c r="C65" s="78">
        <f>IF($B65="","",SUMIFS(Transaction!$E:$E,Transaction!$C:$C,"รายรับ",Transaction!$D:$D,$B65,Transaction!$B:$B,"&gt;="&amp;DATE($P$3,MATCH(C$62,Setup!$J$6:$J$17,0),1),Transaction!$B:$B,"&lt;"&amp;DATE($P$3,MATCH(C$62,Setup!$J$6:$J$17,0)+1,1)))</f>
        <v/>
      </c>
      <c r="D65" s="78">
        <f>IF($B65="","",SUMIFS(Transaction!$E:$E,Transaction!$C:$C,"รายรับ",Transaction!$D:$D,$B65,Transaction!$B:$B,"&gt;="&amp;DATE($P$3,MATCH(D$62,Setup!$J$6:$J$17,0),1),Transaction!$B:$B,"&lt;"&amp;DATE($P$3,MATCH(D$62,Setup!$J$6:$J$17,0)+1,1)))</f>
        <v/>
      </c>
      <c r="E65" s="78">
        <f>IF($B65="","",SUMIFS(Transaction!$E:$E,Transaction!$C:$C,"รายรับ",Transaction!$D:$D,$B65,Transaction!$B:$B,"&gt;="&amp;DATE($P$3,MATCH(E$62,Setup!$J$6:$J$17,0),1),Transaction!$B:$B,"&lt;"&amp;DATE($P$3,MATCH(E$62,Setup!$J$6:$J$17,0)+1,1)))</f>
        <v/>
      </c>
      <c r="F65" s="78">
        <f>IF($B65="","",SUMIFS(Transaction!$E:$E,Transaction!$C:$C,"รายรับ",Transaction!$D:$D,$B65,Transaction!$B:$B,"&gt;="&amp;DATE($P$3,MATCH(F$62,Setup!$J$6:$J$17,0),1),Transaction!$B:$B,"&lt;"&amp;DATE($P$3,MATCH(F$62,Setup!$J$6:$J$17,0)+1,1)))</f>
        <v/>
      </c>
      <c r="G65" s="78">
        <f>IF($B65="","",SUMIFS(Transaction!$E:$E,Transaction!$C:$C,"รายรับ",Transaction!$D:$D,$B65,Transaction!$B:$B,"&gt;="&amp;DATE($P$3,MATCH(G$62,Setup!$J$6:$J$17,0),1),Transaction!$B:$B,"&lt;"&amp;DATE($P$3,MATCH(G$62,Setup!$J$6:$J$17,0)+1,1)))</f>
        <v/>
      </c>
      <c r="H65" s="78">
        <f>IF($B65="","",SUMIFS(Transaction!$E:$E,Transaction!$C:$C,"รายรับ",Transaction!$D:$D,$B65,Transaction!$B:$B,"&gt;="&amp;DATE($P$3,MATCH(H$62,Setup!$J$6:$J$17,0),1),Transaction!$B:$B,"&lt;"&amp;DATE($P$3,MATCH(H$62,Setup!$J$6:$J$17,0)+1,1)))</f>
        <v/>
      </c>
      <c r="I65" s="78">
        <f>IF($B65="","",SUMIFS(Transaction!$E:$E,Transaction!$C:$C,"รายรับ",Transaction!$D:$D,$B65,Transaction!$B:$B,"&gt;="&amp;DATE($P$3,MATCH(I$62,Setup!$J$6:$J$17,0),1),Transaction!$B:$B,"&lt;"&amp;DATE($P$3,MATCH(I$62,Setup!$J$6:$J$17,0)+1,1)))</f>
        <v/>
      </c>
      <c r="J65" s="78">
        <f>IF($B65="","",SUMIFS(Transaction!$E:$E,Transaction!$C:$C,"รายรับ",Transaction!$D:$D,$B65,Transaction!$B:$B,"&gt;="&amp;DATE($P$3,MATCH(J$62,Setup!$J$6:$J$17,0),1),Transaction!$B:$B,"&lt;"&amp;DATE($P$3,MATCH(J$62,Setup!$J$6:$J$17,0)+1,1)))</f>
        <v/>
      </c>
      <c r="K65" s="78">
        <f>IF($B65="","",SUMIFS(Transaction!$E:$E,Transaction!$C:$C,"รายรับ",Transaction!$D:$D,$B65,Transaction!$B:$B,"&gt;="&amp;DATE($P$3,MATCH(K$62,Setup!$J$6:$J$17,0),1),Transaction!$B:$B,"&lt;"&amp;DATE($P$3,MATCH(K$62,Setup!$J$6:$J$17,0)+1,1)))</f>
        <v/>
      </c>
      <c r="L65" s="78">
        <f>IF($B65="","",SUMIFS(Transaction!$E:$E,Transaction!$C:$C,"รายรับ",Transaction!$D:$D,$B65,Transaction!$B:$B,"&gt;="&amp;DATE($P$3,MATCH(L$62,Setup!$J$6:$J$17,0),1),Transaction!$B:$B,"&lt;"&amp;DATE($P$3,MATCH(L$62,Setup!$J$6:$J$17,0)+1,1)))</f>
        <v/>
      </c>
      <c r="M65" s="78">
        <f>IF($B65="","",SUMIFS(Transaction!$E:$E,Transaction!$C:$C,"รายรับ",Transaction!$D:$D,$B65,Transaction!$B:$B,"&gt;="&amp;DATE($P$3,MATCH(M$62,Setup!$J$6:$J$17,0),1),Transaction!$B:$B,"&lt;"&amp;DATE($P$3,MATCH(M$62,Setup!$J$6:$J$17,0)+1,1)))</f>
        <v/>
      </c>
      <c r="N65" s="78">
        <f>IF($B65="","",SUMIFS(Transaction!$E:$E,Transaction!$C:$C,"รายรับ",Transaction!$D:$D,$B65,Transaction!$B:$B,"&gt;="&amp;DATE($P$3,MATCH(N$62,Setup!$J$6:$J$17,0),1),Transaction!$B:$B,"&lt;"&amp;DATE($P$3,MATCH(N$62,Setup!$J$6:$J$17,0)+1,1)))</f>
        <v/>
      </c>
      <c r="O65" s="55">
        <f>IF($B65="","",SUM(C65:N65))</f>
        <v/>
      </c>
      <c r="P65" s="79">
        <f>IF(OR($B65="",N($O$78)=0),"",O65/$O$78)</f>
        <v/>
      </c>
      <c r="Q65" s="80">
        <f>IF(OR($B65="",N(O65)&lt;=0),"",COUNTIF($O$63:$O$77,"&gt;"&amp;O65)+COUNTIF($O$63:O65,O65))</f>
        <v/>
      </c>
    </row>
    <row r="66">
      <c r="B66" s="60">
        <f>IF(Setup!$B$9="","",Setup!$B$9)</f>
        <v/>
      </c>
      <c r="C66" s="78">
        <f>IF($B66="","",SUMIFS(Transaction!$E:$E,Transaction!$C:$C,"รายรับ",Transaction!$D:$D,$B66,Transaction!$B:$B,"&gt;="&amp;DATE($P$3,MATCH(C$62,Setup!$J$6:$J$17,0),1),Transaction!$B:$B,"&lt;"&amp;DATE($P$3,MATCH(C$62,Setup!$J$6:$J$17,0)+1,1)))</f>
        <v/>
      </c>
      <c r="D66" s="78">
        <f>IF($B66="","",SUMIFS(Transaction!$E:$E,Transaction!$C:$C,"รายรับ",Transaction!$D:$D,$B66,Transaction!$B:$B,"&gt;="&amp;DATE($P$3,MATCH(D$62,Setup!$J$6:$J$17,0),1),Transaction!$B:$B,"&lt;"&amp;DATE($P$3,MATCH(D$62,Setup!$J$6:$J$17,0)+1,1)))</f>
        <v/>
      </c>
      <c r="E66" s="78">
        <f>IF($B66="","",SUMIFS(Transaction!$E:$E,Transaction!$C:$C,"รายรับ",Transaction!$D:$D,$B66,Transaction!$B:$B,"&gt;="&amp;DATE($P$3,MATCH(E$62,Setup!$J$6:$J$17,0),1),Transaction!$B:$B,"&lt;"&amp;DATE($P$3,MATCH(E$62,Setup!$J$6:$J$17,0)+1,1)))</f>
        <v/>
      </c>
      <c r="F66" s="78">
        <f>IF($B66="","",SUMIFS(Transaction!$E:$E,Transaction!$C:$C,"รายรับ",Transaction!$D:$D,$B66,Transaction!$B:$B,"&gt;="&amp;DATE($P$3,MATCH(F$62,Setup!$J$6:$J$17,0),1),Transaction!$B:$B,"&lt;"&amp;DATE($P$3,MATCH(F$62,Setup!$J$6:$J$17,0)+1,1)))</f>
        <v/>
      </c>
      <c r="G66" s="78">
        <f>IF($B66="","",SUMIFS(Transaction!$E:$E,Transaction!$C:$C,"รายรับ",Transaction!$D:$D,$B66,Transaction!$B:$B,"&gt;="&amp;DATE($P$3,MATCH(G$62,Setup!$J$6:$J$17,0),1),Transaction!$B:$B,"&lt;"&amp;DATE($P$3,MATCH(G$62,Setup!$J$6:$J$17,0)+1,1)))</f>
        <v/>
      </c>
      <c r="H66" s="78">
        <f>IF($B66="","",SUMIFS(Transaction!$E:$E,Transaction!$C:$C,"รายรับ",Transaction!$D:$D,$B66,Transaction!$B:$B,"&gt;="&amp;DATE($P$3,MATCH(H$62,Setup!$J$6:$J$17,0),1),Transaction!$B:$B,"&lt;"&amp;DATE($P$3,MATCH(H$62,Setup!$J$6:$J$17,0)+1,1)))</f>
        <v/>
      </c>
      <c r="I66" s="78">
        <f>IF($B66="","",SUMIFS(Transaction!$E:$E,Transaction!$C:$C,"รายรับ",Transaction!$D:$D,$B66,Transaction!$B:$B,"&gt;="&amp;DATE($P$3,MATCH(I$62,Setup!$J$6:$J$17,0),1),Transaction!$B:$B,"&lt;"&amp;DATE($P$3,MATCH(I$62,Setup!$J$6:$J$17,0)+1,1)))</f>
        <v/>
      </c>
      <c r="J66" s="78">
        <f>IF($B66="","",SUMIFS(Transaction!$E:$E,Transaction!$C:$C,"รายรับ",Transaction!$D:$D,$B66,Transaction!$B:$B,"&gt;="&amp;DATE($P$3,MATCH(J$62,Setup!$J$6:$J$17,0),1),Transaction!$B:$B,"&lt;"&amp;DATE($P$3,MATCH(J$62,Setup!$J$6:$J$17,0)+1,1)))</f>
        <v/>
      </c>
      <c r="K66" s="78">
        <f>IF($B66="","",SUMIFS(Transaction!$E:$E,Transaction!$C:$C,"รายรับ",Transaction!$D:$D,$B66,Transaction!$B:$B,"&gt;="&amp;DATE($P$3,MATCH(K$62,Setup!$J$6:$J$17,0),1),Transaction!$B:$B,"&lt;"&amp;DATE($P$3,MATCH(K$62,Setup!$J$6:$J$17,0)+1,1)))</f>
        <v/>
      </c>
      <c r="L66" s="78">
        <f>IF($B66="","",SUMIFS(Transaction!$E:$E,Transaction!$C:$C,"รายรับ",Transaction!$D:$D,$B66,Transaction!$B:$B,"&gt;="&amp;DATE($P$3,MATCH(L$62,Setup!$J$6:$J$17,0),1),Transaction!$B:$B,"&lt;"&amp;DATE($P$3,MATCH(L$62,Setup!$J$6:$J$17,0)+1,1)))</f>
        <v/>
      </c>
      <c r="M66" s="78">
        <f>IF($B66="","",SUMIFS(Transaction!$E:$E,Transaction!$C:$C,"รายรับ",Transaction!$D:$D,$B66,Transaction!$B:$B,"&gt;="&amp;DATE($P$3,MATCH(M$62,Setup!$J$6:$J$17,0),1),Transaction!$B:$B,"&lt;"&amp;DATE($P$3,MATCH(M$62,Setup!$J$6:$J$17,0)+1,1)))</f>
        <v/>
      </c>
      <c r="N66" s="78">
        <f>IF($B66="","",SUMIFS(Transaction!$E:$E,Transaction!$C:$C,"รายรับ",Transaction!$D:$D,$B66,Transaction!$B:$B,"&gt;="&amp;DATE($P$3,MATCH(N$62,Setup!$J$6:$J$17,0),1),Transaction!$B:$B,"&lt;"&amp;DATE($P$3,MATCH(N$62,Setup!$J$6:$J$17,0)+1,1)))</f>
        <v/>
      </c>
      <c r="O66" s="55">
        <f>IF($B66="","",SUM(C66:N66))</f>
        <v/>
      </c>
      <c r="P66" s="79">
        <f>IF(OR($B66="",N($O$78)=0),"",O66/$O$78)</f>
        <v/>
      </c>
      <c r="Q66" s="80">
        <f>IF(OR($B66="",N(O66)&lt;=0),"",COUNTIF($O$63:$O$77,"&gt;"&amp;O66)+COUNTIF($O$63:O66,O66))</f>
        <v/>
      </c>
    </row>
    <row r="67">
      <c r="B67" s="60">
        <f>IF(Setup!$B$10="","",Setup!$B$10)</f>
        <v/>
      </c>
      <c r="C67" s="78">
        <f>IF($B67="","",SUMIFS(Transaction!$E:$E,Transaction!$C:$C,"รายรับ",Transaction!$D:$D,$B67,Transaction!$B:$B,"&gt;="&amp;DATE($P$3,MATCH(C$62,Setup!$J$6:$J$17,0),1),Transaction!$B:$B,"&lt;"&amp;DATE($P$3,MATCH(C$62,Setup!$J$6:$J$17,0)+1,1)))</f>
        <v/>
      </c>
      <c r="D67" s="78">
        <f>IF($B67="","",SUMIFS(Transaction!$E:$E,Transaction!$C:$C,"รายรับ",Transaction!$D:$D,$B67,Transaction!$B:$B,"&gt;="&amp;DATE($P$3,MATCH(D$62,Setup!$J$6:$J$17,0),1),Transaction!$B:$B,"&lt;"&amp;DATE($P$3,MATCH(D$62,Setup!$J$6:$J$17,0)+1,1)))</f>
        <v/>
      </c>
      <c r="E67" s="78">
        <f>IF($B67="","",SUMIFS(Transaction!$E:$E,Transaction!$C:$C,"รายรับ",Transaction!$D:$D,$B67,Transaction!$B:$B,"&gt;="&amp;DATE($P$3,MATCH(E$62,Setup!$J$6:$J$17,0),1),Transaction!$B:$B,"&lt;"&amp;DATE($P$3,MATCH(E$62,Setup!$J$6:$J$17,0)+1,1)))</f>
        <v/>
      </c>
      <c r="F67" s="78">
        <f>IF($B67="","",SUMIFS(Transaction!$E:$E,Transaction!$C:$C,"รายรับ",Transaction!$D:$D,$B67,Transaction!$B:$B,"&gt;="&amp;DATE($P$3,MATCH(F$62,Setup!$J$6:$J$17,0),1),Transaction!$B:$B,"&lt;"&amp;DATE($P$3,MATCH(F$62,Setup!$J$6:$J$17,0)+1,1)))</f>
        <v/>
      </c>
      <c r="G67" s="78">
        <f>IF($B67="","",SUMIFS(Transaction!$E:$E,Transaction!$C:$C,"รายรับ",Transaction!$D:$D,$B67,Transaction!$B:$B,"&gt;="&amp;DATE($P$3,MATCH(G$62,Setup!$J$6:$J$17,0),1),Transaction!$B:$B,"&lt;"&amp;DATE($P$3,MATCH(G$62,Setup!$J$6:$J$17,0)+1,1)))</f>
        <v/>
      </c>
      <c r="H67" s="78">
        <f>IF($B67="","",SUMIFS(Transaction!$E:$E,Transaction!$C:$C,"รายรับ",Transaction!$D:$D,$B67,Transaction!$B:$B,"&gt;="&amp;DATE($P$3,MATCH(H$62,Setup!$J$6:$J$17,0),1),Transaction!$B:$B,"&lt;"&amp;DATE($P$3,MATCH(H$62,Setup!$J$6:$J$17,0)+1,1)))</f>
        <v/>
      </c>
      <c r="I67" s="78">
        <f>IF($B67="","",SUMIFS(Transaction!$E:$E,Transaction!$C:$C,"รายรับ",Transaction!$D:$D,$B67,Transaction!$B:$B,"&gt;="&amp;DATE($P$3,MATCH(I$62,Setup!$J$6:$J$17,0),1),Transaction!$B:$B,"&lt;"&amp;DATE($P$3,MATCH(I$62,Setup!$J$6:$J$17,0)+1,1)))</f>
        <v/>
      </c>
      <c r="J67" s="78">
        <f>IF($B67="","",SUMIFS(Transaction!$E:$E,Transaction!$C:$C,"รายรับ",Transaction!$D:$D,$B67,Transaction!$B:$B,"&gt;="&amp;DATE($P$3,MATCH(J$62,Setup!$J$6:$J$17,0),1),Transaction!$B:$B,"&lt;"&amp;DATE($P$3,MATCH(J$62,Setup!$J$6:$J$17,0)+1,1)))</f>
        <v/>
      </c>
      <c r="K67" s="78">
        <f>IF($B67="","",SUMIFS(Transaction!$E:$E,Transaction!$C:$C,"รายรับ",Transaction!$D:$D,$B67,Transaction!$B:$B,"&gt;="&amp;DATE($P$3,MATCH(K$62,Setup!$J$6:$J$17,0),1),Transaction!$B:$B,"&lt;"&amp;DATE($P$3,MATCH(K$62,Setup!$J$6:$J$17,0)+1,1)))</f>
        <v/>
      </c>
      <c r="L67" s="78">
        <f>IF($B67="","",SUMIFS(Transaction!$E:$E,Transaction!$C:$C,"รายรับ",Transaction!$D:$D,$B67,Transaction!$B:$B,"&gt;="&amp;DATE($P$3,MATCH(L$62,Setup!$J$6:$J$17,0),1),Transaction!$B:$B,"&lt;"&amp;DATE($P$3,MATCH(L$62,Setup!$J$6:$J$17,0)+1,1)))</f>
        <v/>
      </c>
      <c r="M67" s="78">
        <f>IF($B67="","",SUMIFS(Transaction!$E:$E,Transaction!$C:$C,"รายรับ",Transaction!$D:$D,$B67,Transaction!$B:$B,"&gt;="&amp;DATE($P$3,MATCH(M$62,Setup!$J$6:$J$17,0),1),Transaction!$B:$B,"&lt;"&amp;DATE($P$3,MATCH(M$62,Setup!$J$6:$J$17,0)+1,1)))</f>
        <v/>
      </c>
      <c r="N67" s="78">
        <f>IF($B67="","",SUMIFS(Transaction!$E:$E,Transaction!$C:$C,"รายรับ",Transaction!$D:$D,$B67,Transaction!$B:$B,"&gt;="&amp;DATE($P$3,MATCH(N$62,Setup!$J$6:$J$17,0),1),Transaction!$B:$B,"&lt;"&amp;DATE($P$3,MATCH(N$62,Setup!$J$6:$J$17,0)+1,1)))</f>
        <v/>
      </c>
      <c r="O67" s="55">
        <f>IF($B67="","",SUM(C67:N67))</f>
        <v/>
      </c>
      <c r="P67" s="79">
        <f>IF(OR($B67="",N($O$78)=0),"",O67/$O$78)</f>
        <v/>
      </c>
      <c r="Q67" s="80">
        <f>IF(OR($B67="",N(O67)&lt;=0),"",COUNTIF($O$63:$O$77,"&gt;"&amp;O67)+COUNTIF($O$63:O67,O67))</f>
        <v/>
      </c>
    </row>
    <row r="68">
      <c r="B68" s="60">
        <f>IF(Setup!$B$11="","",Setup!$B$11)</f>
        <v/>
      </c>
      <c r="C68" s="78">
        <f>IF($B68="","",SUMIFS(Transaction!$E:$E,Transaction!$C:$C,"รายรับ",Transaction!$D:$D,$B68,Transaction!$B:$B,"&gt;="&amp;DATE($P$3,MATCH(C$62,Setup!$J$6:$J$17,0),1),Transaction!$B:$B,"&lt;"&amp;DATE($P$3,MATCH(C$62,Setup!$J$6:$J$17,0)+1,1)))</f>
        <v/>
      </c>
      <c r="D68" s="78">
        <f>IF($B68="","",SUMIFS(Transaction!$E:$E,Transaction!$C:$C,"รายรับ",Transaction!$D:$D,$B68,Transaction!$B:$B,"&gt;="&amp;DATE($P$3,MATCH(D$62,Setup!$J$6:$J$17,0),1),Transaction!$B:$B,"&lt;"&amp;DATE($P$3,MATCH(D$62,Setup!$J$6:$J$17,0)+1,1)))</f>
        <v/>
      </c>
      <c r="E68" s="78">
        <f>IF($B68="","",SUMIFS(Transaction!$E:$E,Transaction!$C:$C,"รายรับ",Transaction!$D:$D,$B68,Transaction!$B:$B,"&gt;="&amp;DATE($P$3,MATCH(E$62,Setup!$J$6:$J$17,0),1),Transaction!$B:$B,"&lt;"&amp;DATE($P$3,MATCH(E$62,Setup!$J$6:$J$17,0)+1,1)))</f>
        <v/>
      </c>
      <c r="F68" s="78">
        <f>IF($B68="","",SUMIFS(Transaction!$E:$E,Transaction!$C:$C,"รายรับ",Transaction!$D:$D,$B68,Transaction!$B:$B,"&gt;="&amp;DATE($P$3,MATCH(F$62,Setup!$J$6:$J$17,0),1),Transaction!$B:$B,"&lt;"&amp;DATE($P$3,MATCH(F$62,Setup!$J$6:$J$17,0)+1,1)))</f>
        <v/>
      </c>
      <c r="G68" s="78">
        <f>IF($B68="","",SUMIFS(Transaction!$E:$E,Transaction!$C:$C,"รายรับ",Transaction!$D:$D,$B68,Transaction!$B:$B,"&gt;="&amp;DATE($P$3,MATCH(G$62,Setup!$J$6:$J$17,0),1),Transaction!$B:$B,"&lt;"&amp;DATE($P$3,MATCH(G$62,Setup!$J$6:$J$17,0)+1,1)))</f>
        <v/>
      </c>
      <c r="H68" s="78">
        <f>IF($B68="","",SUMIFS(Transaction!$E:$E,Transaction!$C:$C,"รายรับ",Transaction!$D:$D,$B68,Transaction!$B:$B,"&gt;="&amp;DATE($P$3,MATCH(H$62,Setup!$J$6:$J$17,0),1),Transaction!$B:$B,"&lt;"&amp;DATE($P$3,MATCH(H$62,Setup!$J$6:$J$17,0)+1,1)))</f>
        <v/>
      </c>
      <c r="I68" s="78">
        <f>IF($B68="","",SUMIFS(Transaction!$E:$E,Transaction!$C:$C,"รายรับ",Transaction!$D:$D,$B68,Transaction!$B:$B,"&gt;="&amp;DATE($P$3,MATCH(I$62,Setup!$J$6:$J$17,0),1),Transaction!$B:$B,"&lt;"&amp;DATE($P$3,MATCH(I$62,Setup!$J$6:$J$17,0)+1,1)))</f>
        <v/>
      </c>
      <c r="J68" s="78">
        <f>IF($B68="","",SUMIFS(Transaction!$E:$E,Transaction!$C:$C,"รายรับ",Transaction!$D:$D,$B68,Transaction!$B:$B,"&gt;="&amp;DATE($P$3,MATCH(J$62,Setup!$J$6:$J$17,0),1),Transaction!$B:$B,"&lt;"&amp;DATE($P$3,MATCH(J$62,Setup!$J$6:$J$17,0)+1,1)))</f>
        <v/>
      </c>
      <c r="K68" s="78">
        <f>IF($B68="","",SUMIFS(Transaction!$E:$E,Transaction!$C:$C,"รายรับ",Transaction!$D:$D,$B68,Transaction!$B:$B,"&gt;="&amp;DATE($P$3,MATCH(K$62,Setup!$J$6:$J$17,0),1),Transaction!$B:$B,"&lt;"&amp;DATE($P$3,MATCH(K$62,Setup!$J$6:$J$17,0)+1,1)))</f>
        <v/>
      </c>
      <c r="L68" s="78">
        <f>IF($B68="","",SUMIFS(Transaction!$E:$E,Transaction!$C:$C,"รายรับ",Transaction!$D:$D,$B68,Transaction!$B:$B,"&gt;="&amp;DATE($P$3,MATCH(L$62,Setup!$J$6:$J$17,0),1),Transaction!$B:$B,"&lt;"&amp;DATE($P$3,MATCH(L$62,Setup!$J$6:$J$17,0)+1,1)))</f>
        <v/>
      </c>
      <c r="M68" s="78">
        <f>IF($B68="","",SUMIFS(Transaction!$E:$E,Transaction!$C:$C,"รายรับ",Transaction!$D:$D,$B68,Transaction!$B:$B,"&gt;="&amp;DATE($P$3,MATCH(M$62,Setup!$J$6:$J$17,0),1),Transaction!$B:$B,"&lt;"&amp;DATE($P$3,MATCH(M$62,Setup!$J$6:$J$17,0)+1,1)))</f>
        <v/>
      </c>
      <c r="N68" s="78">
        <f>IF($B68="","",SUMIFS(Transaction!$E:$E,Transaction!$C:$C,"รายรับ",Transaction!$D:$D,$B68,Transaction!$B:$B,"&gt;="&amp;DATE($P$3,MATCH(N$62,Setup!$J$6:$J$17,0),1),Transaction!$B:$B,"&lt;"&amp;DATE($P$3,MATCH(N$62,Setup!$J$6:$J$17,0)+1,1)))</f>
        <v/>
      </c>
      <c r="O68" s="55">
        <f>IF($B68="","",SUM(C68:N68))</f>
        <v/>
      </c>
      <c r="P68" s="79">
        <f>IF(OR($B68="",N($O$78)=0),"",O68/$O$78)</f>
        <v/>
      </c>
      <c r="Q68" s="80">
        <f>IF(OR($B68="",N(O68)&lt;=0),"",COUNTIF($O$63:$O$77,"&gt;"&amp;O68)+COUNTIF($O$63:O68,O68))</f>
        <v/>
      </c>
    </row>
    <row r="69">
      <c r="B69" s="60">
        <f>IF(Setup!$B$12="","",Setup!$B$12)</f>
        <v/>
      </c>
      <c r="C69" s="78">
        <f>IF($B69="","",SUMIFS(Transaction!$E:$E,Transaction!$C:$C,"รายรับ",Transaction!$D:$D,$B69,Transaction!$B:$B,"&gt;="&amp;DATE($P$3,MATCH(C$62,Setup!$J$6:$J$17,0),1),Transaction!$B:$B,"&lt;"&amp;DATE($P$3,MATCH(C$62,Setup!$J$6:$J$17,0)+1,1)))</f>
        <v/>
      </c>
      <c r="D69" s="78">
        <f>IF($B69="","",SUMIFS(Transaction!$E:$E,Transaction!$C:$C,"รายรับ",Transaction!$D:$D,$B69,Transaction!$B:$B,"&gt;="&amp;DATE($P$3,MATCH(D$62,Setup!$J$6:$J$17,0),1),Transaction!$B:$B,"&lt;"&amp;DATE($P$3,MATCH(D$62,Setup!$J$6:$J$17,0)+1,1)))</f>
        <v/>
      </c>
      <c r="E69" s="78">
        <f>IF($B69="","",SUMIFS(Transaction!$E:$E,Transaction!$C:$C,"รายรับ",Transaction!$D:$D,$B69,Transaction!$B:$B,"&gt;="&amp;DATE($P$3,MATCH(E$62,Setup!$J$6:$J$17,0),1),Transaction!$B:$B,"&lt;"&amp;DATE($P$3,MATCH(E$62,Setup!$J$6:$J$17,0)+1,1)))</f>
        <v/>
      </c>
      <c r="F69" s="78">
        <f>IF($B69="","",SUMIFS(Transaction!$E:$E,Transaction!$C:$C,"รายรับ",Transaction!$D:$D,$B69,Transaction!$B:$B,"&gt;="&amp;DATE($P$3,MATCH(F$62,Setup!$J$6:$J$17,0),1),Transaction!$B:$B,"&lt;"&amp;DATE($P$3,MATCH(F$62,Setup!$J$6:$J$17,0)+1,1)))</f>
        <v/>
      </c>
      <c r="G69" s="78">
        <f>IF($B69="","",SUMIFS(Transaction!$E:$E,Transaction!$C:$C,"รายรับ",Transaction!$D:$D,$B69,Transaction!$B:$B,"&gt;="&amp;DATE($P$3,MATCH(G$62,Setup!$J$6:$J$17,0),1),Transaction!$B:$B,"&lt;"&amp;DATE($P$3,MATCH(G$62,Setup!$J$6:$J$17,0)+1,1)))</f>
        <v/>
      </c>
      <c r="H69" s="78">
        <f>IF($B69="","",SUMIFS(Transaction!$E:$E,Transaction!$C:$C,"รายรับ",Transaction!$D:$D,$B69,Transaction!$B:$B,"&gt;="&amp;DATE($P$3,MATCH(H$62,Setup!$J$6:$J$17,0),1),Transaction!$B:$B,"&lt;"&amp;DATE($P$3,MATCH(H$62,Setup!$J$6:$J$17,0)+1,1)))</f>
        <v/>
      </c>
      <c r="I69" s="78">
        <f>IF($B69="","",SUMIFS(Transaction!$E:$E,Transaction!$C:$C,"รายรับ",Transaction!$D:$D,$B69,Transaction!$B:$B,"&gt;="&amp;DATE($P$3,MATCH(I$62,Setup!$J$6:$J$17,0),1),Transaction!$B:$B,"&lt;"&amp;DATE($P$3,MATCH(I$62,Setup!$J$6:$J$17,0)+1,1)))</f>
        <v/>
      </c>
      <c r="J69" s="78">
        <f>IF($B69="","",SUMIFS(Transaction!$E:$E,Transaction!$C:$C,"รายรับ",Transaction!$D:$D,$B69,Transaction!$B:$B,"&gt;="&amp;DATE($P$3,MATCH(J$62,Setup!$J$6:$J$17,0),1),Transaction!$B:$B,"&lt;"&amp;DATE($P$3,MATCH(J$62,Setup!$J$6:$J$17,0)+1,1)))</f>
        <v/>
      </c>
      <c r="K69" s="78">
        <f>IF($B69="","",SUMIFS(Transaction!$E:$E,Transaction!$C:$C,"รายรับ",Transaction!$D:$D,$B69,Transaction!$B:$B,"&gt;="&amp;DATE($P$3,MATCH(K$62,Setup!$J$6:$J$17,0),1),Transaction!$B:$B,"&lt;"&amp;DATE($P$3,MATCH(K$62,Setup!$J$6:$J$17,0)+1,1)))</f>
        <v/>
      </c>
      <c r="L69" s="78">
        <f>IF($B69="","",SUMIFS(Transaction!$E:$E,Transaction!$C:$C,"รายรับ",Transaction!$D:$D,$B69,Transaction!$B:$B,"&gt;="&amp;DATE($P$3,MATCH(L$62,Setup!$J$6:$J$17,0),1),Transaction!$B:$B,"&lt;"&amp;DATE($P$3,MATCH(L$62,Setup!$J$6:$J$17,0)+1,1)))</f>
        <v/>
      </c>
      <c r="M69" s="78">
        <f>IF($B69="","",SUMIFS(Transaction!$E:$E,Transaction!$C:$C,"รายรับ",Transaction!$D:$D,$B69,Transaction!$B:$B,"&gt;="&amp;DATE($P$3,MATCH(M$62,Setup!$J$6:$J$17,0),1),Transaction!$B:$B,"&lt;"&amp;DATE($P$3,MATCH(M$62,Setup!$J$6:$J$17,0)+1,1)))</f>
        <v/>
      </c>
      <c r="N69" s="78">
        <f>IF($B69="","",SUMIFS(Transaction!$E:$E,Transaction!$C:$C,"รายรับ",Transaction!$D:$D,$B69,Transaction!$B:$B,"&gt;="&amp;DATE($P$3,MATCH(N$62,Setup!$J$6:$J$17,0),1),Transaction!$B:$B,"&lt;"&amp;DATE($P$3,MATCH(N$62,Setup!$J$6:$J$17,0)+1,1)))</f>
        <v/>
      </c>
      <c r="O69" s="55">
        <f>IF($B69="","",SUM(C69:N69))</f>
        <v/>
      </c>
      <c r="P69" s="79">
        <f>IF(OR($B69="",N($O$78)=0),"",O69/$O$78)</f>
        <v/>
      </c>
      <c r="Q69" s="80">
        <f>IF(OR($B69="",N(O69)&lt;=0),"",COUNTIF($O$63:$O$77,"&gt;"&amp;O69)+COUNTIF($O$63:O69,O69))</f>
        <v/>
      </c>
    </row>
    <row r="70">
      <c r="B70" s="60">
        <f>IF(Setup!$B$13="","",Setup!$B$13)</f>
        <v/>
      </c>
      <c r="C70" s="78">
        <f>IF($B70="","",SUMIFS(Transaction!$E:$E,Transaction!$C:$C,"รายรับ",Transaction!$D:$D,$B70,Transaction!$B:$B,"&gt;="&amp;DATE($P$3,MATCH(C$62,Setup!$J$6:$J$17,0),1),Transaction!$B:$B,"&lt;"&amp;DATE($P$3,MATCH(C$62,Setup!$J$6:$J$17,0)+1,1)))</f>
        <v/>
      </c>
      <c r="D70" s="78">
        <f>IF($B70="","",SUMIFS(Transaction!$E:$E,Transaction!$C:$C,"รายรับ",Transaction!$D:$D,$B70,Transaction!$B:$B,"&gt;="&amp;DATE($P$3,MATCH(D$62,Setup!$J$6:$J$17,0),1),Transaction!$B:$B,"&lt;"&amp;DATE($P$3,MATCH(D$62,Setup!$J$6:$J$17,0)+1,1)))</f>
        <v/>
      </c>
      <c r="E70" s="78">
        <f>IF($B70="","",SUMIFS(Transaction!$E:$E,Transaction!$C:$C,"รายรับ",Transaction!$D:$D,$B70,Transaction!$B:$B,"&gt;="&amp;DATE($P$3,MATCH(E$62,Setup!$J$6:$J$17,0),1),Transaction!$B:$B,"&lt;"&amp;DATE($P$3,MATCH(E$62,Setup!$J$6:$J$17,0)+1,1)))</f>
        <v/>
      </c>
      <c r="F70" s="78">
        <f>IF($B70="","",SUMIFS(Transaction!$E:$E,Transaction!$C:$C,"รายรับ",Transaction!$D:$D,$B70,Transaction!$B:$B,"&gt;="&amp;DATE($P$3,MATCH(F$62,Setup!$J$6:$J$17,0),1),Transaction!$B:$B,"&lt;"&amp;DATE($P$3,MATCH(F$62,Setup!$J$6:$J$17,0)+1,1)))</f>
        <v/>
      </c>
      <c r="G70" s="78">
        <f>IF($B70="","",SUMIFS(Transaction!$E:$E,Transaction!$C:$C,"รายรับ",Transaction!$D:$D,$B70,Transaction!$B:$B,"&gt;="&amp;DATE($P$3,MATCH(G$62,Setup!$J$6:$J$17,0),1),Transaction!$B:$B,"&lt;"&amp;DATE($P$3,MATCH(G$62,Setup!$J$6:$J$17,0)+1,1)))</f>
        <v/>
      </c>
      <c r="H70" s="78">
        <f>IF($B70="","",SUMIFS(Transaction!$E:$E,Transaction!$C:$C,"รายรับ",Transaction!$D:$D,$B70,Transaction!$B:$B,"&gt;="&amp;DATE($P$3,MATCH(H$62,Setup!$J$6:$J$17,0),1),Transaction!$B:$B,"&lt;"&amp;DATE($P$3,MATCH(H$62,Setup!$J$6:$J$17,0)+1,1)))</f>
        <v/>
      </c>
      <c r="I70" s="78">
        <f>IF($B70="","",SUMIFS(Transaction!$E:$E,Transaction!$C:$C,"รายรับ",Transaction!$D:$D,$B70,Transaction!$B:$B,"&gt;="&amp;DATE($P$3,MATCH(I$62,Setup!$J$6:$J$17,0),1),Transaction!$B:$B,"&lt;"&amp;DATE($P$3,MATCH(I$62,Setup!$J$6:$J$17,0)+1,1)))</f>
        <v/>
      </c>
      <c r="J70" s="78">
        <f>IF($B70="","",SUMIFS(Transaction!$E:$E,Transaction!$C:$C,"รายรับ",Transaction!$D:$D,$B70,Transaction!$B:$B,"&gt;="&amp;DATE($P$3,MATCH(J$62,Setup!$J$6:$J$17,0),1),Transaction!$B:$B,"&lt;"&amp;DATE($P$3,MATCH(J$62,Setup!$J$6:$J$17,0)+1,1)))</f>
        <v/>
      </c>
      <c r="K70" s="78">
        <f>IF($B70="","",SUMIFS(Transaction!$E:$E,Transaction!$C:$C,"รายรับ",Transaction!$D:$D,$B70,Transaction!$B:$B,"&gt;="&amp;DATE($P$3,MATCH(K$62,Setup!$J$6:$J$17,0),1),Transaction!$B:$B,"&lt;"&amp;DATE($P$3,MATCH(K$62,Setup!$J$6:$J$17,0)+1,1)))</f>
        <v/>
      </c>
      <c r="L70" s="78">
        <f>IF($B70="","",SUMIFS(Transaction!$E:$E,Transaction!$C:$C,"รายรับ",Transaction!$D:$D,$B70,Transaction!$B:$B,"&gt;="&amp;DATE($P$3,MATCH(L$62,Setup!$J$6:$J$17,0),1),Transaction!$B:$B,"&lt;"&amp;DATE($P$3,MATCH(L$62,Setup!$J$6:$J$17,0)+1,1)))</f>
        <v/>
      </c>
      <c r="M70" s="78">
        <f>IF($B70="","",SUMIFS(Transaction!$E:$E,Transaction!$C:$C,"รายรับ",Transaction!$D:$D,$B70,Transaction!$B:$B,"&gt;="&amp;DATE($P$3,MATCH(M$62,Setup!$J$6:$J$17,0),1),Transaction!$B:$B,"&lt;"&amp;DATE($P$3,MATCH(M$62,Setup!$J$6:$J$17,0)+1,1)))</f>
        <v/>
      </c>
      <c r="N70" s="78">
        <f>IF($B70="","",SUMIFS(Transaction!$E:$E,Transaction!$C:$C,"รายรับ",Transaction!$D:$D,$B70,Transaction!$B:$B,"&gt;="&amp;DATE($P$3,MATCH(N$62,Setup!$J$6:$J$17,0),1),Transaction!$B:$B,"&lt;"&amp;DATE($P$3,MATCH(N$62,Setup!$J$6:$J$17,0)+1,1)))</f>
        <v/>
      </c>
      <c r="O70" s="55">
        <f>IF($B70="","",SUM(C70:N70))</f>
        <v/>
      </c>
      <c r="P70" s="79">
        <f>IF(OR($B70="",N($O$78)=0),"",O70/$O$78)</f>
        <v/>
      </c>
      <c r="Q70" s="80">
        <f>IF(OR($B70="",N(O70)&lt;=0),"",COUNTIF($O$63:$O$77,"&gt;"&amp;O70)+COUNTIF($O$63:O70,O70))</f>
        <v/>
      </c>
    </row>
    <row r="71">
      <c r="B71" s="60">
        <f>IF(Setup!$B$14="","",Setup!$B$14)</f>
        <v/>
      </c>
      <c r="C71" s="78">
        <f>IF($B71="","",SUMIFS(Transaction!$E:$E,Transaction!$C:$C,"รายรับ",Transaction!$D:$D,$B71,Transaction!$B:$B,"&gt;="&amp;DATE($P$3,MATCH(C$62,Setup!$J$6:$J$17,0),1),Transaction!$B:$B,"&lt;"&amp;DATE($P$3,MATCH(C$62,Setup!$J$6:$J$17,0)+1,1)))</f>
        <v/>
      </c>
      <c r="D71" s="78">
        <f>IF($B71="","",SUMIFS(Transaction!$E:$E,Transaction!$C:$C,"รายรับ",Transaction!$D:$D,$B71,Transaction!$B:$B,"&gt;="&amp;DATE($P$3,MATCH(D$62,Setup!$J$6:$J$17,0),1),Transaction!$B:$B,"&lt;"&amp;DATE($P$3,MATCH(D$62,Setup!$J$6:$J$17,0)+1,1)))</f>
        <v/>
      </c>
      <c r="E71" s="78">
        <f>IF($B71="","",SUMIFS(Transaction!$E:$E,Transaction!$C:$C,"รายรับ",Transaction!$D:$D,$B71,Transaction!$B:$B,"&gt;="&amp;DATE($P$3,MATCH(E$62,Setup!$J$6:$J$17,0),1),Transaction!$B:$B,"&lt;"&amp;DATE($P$3,MATCH(E$62,Setup!$J$6:$J$17,0)+1,1)))</f>
        <v/>
      </c>
      <c r="F71" s="78">
        <f>IF($B71="","",SUMIFS(Transaction!$E:$E,Transaction!$C:$C,"รายรับ",Transaction!$D:$D,$B71,Transaction!$B:$B,"&gt;="&amp;DATE($P$3,MATCH(F$62,Setup!$J$6:$J$17,0),1),Transaction!$B:$B,"&lt;"&amp;DATE($P$3,MATCH(F$62,Setup!$J$6:$J$17,0)+1,1)))</f>
        <v/>
      </c>
      <c r="G71" s="78">
        <f>IF($B71="","",SUMIFS(Transaction!$E:$E,Transaction!$C:$C,"รายรับ",Transaction!$D:$D,$B71,Transaction!$B:$B,"&gt;="&amp;DATE($P$3,MATCH(G$62,Setup!$J$6:$J$17,0),1),Transaction!$B:$B,"&lt;"&amp;DATE($P$3,MATCH(G$62,Setup!$J$6:$J$17,0)+1,1)))</f>
        <v/>
      </c>
      <c r="H71" s="78">
        <f>IF($B71="","",SUMIFS(Transaction!$E:$E,Transaction!$C:$C,"รายรับ",Transaction!$D:$D,$B71,Transaction!$B:$B,"&gt;="&amp;DATE($P$3,MATCH(H$62,Setup!$J$6:$J$17,0),1),Transaction!$B:$B,"&lt;"&amp;DATE($P$3,MATCH(H$62,Setup!$J$6:$J$17,0)+1,1)))</f>
        <v/>
      </c>
      <c r="I71" s="78">
        <f>IF($B71="","",SUMIFS(Transaction!$E:$E,Transaction!$C:$C,"รายรับ",Transaction!$D:$D,$B71,Transaction!$B:$B,"&gt;="&amp;DATE($P$3,MATCH(I$62,Setup!$J$6:$J$17,0),1),Transaction!$B:$B,"&lt;"&amp;DATE($P$3,MATCH(I$62,Setup!$J$6:$J$17,0)+1,1)))</f>
        <v/>
      </c>
      <c r="J71" s="78">
        <f>IF($B71="","",SUMIFS(Transaction!$E:$E,Transaction!$C:$C,"รายรับ",Transaction!$D:$D,$B71,Transaction!$B:$B,"&gt;="&amp;DATE($P$3,MATCH(J$62,Setup!$J$6:$J$17,0),1),Transaction!$B:$B,"&lt;"&amp;DATE($P$3,MATCH(J$62,Setup!$J$6:$J$17,0)+1,1)))</f>
        <v/>
      </c>
      <c r="K71" s="78">
        <f>IF($B71="","",SUMIFS(Transaction!$E:$E,Transaction!$C:$C,"รายรับ",Transaction!$D:$D,$B71,Transaction!$B:$B,"&gt;="&amp;DATE($P$3,MATCH(K$62,Setup!$J$6:$J$17,0),1),Transaction!$B:$B,"&lt;"&amp;DATE($P$3,MATCH(K$62,Setup!$J$6:$J$17,0)+1,1)))</f>
        <v/>
      </c>
      <c r="L71" s="78">
        <f>IF($B71="","",SUMIFS(Transaction!$E:$E,Transaction!$C:$C,"รายรับ",Transaction!$D:$D,$B71,Transaction!$B:$B,"&gt;="&amp;DATE($P$3,MATCH(L$62,Setup!$J$6:$J$17,0),1),Transaction!$B:$B,"&lt;"&amp;DATE($P$3,MATCH(L$62,Setup!$J$6:$J$17,0)+1,1)))</f>
        <v/>
      </c>
      <c r="M71" s="78">
        <f>IF($B71="","",SUMIFS(Transaction!$E:$E,Transaction!$C:$C,"รายรับ",Transaction!$D:$D,$B71,Transaction!$B:$B,"&gt;="&amp;DATE($P$3,MATCH(M$62,Setup!$J$6:$J$17,0),1),Transaction!$B:$B,"&lt;"&amp;DATE($P$3,MATCH(M$62,Setup!$J$6:$J$17,0)+1,1)))</f>
        <v/>
      </c>
      <c r="N71" s="78">
        <f>IF($B71="","",SUMIFS(Transaction!$E:$E,Transaction!$C:$C,"รายรับ",Transaction!$D:$D,$B71,Transaction!$B:$B,"&gt;="&amp;DATE($P$3,MATCH(N$62,Setup!$J$6:$J$17,0),1),Transaction!$B:$B,"&lt;"&amp;DATE($P$3,MATCH(N$62,Setup!$J$6:$J$17,0)+1,1)))</f>
        <v/>
      </c>
      <c r="O71" s="55">
        <f>IF($B71="","",SUM(C71:N71))</f>
        <v/>
      </c>
      <c r="P71" s="79">
        <f>IF(OR($B71="",N($O$78)=0),"",O71/$O$78)</f>
        <v/>
      </c>
      <c r="Q71" s="80">
        <f>IF(OR($B71="",N(O71)&lt;=0),"",COUNTIF($O$63:$O$77,"&gt;"&amp;O71)+COUNTIF($O$63:O71,O71))</f>
        <v/>
      </c>
    </row>
    <row r="72">
      <c r="B72" s="60">
        <f>IF(Setup!$B$15="","",Setup!$B$15)</f>
        <v/>
      </c>
      <c r="C72" s="78">
        <f>IF($B72="","",SUMIFS(Transaction!$E:$E,Transaction!$C:$C,"รายรับ",Transaction!$D:$D,$B72,Transaction!$B:$B,"&gt;="&amp;DATE($P$3,MATCH(C$62,Setup!$J$6:$J$17,0),1),Transaction!$B:$B,"&lt;"&amp;DATE($P$3,MATCH(C$62,Setup!$J$6:$J$17,0)+1,1)))</f>
        <v/>
      </c>
      <c r="D72" s="78">
        <f>IF($B72="","",SUMIFS(Transaction!$E:$E,Transaction!$C:$C,"รายรับ",Transaction!$D:$D,$B72,Transaction!$B:$B,"&gt;="&amp;DATE($P$3,MATCH(D$62,Setup!$J$6:$J$17,0),1),Transaction!$B:$B,"&lt;"&amp;DATE($P$3,MATCH(D$62,Setup!$J$6:$J$17,0)+1,1)))</f>
        <v/>
      </c>
      <c r="E72" s="78">
        <f>IF($B72="","",SUMIFS(Transaction!$E:$E,Transaction!$C:$C,"รายรับ",Transaction!$D:$D,$B72,Transaction!$B:$B,"&gt;="&amp;DATE($P$3,MATCH(E$62,Setup!$J$6:$J$17,0),1),Transaction!$B:$B,"&lt;"&amp;DATE($P$3,MATCH(E$62,Setup!$J$6:$J$17,0)+1,1)))</f>
        <v/>
      </c>
      <c r="F72" s="78">
        <f>IF($B72="","",SUMIFS(Transaction!$E:$E,Transaction!$C:$C,"รายรับ",Transaction!$D:$D,$B72,Transaction!$B:$B,"&gt;="&amp;DATE($P$3,MATCH(F$62,Setup!$J$6:$J$17,0),1),Transaction!$B:$B,"&lt;"&amp;DATE($P$3,MATCH(F$62,Setup!$J$6:$J$17,0)+1,1)))</f>
        <v/>
      </c>
      <c r="G72" s="78">
        <f>IF($B72="","",SUMIFS(Transaction!$E:$E,Transaction!$C:$C,"รายรับ",Transaction!$D:$D,$B72,Transaction!$B:$B,"&gt;="&amp;DATE($P$3,MATCH(G$62,Setup!$J$6:$J$17,0),1),Transaction!$B:$B,"&lt;"&amp;DATE($P$3,MATCH(G$62,Setup!$J$6:$J$17,0)+1,1)))</f>
        <v/>
      </c>
      <c r="H72" s="78">
        <f>IF($B72="","",SUMIFS(Transaction!$E:$E,Transaction!$C:$C,"รายรับ",Transaction!$D:$D,$B72,Transaction!$B:$B,"&gt;="&amp;DATE($P$3,MATCH(H$62,Setup!$J$6:$J$17,0),1),Transaction!$B:$B,"&lt;"&amp;DATE($P$3,MATCH(H$62,Setup!$J$6:$J$17,0)+1,1)))</f>
        <v/>
      </c>
      <c r="I72" s="78">
        <f>IF($B72="","",SUMIFS(Transaction!$E:$E,Transaction!$C:$C,"รายรับ",Transaction!$D:$D,$B72,Transaction!$B:$B,"&gt;="&amp;DATE($P$3,MATCH(I$62,Setup!$J$6:$J$17,0),1),Transaction!$B:$B,"&lt;"&amp;DATE($P$3,MATCH(I$62,Setup!$J$6:$J$17,0)+1,1)))</f>
        <v/>
      </c>
      <c r="J72" s="78">
        <f>IF($B72="","",SUMIFS(Transaction!$E:$E,Transaction!$C:$C,"รายรับ",Transaction!$D:$D,$B72,Transaction!$B:$B,"&gt;="&amp;DATE($P$3,MATCH(J$62,Setup!$J$6:$J$17,0),1),Transaction!$B:$B,"&lt;"&amp;DATE($P$3,MATCH(J$62,Setup!$J$6:$J$17,0)+1,1)))</f>
        <v/>
      </c>
      <c r="K72" s="78">
        <f>IF($B72="","",SUMIFS(Transaction!$E:$E,Transaction!$C:$C,"รายรับ",Transaction!$D:$D,$B72,Transaction!$B:$B,"&gt;="&amp;DATE($P$3,MATCH(K$62,Setup!$J$6:$J$17,0),1),Transaction!$B:$B,"&lt;"&amp;DATE($P$3,MATCH(K$62,Setup!$J$6:$J$17,0)+1,1)))</f>
        <v/>
      </c>
      <c r="L72" s="78">
        <f>IF($B72="","",SUMIFS(Transaction!$E:$E,Transaction!$C:$C,"รายรับ",Transaction!$D:$D,$B72,Transaction!$B:$B,"&gt;="&amp;DATE($P$3,MATCH(L$62,Setup!$J$6:$J$17,0),1),Transaction!$B:$B,"&lt;"&amp;DATE($P$3,MATCH(L$62,Setup!$J$6:$J$17,0)+1,1)))</f>
        <v/>
      </c>
      <c r="M72" s="78">
        <f>IF($B72="","",SUMIFS(Transaction!$E:$E,Transaction!$C:$C,"รายรับ",Transaction!$D:$D,$B72,Transaction!$B:$B,"&gt;="&amp;DATE($P$3,MATCH(M$62,Setup!$J$6:$J$17,0),1),Transaction!$B:$B,"&lt;"&amp;DATE($P$3,MATCH(M$62,Setup!$J$6:$J$17,0)+1,1)))</f>
        <v/>
      </c>
      <c r="N72" s="78">
        <f>IF($B72="","",SUMIFS(Transaction!$E:$E,Transaction!$C:$C,"รายรับ",Transaction!$D:$D,$B72,Transaction!$B:$B,"&gt;="&amp;DATE($P$3,MATCH(N$62,Setup!$J$6:$J$17,0),1),Transaction!$B:$B,"&lt;"&amp;DATE($P$3,MATCH(N$62,Setup!$J$6:$J$17,0)+1,1)))</f>
        <v/>
      </c>
      <c r="O72" s="55">
        <f>IF($B72="","",SUM(C72:N72))</f>
        <v/>
      </c>
      <c r="P72" s="79">
        <f>IF(OR($B72="",N($O$78)=0),"",O72/$O$78)</f>
        <v/>
      </c>
      <c r="Q72" s="80">
        <f>IF(OR($B72="",N(O72)&lt;=0),"",COUNTIF($O$63:$O$77,"&gt;"&amp;O72)+COUNTIF($O$63:O72,O72))</f>
        <v/>
      </c>
    </row>
    <row r="73">
      <c r="B73" s="60">
        <f>IF(Setup!$B$16="","",Setup!$B$16)</f>
        <v/>
      </c>
      <c r="C73" s="78">
        <f>IF($B73="","",SUMIFS(Transaction!$E:$E,Transaction!$C:$C,"รายรับ",Transaction!$D:$D,$B73,Transaction!$B:$B,"&gt;="&amp;DATE($P$3,MATCH(C$62,Setup!$J$6:$J$17,0),1),Transaction!$B:$B,"&lt;"&amp;DATE($P$3,MATCH(C$62,Setup!$J$6:$J$17,0)+1,1)))</f>
        <v/>
      </c>
      <c r="D73" s="78">
        <f>IF($B73="","",SUMIFS(Transaction!$E:$E,Transaction!$C:$C,"รายรับ",Transaction!$D:$D,$B73,Transaction!$B:$B,"&gt;="&amp;DATE($P$3,MATCH(D$62,Setup!$J$6:$J$17,0),1),Transaction!$B:$B,"&lt;"&amp;DATE($P$3,MATCH(D$62,Setup!$J$6:$J$17,0)+1,1)))</f>
        <v/>
      </c>
      <c r="E73" s="78">
        <f>IF($B73="","",SUMIFS(Transaction!$E:$E,Transaction!$C:$C,"รายรับ",Transaction!$D:$D,$B73,Transaction!$B:$B,"&gt;="&amp;DATE($P$3,MATCH(E$62,Setup!$J$6:$J$17,0),1),Transaction!$B:$B,"&lt;"&amp;DATE($P$3,MATCH(E$62,Setup!$J$6:$J$17,0)+1,1)))</f>
        <v/>
      </c>
      <c r="F73" s="78">
        <f>IF($B73="","",SUMIFS(Transaction!$E:$E,Transaction!$C:$C,"รายรับ",Transaction!$D:$D,$B73,Transaction!$B:$B,"&gt;="&amp;DATE($P$3,MATCH(F$62,Setup!$J$6:$J$17,0),1),Transaction!$B:$B,"&lt;"&amp;DATE($P$3,MATCH(F$62,Setup!$J$6:$J$17,0)+1,1)))</f>
        <v/>
      </c>
      <c r="G73" s="78">
        <f>IF($B73="","",SUMIFS(Transaction!$E:$E,Transaction!$C:$C,"รายรับ",Transaction!$D:$D,$B73,Transaction!$B:$B,"&gt;="&amp;DATE($P$3,MATCH(G$62,Setup!$J$6:$J$17,0),1),Transaction!$B:$B,"&lt;"&amp;DATE($P$3,MATCH(G$62,Setup!$J$6:$J$17,0)+1,1)))</f>
        <v/>
      </c>
      <c r="H73" s="78">
        <f>IF($B73="","",SUMIFS(Transaction!$E:$E,Transaction!$C:$C,"รายรับ",Transaction!$D:$D,$B73,Transaction!$B:$B,"&gt;="&amp;DATE($P$3,MATCH(H$62,Setup!$J$6:$J$17,0),1),Transaction!$B:$B,"&lt;"&amp;DATE($P$3,MATCH(H$62,Setup!$J$6:$J$17,0)+1,1)))</f>
        <v/>
      </c>
      <c r="I73" s="78">
        <f>IF($B73="","",SUMIFS(Transaction!$E:$E,Transaction!$C:$C,"รายรับ",Transaction!$D:$D,$B73,Transaction!$B:$B,"&gt;="&amp;DATE($P$3,MATCH(I$62,Setup!$J$6:$J$17,0),1),Transaction!$B:$B,"&lt;"&amp;DATE($P$3,MATCH(I$62,Setup!$J$6:$J$17,0)+1,1)))</f>
        <v/>
      </c>
      <c r="J73" s="78">
        <f>IF($B73="","",SUMIFS(Transaction!$E:$E,Transaction!$C:$C,"รายรับ",Transaction!$D:$D,$B73,Transaction!$B:$B,"&gt;="&amp;DATE($P$3,MATCH(J$62,Setup!$J$6:$J$17,0),1),Transaction!$B:$B,"&lt;"&amp;DATE($P$3,MATCH(J$62,Setup!$J$6:$J$17,0)+1,1)))</f>
        <v/>
      </c>
      <c r="K73" s="78">
        <f>IF($B73="","",SUMIFS(Transaction!$E:$E,Transaction!$C:$C,"รายรับ",Transaction!$D:$D,$B73,Transaction!$B:$B,"&gt;="&amp;DATE($P$3,MATCH(K$62,Setup!$J$6:$J$17,0),1),Transaction!$B:$B,"&lt;"&amp;DATE($P$3,MATCH(K$62,Setup!$J$6:$J$17,0)+1,1)))</f>
        <v/>
      </c>
      <c r="L73" s="78">
        <f>IF($B73="","",SUMIFS(Transaction!$E:$E,Transaction!$C:$C,"รายรับ",Transaction!$D:$D,$B73,Transaction!$B:$B,"&gt;="&amp;DATE($P$3,MATCH(L$62,Setup!$J$6:$J$17,0),1),Transaction!$B:$B,"&lt;"&amp;DATE($P$3,MATCH(L$62,Setup!$J$6:$J$17,0)+1,1)))</f>
        <v/>
      </c>
      <c r="M73" s="78">
        <f>IF($B73="","",SUMIFS(Transaction!$E:$E,Transaction!$C:$C,"รายรับ",Transaction!$D:$D,$B73,Transaction!$B:$B,"&gt;="&amp;DATE($P$3,MATCH(M$62,Setup!$J$6:$J$17,0),1),Transaction!$B:$B,"&lt;"&amp;DATE($P$3,MATCH(M$62,Setup!$J$6:$J$17,0)+1,1)))</f>
        <v/>
      </c>
      <c r="N73" s="78">
        <f>IF($B73="","",SUMIFS(Transaction!$E:$E,Transaction!$C:$C,"รายรับ",Transaction!$D:$D,$B73,Transaction!$B:$B,"&gt;="&amp;DATE($P$3,MATCH(N$62,Setup!$J$6:$J$17,0),1),Transaction!$B:$B,"&lt;"&amp;DATE($P$3,MATCH(N$62,Setup!$J$6:$J$17,0)+1,1)))</f>
        <v/>
      </c>
      <c r="O73" s="55">
        <f>IF($B73="","",SUM(C73:N73))</f>
        <v/>
      </c>
      <c r="P73" s="79">
        <f>IF(OR($B73="",N($O$78)=0),"",O73/$O$78)</f>
        <v/>
      </c>
      <c r="Q73" s="80">
        <f>IF(OR($B73="",N(O73)&lt;=0),"",COUNTIF($O$63:$O$77,"&gt;"&amp;O73)+COUNTIF($O$63:O73,O73))</f>
        <v/>
      </c>
    </row>
    <row r="74">
      <c r="B74" s="60">
        <f>IF(Setup!$B$17="","",Setup!$B$17)</f>
        <v/>
      </c>
      <c r="C74" s="78">
        <f>IF($B74="","",SUMIFS(Transaction!$E:$E,Transaction!$C:$C,"รายรับ",Transaction!$D:$D,$B74,Transaction!$B:$B,"&gt;="&amp;DATE($P$3,MATCH(C$62,Setup!$J$6:$J$17,0),1),Transaction!$B:$B,"&lt;"&amp;DATE($P$3,MATCH(C$62,Setup!$J$6:$J$17,0)+1,1)))</f>
        <v/>
      </c>
      <c r="D74" s="78">
        <f>IF($B74="","",SUMIFS(Transaction!$E:$E,Transaction!$C:$C,"รายรับ",Transaction!$D:$D,$B74,Transaction!$B:$B,"&gt;="&amp;DATE($P$3,MATCH(D$62,Setup!$J$6:$J$17,0),1),Transaction!$B:$B,"&lt;"&amp;DATE($P$3,MATCH(D$62,Setup!$J$6:$J$17,0)+1,1)))</f>
        <v/>
      </c>
      <c r="E74" s="78">
        <f>IF($B74="","",SUMIFS(Transaction!$E:$E,Transaction!$C:$C,"รายรับ",Transaction!$D:$D,$B74,Transaction!$B:$B,"&gt;="&amp;DATE($P$3,MATCH(E$62,Setup!$J$6:$J$17,0),1),Transaction!$B:$B,"&lt;"&amp;DATE($P$3,MATCH(E$62,Setup!$J$6:$J$17,0)+1,1)))</f>
        <v/>
      </c>
      <c r="F74" s="78">
        <f>IF($B74="","",SUMIFS(Transaction!$E:$E,Transaction!$C:$C,"รายรับ",Transaction!$D:$D,$B74,Transaction!$B:$B,"&gt;="&amp;DATE($P$3,MATCH(F$62,Setup!$J$6:$J$17,0),1),Transaction!$B:$B,"&lt;"&amp;DATE($P$3,MATCH(F$62,Setup!$J$6:$J$17,0)+1,1)))</f>
        <v/>
      </c>
      <c r="G74" s="78">
        <f>IF($B74="","",SUMIFS(Transaction!$E:$E,Transaction!$C:$C,"รายรับ",Transaction!$D:$D,$B74,Transaction!$B:$B,"&gt;="&amp;DATE($P$3,MATCH(G$62,Setup!$J$6:$J$17,0),1),Transaction!$B:$B,"&lt;"&amp;DATE($P$3,MATCH(G$62,Setup!$J$6:$J$17,0)+1,1)))</f>
        <v/>
      </c>
      <c r="H74" s="78">
        <f>IF($B74="","",SUMIFS(Transaction!$E:$E,Transaction!$C:$C,"รายรับ",Transaction!$D:$D,$B74,Transaction!$B:$B,"&gt;="&amp;DATE($P$3,MATCH(H$62,Setup!$J$6:$J$17,0),1),Transaction!$B:$B,"&lt;"&amp;DATE($P$3,MATCH(H$62,Setup!$J$6:$J$17,0)+1,1)))</f>
        <v/>
      </c>
      <c r="I74" s="78">
        <f>IF($B74="","",SUMIFS(Transaction!$E:$E,Transaction!$C:$C,"รายรับ",Transaction!$D:$D,$B74,Transaction!$B:$B,"&gt;="&amp;DATE($P$3,MATCH(I$62,Setup!$J$6:$J$17,0),1),Transaction!$B:$B,"&lt;"&amp;DATE($P$3,MATCH(I$62,Setup!$J$6:$J$17,0)+1,1)))</f>
        <v/>
      </c>
      <c r="J74" s="78">
        <f>IF($B74="","",SUMIFS(Transaction!$E:$E,Transaction!$C:$C,"รายรับ",Transaction!$D:$D,$B74,Transaction!$B:$B,"&gt;="&amp;DATE($P$3,MATCH(J$62,Setup!$J$6:$J$17,0),1),Transaction!$B:$B,"&lt;"&amp;DATE($P$3,MATCH(J$62,Setup!$J$6:$J$17,0)+1,1)))</f>
        <v/>
      </c>
      <c r="K74" s="78">
        <f>IF($B74="","",SUMIFS(Transaction!$E:$E,Transaction!$C:$C,"รายรับ",Transaction!$D:$D,$B74,Transaction!$B:$B,"&gt;="&amp;DATE($P$3,MATCH(K$62,Setup!$J$6:$J$17,0),1),Transaction!$B:$B,"&lt;"&amp;DATE($P$3,MATCH(K$62,Setup!$J$6:$J$17,0)+1,1)))</f>
        <v/>
      </c>
      <c r="L74" s="78">
        <f>IF($B74="","",SUMIFS(Transaction!$E:$E,Transaction!$C:$C,"รายรับ",Transaction!$D:$D,$B74,Transaction!$B:$B,"&gt;="&amp;DATE($P$3,MATCH(L$62,Setup!$J$6:$J$17,0),1),Transaction!$B:$B,"&lt;"&amp;DATE($P$3,MATCH(L$62,Setup!$J$6:$J$17,0)+1,1)))</f>
        <v/>
      </c>
      <c r="M74" s="78">
        <f>IF($B74="","",SUMIFS(Transaction!$E:$E,Transaction!$C:$C,"รายรับ",Transaction!$D:$D,$B74,Transaction!$B:$B,"&gt;="&amp;DATE($P$3,MATCH(M$62,Setup!$J$6:$J$17,0),1),Transaction!$B:$B,"&lt;"&amp;DATE($P$3,MATCH(M$62,Setup!$J$6:$J$17,0)+1,1)))</f>
        <v/>
      </c>
      <c r="N74" s="78">
        <f>IF($B74="","",SUMIFS(Transaction!$E:$E,Transaction!$C:$C,"รายรับ",Transaction!$D:$D,$B74,Transaction!$B:$B,"&gt;="&amp;DATE($P$3,MATCH(N$62,Setup!$J$6:$J$17,0),1),Transaction!$B:$B,"&lt;"&amp;DATE($P$3,MATCH(N$62,Setup!$J$6:$J$17,0)+1,1)))</f>
        <v/>
      </c>
      <c r="O74" s="55">
        <f>IF($B74="","",SUM(C74:N74))</f>
        <v/>
      </c>
      <c r="P74" s="79">
        <f>IF(OR($B74="",N($O$78)=0),"",O74/$O$78)</f>
        <v/>
      </c>
      <c r="Q74" s="80">
        <f>IF(OR($B74="",N(O74)&lt;=0),"",COUNTIF($O$63:$O$77,"&gt;"&amp;O74)+COUNTIF($O$63:O74,O74))</f>
        <v/>
      </c>
    </row>
    <row r="75">
      <c r="B75" s="60">
        <f>IF(Setup!$B$18="","",Setup!$B$18)</f>
        <v/>
      </c>
      <c r="C75" s="78">
        <f>IF($B75="","",SUMIFS(Transaction!$E:$E,Transaction!$C:$C,"รายรับ",Transaction!$D:$D,$B75,Transaction!$B:$B,"&gt;="&amp;DATE($P$3,MATCH(C$62,Setup!$J$6:$J$17,0),1),Transaction!$B:$B,"&lt;"&amp;DATE($P$3,MATCH(C$62,Setup!$J$6:$J$17,0)+1,1)))</f>
        <v/>
      </c>
      <c r="D75" s="78">
        <f>IF($B75="","",SUMIFS(Transaction!$E:$E,Transaction!$C:$C,"รายรับ",Transaction!$D:$D,$B75,Transaction!$B:$B,"&gt;="&amp;DATE($P$3,MATCH(D$62,Setup!$J$6:$J$17,0),1),Transaction!$B:$B,"&lt;"&amp;DATE($P$3,MATCH(D$62,Setup!$J$6:$J$17,0)+1,1)))</f>
        <v/>
      </c>
      <c r="E75" s="78">
        <f>IF($B75="","",SUMIFS(Transaction!$E:$E,Transaction!$C:$C,"รายรับ",Transaction!$D:$D,$B75,Transaction!$B:$B,"&gt;="&amp;DATE($P$3,MATCH(E$62,Setup!$J$6:$J$17,0),1),Transaction!$B:$B,"&lt;"&amp;DATE($P$3,MATCH(E$62,Setup!$J$6:$J$17,0)+1,1)))</f>
        <v/>
      </c>
      <c r="F75" s="78">
        <f>IF($B75="","",SUMIFS(Transaction!$E:$E,Transaction!$C:$C,"รายรับ",Transaction!$D:$D,$B75,Transaction!$B:$B,"&gt;="&amp;DATE($P$3,MATCH(F$62,Setup!$J$6:$J$17,0),1),Transaction!$B:$B,"&lt;"&amp;DATE($P$3,MATCH(F$62,Setup!$J$6:$J$17,0)+1,1)))</f>
        <v/>
      </c>
      <c r="G75" s="78">
        <f>IF($B75="","",SUMIFS(Transaction!$E:$E,Transaction!$C:$C,"รายรับ",Transaction!$D:$D,$B75,Transaction!$B:$B,"&gt;="&amp;DATE($P$3,MATCH(G$62,Setup!$J$6:$J$17,0),1),Transaction!$B:$B,"&lt;"&amp;DATE($P$3,MATCH(G$62,Setup!$J$6:$J$17,0)+1,1)))</f>
        <v/>
      </c>
      <c r="H75" s="78">
        <f>IF($B75="","",SUMIFS(Transaction!$E:$E,Transaction!$C:$C,"รายรับ",Transaction!$D:$D,$B75,Transaction!$B:$B,"&gt;="&amp;DATE($P$3,MATCH(H$62,Setup!$J$6:$J$17,0),1),Transaction!$B:$B,"&lt;"&amp;DATE($P$3,MATCH(H$62,Setup!$J$6:$J$17,0)+1,1)))</f>
        <v/>
      </c>
      <c r="I75" s="78">
        <f>IF($B75="","",SUMIFS(Transaction!$E:$E,Transaction!$C:$C,"รายรับ",Transaction!$D:$D,$B75,Transaction!$B:$B,"&gt;="&amp;DATE($P$3,MATCH(I$62,Setup!$J$6:$J$17,0),1),Transaction!$B:$B,"&lt;"&amp;DATE($P$3,MATCH(I$62,Setup!$J$6:$J$17,0)+1,1)))</f>
        <v/>
      </c>
      <c r="J75" s="78">
        <f>IF($B75="","",SUMIFS(Transaction!$E:$E,Transaction!$C:$C,"รายรับ",Transaction!$D:$D,$B75,Transaction!$B:$B,"&gt;="&amp;DATE($P$3,MATCH(J$62,Setup!$J$6:$J$17,0),1),Transaction!$B:$B,"&lt;"&amp;DATE($P$3,MATCH(J$62,Setup!$J$6:$J$17,0)+1,1)))</f>
        <v/>
      </c>
      <c r="K75" s="78">
        <f>IF($B75="","",SUMIFS(Transaction!$E:$E,Transaction!$C:$C,"รายรับ",Transaction!$D:$D,$B75,Transaction!$B:$B,"&gt;="&amp;DATE($P$3,MATCH(K$62,Setup!$J$6:$J$17,0),1),Transaction!$B:$B,"&lt;"&amp;DATE($P$3,MATCH(K$62,Setup!$J$6:$J$17,0)+1,1)))</f>
        <v/>
      </c>
      <c r="L75" s="78">
        <f>IF($B75="","",SUMIFS(Transaction!$E:$E,Transaction!$C:$C,"รายรับ",Transaction!$D:$D,$B75,Transaction!$B:$B,"&gt;="&amp;DATE($P$3,MATCH(L$62,Setup!$J$6:$J$17,0),1),Transaction!$B:$B,"&lt;"&amp;DATE($P$3,MATCH(L$62,Setup!$J$6:$J$17,0)+1,1)))</f>
        <v/>
      </c>
      <c r="M75" s="78">
        <f>IF($B75="","",SUMIFS(Transaction!$E:$E,Transaction!$C:$C,"รายรับ",Transaction!$D:$D,$B75,Transaction!$B:$B,"&gt;="&amp;DATE($P$3,MATCH(M$62,Setup!$J$6:$J$17,0),1),Transaction!$B:$B,"&lt;"&amp;DATE($P$3,MATCH(M$62,Setup!$J$6:$J$17,0)+1,1)))</f>
        <v/>
      </c>
      <c r="N75" s="78">
        <f>IF($B75="","",SUMIFS(Transaction!$E:$E,Transaction!$C:$C,"รายรับ",Transaction!$D:$D,$B75,Transaction!$B:$B,"&gt;="&amp;DATE($P$3,MATCH(N$62,Setup!$J$6:$J$17,0),1),Transaction!$B:$B,"&lt;"&amp;DATE($P$3,MATCH(N$62,Setup!$J$6:$J$17,0)+1,1)))</f>
        <v/>
      </c>
      <c r="O75" s="55">
        <f>IF($B75="","",SUM(C75:N75))</f>
        <v/>
      </c>
      <c r="P75" s="79">
        <f>IF(OR($B75="",N($O$78)=0),"",O75/$O$78)</f>
        <v/>
      </c>
      <c r="Q75" s="80">
        <f>IF(OR($B75="",N(O75)&lt;=0),"",COUNTIF($O$63:$O$77,"&gt;"&amp;O75)+COUNTIF($O$63:O75,O75))</f>
        <v/>
      </c>
    </row>
    <row r="76">
      <c r="B76" s="60">
        <f>IF(Setup!$B$19="","",Setup!$B$19)</f>
        <v/>
      </c>
      <c r="C76" s="78">
        <f>IF($B76="","",SUMIFS(Transaction!$E:$E,Transaction!$C:$C,"รายรับ",Transaction!$D:$D,$B76,Transaction!$B:$B,"&gt;="&amp;DATE($P$3,MATCH(C$62,Setup!$J$6:$J$17,0),1),Transaction!$B:$B,"&lt;"&amp;DATE($P$3,MATCH(C$62,Setup!$J$6:$J$17,0)+1,1)))</f>
        <v/>
      </c>
      <c r="D76" s="78">
        <f>IF($B76="","",SUMIFS(Transaction!$E:$E,Transaction!$C:$C,"รายรับ",Transaction!$D:$D,$B76,Transaction!$B:$B,"&gt;="&amp;DATE($P$3,MATCH(D$62,Setup!$J$6:$J$17,0),1),Transaction!$B:$B,"&lt;"&amp;DATE($P$3,MATCH(D$62,Setup!$J$6:$J$17,0)+1,1)))</f>
        <v/>
      </c>
      <c r="E76" s="78">
        <f>IF($B76="","",SUMIFS(Transaction!$E:$E,Transaction!$C:$C,"รายรับ",Transaction!$D:$D,$B76,Transaction!$B:$B,"&gt;="&amp;DATE($P$3,MATCH(E$62,Setup!$J$6:$J$17,0),1),Transaction!$B:$B,"&lt;"&amp;DATE($P$3,MATCH(E$62,Setup!$J$6:$J$17,0)+1,1)))</f>
        <v/>
      </c>
      <c r="F76" s="78">
        <f>IF($B76="","",SUMIFS(Transaction!$E:$E,Transaction!$C:$C,"รายรับ",Transaction!$D:$D,$B76,Transaction!$B:$B,"&gt;="&amp;DATE($P$3,MATCH(F$62,Setup!$J$6:$J$17,0),1),Transaction!$B:$B,"&lt;"&amp;DATE($P$3,MATCH(F$62,Setup!$J$6:$J$17,0)+1,1)))</f>
        <v/>
      </c>
      <c r="G76" s="78">
        <f>IF($B76="","",SUMIFS(Transaction!$E:$E,Transaction!$C:$C,"รายรับ",Transaction!$D:$D,$B76,Transaction!$B:$B,"&gt;="&amp;DATE($P$3,MATCH(G$62,Setup!$J$6:$J$17,0),1),Transaction!$B:$B,"&lt;"&amp;DATE($P$3,MATCH(G$62,Setup!$J$6:$J$17,0)+1,1)))</f>
        <v/>
      </c>
      <c r="H76" s="78">
        <f>IF($B76="","",SUMIFS(Transaction!$E:$E,Transaction!$C:$C,"รายรับ",Transaction!$D:$D,$B76,Transaction!$B:$B,"&gt;="&amp;DATE($P$3,MATCH(H$62,Setup!$J$6:$J$17,0),1),Transaction!$B:$B,"&lt;"&amp;DATE($P$3,MATCH(H$62,Setup!$J$6:$J$17,0)+1,1)))</f>
        <v/>
      </c>
      <c r="I76" s="78">
        <f>IF($B76="","",SUMIFS(Transaction!$E:$E,Transaction!$C:$C,"รายรับ",Transaction!$D:$D,$B76,Transaction!$B:$B,"&gt;="&amp;DATE($P$3,MATCH(I$62,Setup!$J$6:$J$17,0),1),Transaction!$B:$B,"&lt;"&amp;DATE($P$3,MATCH(I$62,Setup!$J$6:$J$17,0)+1,1)))</f>
        <v/>
      </c>
      <c r="J76" s="78">
        <f>IF($B76="","",SUMIFS(Transaction!$E:$E,Transaction!$C:$C,"รายรับ",Transaction!$D:$D,$B76,Transaction!$B:$B,"&gt;="&amp;DATE($P$3,MATCH(J$62,Setup!$J$6:$J$17,0),1),Transaction!$B:$B,"&lt;"&amp;DATE($P$3,MATCH(J$62,Setup!$J$6:$J$17,0)+1,1)))</f>
        <v/>
      </c>
      <c r="K76" s="78">
        <f>IF($B76="","",SUMIFS(Transaction!$E:$E,Transaction!$C:$C,"รายรับ",Transaction!$D:$D,$B76,Transaction!$B:$B,"&gt;="&amp;DATE($P$3,MATCH(K$62,Setup!$J$6:$J$17,0),1),Transaction!$B:$B,"&lt;"&amp;DATE($P$3,MATCH(K$62,Setup!$J$6:$J$17,0)+1,1)))</f>
        <v/>
      </c>
      <c r="L76" s="78">
        <f>IF($B76="","",SUMIFS(Transaction!$E:$E,Transaction!$C:$C,"รายรับ",Transaction!$D:$D,$B76,Transaction!$B:$B,"&gt;="&amp;DATE($P$3,MATCH(L$62,Setup!$J$6:$J$17,0),1),Transaction!$B:$B,"&lt;"&amp;DATE($P$3,MATCH(L$62,Setup!$J$6:$J$17,0)+1,1)))</f>
        <v/>
      </c>
      <c r="M76" s="78">
        <f>IF($B76="","",SUMIFS(Transaction!$E:$E,Transaction!$C:$C,"รายรับ",Transaction!$D:$D,$B76,Transaction!$B:$B,"&gt;="&amp;DATE($P$3,MATCH(M$62,Setup!$J$6:$J$17,0),1),Transaction!$B:$B,"&lt;"&amp;DATE($P$3,MATCH(M$62,Setup!$J$6:$J$17,0)+1,1)))</f>
        <v/>
      </c>
      <c r="N76" s="78">
        <f>IF($B76="","",SUMIFS(Transaction!$E:$E,Transaction!$C:$C,"รายรับ",Transaction!$D:$D,$B76,Transaction!$B:$B,"&gt;="&amp;DATE($P$3,MATCH(N$62,Setup!$J$6:$J$17,0),1),Transaction!$B:$B,"&lt;"&amp;DATE($P$3,MATCH(N$62,Setup!$J$6:$J$17,0)+1,1)))</f>
        <v/>
      </c>
      <c r="O76" s="55">
        <f>IF($B76="","",SUM(C76:N76))</f>
        <v/>
      </c>
      <c r="P76" s="79">
        <f>IF(OR($B76="",N($O$78)=0),"",O76/$O$78)</f>
        <v/>
      </c>
      <c r="Q76" s="80">
        <f>IF(OR($B76="",N(O76)&lt;=0),"",COUNTIF($O$63:$O$77,"&gt;"&amp;O76)+COUNTIF($O$63:O76,O76))</f>
        <v/>
      </c>
    </row>
    <row r="77">
      <c r="B77" s="60">
        <f>IF(Setup!$B$20="","",Setup!$B$20)</f>
        <v/>
      </c>
      <c r="C77" s="78">
        <f>IF($B77="","",SUMIFS(Transaction!$E:$E,Transaction!$C:$C,"รายรับ",Transaction!$D:$D,$B77,Transaction!$B:$B,"&gt;="&amp;DATE($P$3,MATCH(C$62,Setup!$J$6:$J$17,0),1),Transaction!$B:$B,"&lt;"&amp;DATE($P$3,MATCH(C$62,Setup!$J$6:$J$17,0)+1,1)))</f>
        <v/>
      </c>
      <c r="D77" s="78">
        <f>IF($B77="","",SUMIFS(Transaction!$E:$E,Transaction!$C:$C,"รายรับ",Transaction!$D:$D,$B77,Transaction!$B:$B,"&gt;="&amp;DATE($P$3,MATCH(D$62,Setup!$J$6:$J$17,0),1),Transaction!$B:$B,"&lt;"&amp;DATE($P$3,MATCH(D$62,Setup!$J$6:$J$17,0)+1,1)))</f>
        <v/>
      </c>
      <c r="E77" s="78">
        <f>IF($B77="","",SUMIFS(Transaction!$E:$E,Transaction!$C:$C,"รายรับ",Transaction!$D:$D,$B77,Transaction!$B:$B,"&gt;="&amp;DATE($P$3,MATCH(E$62,Setup!$J$6:$J$17,0),1),Transaction!$B:$B,"&lt;"&amp;DATE($P$3,MATCH(E$62,Setup!$J$6:$J$17,0)+1,1)))</f>
        <v/>
      </c>
      <c r="F77" s="78">
        <f>IF($B77="","",SUMIFS(Transaction!$E:$E,Transaction!$C:$C,"รายรับ",Transaction!$D:$D,$B77,Transaction!$B:$B,"&gt;="&amp;DATE($P$3,MATCH(F$62,Setup!$J$6:$J$17,0),1),Transaction!$B:$B,"&lt;"&amp;DATE($P$3,MATCH(F$62,Setup!$J$6:$J$17,0)+1,1)))</f>
        <v/>
      </c>
      <c r="G77" s="78">
        <f>IF($B77="","",SUMIFS(Transaction!$E:$E,Transaction!$C:$C,"รายรับ",Transaction!$D:$D,$B77,Transaction!$B:$B,"&gt;="&amp;DATE($P$3,MATCH(G$62,Setup!$J$6:$J$17,0),1),Transaction!$B:$B,"&lt;"&amp;DATE($P$3,MATCH(G$62,Setup!$J$6:$J$17,0)+1,1)))</f>
        <v/>
      </c>
      <c r="H77" s="78">
        <f>IF($B77="","",SUMIFS(Transaction!$E:$E,Transaction!$C:$C,"รายรับ",Transaction!$D:$D,$B77,Transaction!$B:$B,"&gt;="&amp;DATE($P$3,MATCH(H$62,Setup!$J$6:$J$17,0),1),Transaction!$B:$B,"&lt;"&amp;DATE($P$3,MATCH(H$62,Setup!$J$6:$J$17,0)+1,1)))</f>
        <v/>
      </c>
      <c r="I77" s="78">
        <f>IF($B77="","",SUMIFS(Transaction!$E:$E,Transaction!$C:$C,"รายรับ",Transaction!$D:$D,$B77,Transaction!$B:$B,"&gt;="&amp;DATE($P$3,MATCH(I$62,Setup!$J$6:$J$17,0),1),Transaction!$B:$B,"&lt;"&amp;DATE($P$3,MATCH(I$62,Setup!$J$6:$J$17,0)+1,1)))</f>
        <v/>
      </c>
      <c r="J77" s="78">
        <f>IF($B77="","",SUMIFS(Transaction!$E:$E,Transaction!$C:$C,"รายรับ",Transaction!$D:$D,$B77,Transaction!$B:$B,"&gt;="&amp;DATE($P$3,MATCH(J$62,Setup!$J$6:$J$17,0),1),Transaction!$B:$B,"&lt;"&amp;DATE($P$3,MATCH(J$62,Setup!$J$6:$J$17,0)+1,1)))</f>
        <v/>
      </c>
      <c r="K77" s="78">
        <f>IF($B77="","",SUMIFS(Transaction!$E:$E,Transaction!$C:$C,"รายรับ",Transaction!$D:$D,$B77,Transaction!$B:$B,"&gt;="&amp;DATE($P$3,MATCH(K$62,Setup!$J$6:$J$17,0),1),Transaction!$B:$B,"&lt;"&amp;DATE($P$3,MATCH(K$62,Setup!$J$6:$J$17,0)+1,1)))</f>
        <v/>
      </c>
      <c r="L77" s="78">
        <f>IF($B77="","",SUMIFS(Transaction!$E:$E,Transaction!$C:$C,"รายรับ",Transaction!$D:$D,$B77,Transaction!$B:$B,"&gt;="&amp;DATE($P$3,MATCH(L$62,Setup!$J$6:$J$17,0),1),Transaction!$B:$B,"&lt;"&amp;DATE($P$3,MATCH(L$62,Setup!$J$6:$J$17,0)+1,1)))</f>
        <v/>
      </c>
      <c r="M77" s="78">
        <f>IF($B77="","",SUMIFS(Transaction!$E:$E,Transaction!$C:$C,"รายรับ",Transaction!$D:$D,$B77,Transaction!$B:$B,"&gt;="&amp;DATE($P$3,MATCH(M$62,Setup!$J$6:$J$17,0),1),Transaction!$B:$B,"&lt;"&amp;DATE($P$3,MATCH(M$62,Setup!$J$6:$J$17,0)+1,1)))</f>
        <v/>
      </c>
      <c r="N77" s="78">
        <f>IF($B77="","",SUMIFS(Transaction!$E:$E,Transaction!$C:$C,"รายรับ",Transaction!$D:$D,$B77,Transaction!$B:$B,"&gt;="&amp;DATE($P$3,MATCH(N$62,Setup!$J$6:$J$17,0),1),Transaction!$B:$B,"&lt;"&amp;DATE($P$3,MATCH(N$62,Setup!$J$6:$J$17,0)+1,1)))</f>
        <v/>
      </c>
      <c r="O77" s="55">
        <f>IF($B77="","",SUM(C77:N77))</f>
        <v/>
      </c>
      <c r="P77" s="79">
        <f>IF(OR($B77="",N($O$78)=0),"",O77/$O$78)</f>
        <v/>
      </c>
      <c r="Q77" s="80">
        <f>IF(OR($B77="",N(O77)&lt;=0),"",COUNTIF($O$63:$O$77,"&gt;"&amp;O77)+COUNTIF($O$63:O77,O77))</f>
        <v/>
      </c>
    </row>
    <row r="78">
      <c r="B78" s="64" t="inlineStr">
        <is>
          <t>รวมรายรับ</t>
        </is>
      </c>
      <c r="C78" s="81">
        <f>SUM(C63:C77)</f>
        <v/>
      </c>
      <c r="D78" s="81">
        <f>SUM(D63:D77)</f>
        <v/>
      </c>
      <c r="E78" s="81">
        <f>SUM(E63:E77)</f>
        <v/>
      </c>
      <c r="F78" s="81">
        <f>SUM(F63:F77)</f>
        <v/>
      </c>
      <c r="G78" s="81">
        <f>SUM(G63:G77)</f>
        <v/>
      </c>
      <c r="H78" s="81">
        <f>SUM(H63:H77)</f>
        <v/>
      </c>
      <c r="I78" s="81">
        <f>SUM(I63:I77)</f>
        <v/>
      </c>
      <c r="J78" s="81">
        <f>SUM(J63:J77)</f>
        <v/>
      </c>
      <c r="K78" s="81">
        <f>SUM(K63:K77)</f>
        <v/>
      </c>
      <c r="L78" s="81">
        <f>SUM(L63:L77)</f>
        <v/>
      </c>
      <c r="M78" s="81">
        <f>SUM(M63:M77)</f>
        <v/>
      </c>
      <c r="N78" s="81">
        <f>SUM(N63:N77)</f>
        <v/>
      </c>
      <c r="O78" s="65">
        <f>SUM(O63:O77)</f>
        <v/>
      </c>
      <c r="P78" s="66">
        <f>IF(N(O78)=0,"",1)</f>
        <v/>
      </c>
      <c r="Q78" s="67" t="n"/>
    </row>
    <row r="80" ht="24" customHeight="1">
      <c r="B80" s="82" t="inlineStr">
        <is>
          <t>💸 รายจ่าย</t>
        </is>
      </c>
      <c r="C80" s="26" t="inlineStr">
        <is>
          <t>ม.ค.</t>
        </is>
      </c>
      <c r="D80" s="26" t="inlineStr">
        <is>
          <t>ก.พ.</t>
        </is>
      </c>
      <c r="E80" s="26" t="inlineStr">
        <is>
          <t>มี.ค.</t>
        </is>
      </c>
      <c r="F80" s="26" t="inlineStr">
        <is>
          <t>เม.ย.</t>
        </is>
      </c>
      <c r="G80" s="26" t="inlineStr">
        <is>
          <t>พ.ค.</t>
        </is>
      </c>
      <c r="H80" s="26" t="inlineStr">
        <is>
          <t>มิ.ย.</t>
        </is>
      </c>
      <c r="I80" s="26" t="inlineStr">
        <is>
          <t>ก.ค.</t>
        </is>
      </c>
      <c r="J80" s="26" t="inlineStr">
        <is>
          <t>ส.ค.</t>
        </is>
      </c>
      <c r="K80" s="26" t="inlineStr">
        <is>
          <t>ก.ย.</t>
        </is>
      </c>
      <c r="L80" s="26" t="inlineStr">
        <is>
          <t>ต.ค.</t>
        </is>
      </c>
      <c r="M80" s="26" t="inlineStr">
        <is>
          <t>พ.ย.</t>
        </is>
      </c>
      <c r="N80" s="26" t="inlineStr">
        <is>
          <t>ธ.ค.</t>
        </is>
      </c>
      <c r="O80" s="26" t="inlineStr">
        <is>
          <t>รวมทั้งปี</t>
        </is>
      </c>
      <c r="P80" s="26" t="inlineStr">
        <is>
          <t>%</t>
        </is>
      </c>
      <c r="Q80" s="26" t="inlineStr">
        <is>
          <t>อันดับ</t>
        </is>
      </c>
    </row>
    <row r="81">
      <c r="B81" s="60">
        <f>IF(Setup!$D$6="","",Setup!$D$6)</f>
        <v/>
      </c>
      <c r="C81" s="78">
        <f>IF($B81="","",SUMIFS(Transaction!$E:$E,Transaction!$C:$C,"รายจ่าย",Transaction!$D:$D,$B81,Transaction!$B:$B,"&gt;="&amp;DATE($P$3,MATCH(C$80,Setup!$J$6:$J$17,0),1),Transaction!$B:$B,"&lt;"&amp;DATE($P$3,MATCH(C$80,Setup!$J$6:$J$17,0)+1,1)))</f>
        <v/>
      </c>
      <c r="D81" s="78">
        <f>IF($B81="","",SUMIFS(Transaction!$E:$E,Transaction!$C:$C,"รายจ่าย",Transaction!$D:$D,$B81,Transaction!$B:$B,"&gt;="&amp;DATE($P$3,MATCH(D$80,Setup!$J$6:$J$17,0),1),Transaction!$B:$B,"&lt;"&amp;DATE($P$3,MATCH(D$80,Setup!$J$6:$J$17,0)+1,1)))</f>
        <v/>
      </c>
      <c r="E81" s="78">
        <f>IF($B81="","",SUMIFS(Transaction!$E:$E,Transaction!$C:$C,"รายจ่าย",Transaction!$D:$D,$B81,Transaction!$B:$B,"&gt;="&amp;DATE($P$3,MATCH(E$80,Setup!$J$6:$J$17,0),1),Transaction!$B:$B,"&lt;"&amp;DATE($P$3,MATCH(E$80,Setup!$J$6:$J$17,0)+1,1)))</f>
        <v/>
      </c>
      <c r="F81" s="78">
        <f>IF($B81="","",SUMIFS(Transaction!$E:$E,Transaction!$C:$C,"รายจ่าย",Transaction!$D:$D,$B81,Transaction!$B:$B,"&gt;="&amp;DATE($P$3,MATCH(F$80,Setup!$J$6:$J$17,0),1),Transaction!$B:$B,"&lt;"&amp;DATE($P$3,MATCH(F$80,Setup!$J$6:$J$17,0)+1,1)))</f>
        <v/>
      </c>
      <c r="G81" s="78">
        <f>IF($B81="","",SUMIFS(Transaction!$E:$E,Transaction!$C:$C,"รายจ่าย",Transaction!$D:$D,$B81,Transaction!$B:$B,"&gt;="&amp;DATE($P$3,MATCH(G$80,Setup!$J$6:$J$17,0),1),Transaction!$B:$B,"&lt;"&amp;DATE($P$3,MATCH(G$80,Setup!$J$6:$J$17,0)+1,1)))</f>
        <v/>
      </c>
      <c r="H81" s="78">
        <f>IF($B81="","",SUMIFS(Transaction!$E:$E,Transaction!$C:$C,"รายจ่าย",Transaction!$D:$D,$B81,Transaction!$B:$B,"&gt;="&amp;DATE($P$3,MATCH(H$80,Setup!$J$6:$J$17,0),1),Transaction!$B:$B,"&lt;"&amp;DATE($P$3,MATCH(H$80,Setup!$J$6:$J$17,0)+1,1)))</f>
        <v/>
      </c>
      <c r="I81" s="78">
        <f>IF($B81="","",SUMIFS(Transaction!$E:$E,Transaction!$C:$C,"รายจ่าย",Transaction!$D:$D,$B81,Transaction!$B:$B,"&gt;="&amp;DATE($P$3,MATCH(I$80,Setup!$J$6:$J$17,0),1),Transaction!$B:$B,"&lt;"&amp;DATE($P$3,MATCH(I$80,Setup!$J$6:$J$17,0)+1,1)))</f>
        <v/>
      </c>
      <c r="J81" s="78">
        <f>IF($B81="","",SUMIFS(Transaction!$E:$E,Transaction!$C:$C,"รายจ่าย",Transaction!$D:$D,$B81,Transaction!$B:$B,"&gt;="&amp;DATE($P$3,MATCH(J$80,Setup!$J$6:$J$17,0),1),Transaction!$B:$B,"&lt;"&amp;DATE($P$3,MATCH(J$80,Setup!$J$6:$J$17,0)+1,1)))</f>
        <v/>
      </c>
      <c r="K81" s="78">
        <f>IF($B81="","",SUMIFS(Transaction!$E:$E,Transaction!$C:$C,"รายจ่าย",Transaction!$D:$D,$B81,Transaction!$B:$B,"&gt;="&amp;DATE($P$3,MATCH(K$80,Setup!$J$6:$J$17,0),1),Transaction!$B:$B,"&lt;"&amp;DATE($P$3,MATCH(K$80,Setup!$J$6:$J$17,0)+1,1)))</f>
        <v/>
      </c>
      <c r="L81" s="78">
        <f>IF($B81="","",SUMIFS(Transaction!$E:$E,Transaction!$C:$C,"รายจ่าย",Transaction!$D:$D,$B81,Transaction!$B:$B,"&gt;="&amp;DATE($P$3,MATCH(L$80,Setup!$J$6:$J$17,0),1),Transaction!$B:$B,"&lt;"&amp;DATE($P$3,MATCH(L$80,Setup!$J$6:$J$17,0)+1,1)))</f>
        <v/>
      </c>
      <c r="M81" s="78">
        <f>IF($B81="","",SUMIFS(Transaction!$E:$E,Transaction!$C:$C,"รายจ่าย",Transaction!$D:$D,$B81,Transaction!$B:$B,"&gt;="&amp;DATE($P$3,MATCH(M$80,Setup!$J$6:$J$17,0),1),Transaction!$B:$B,"&lt;"&amp;DATE($P$3,MATCH(M$80,Setup!$J$6:$J$17,0)+1,1)))</f>
        <v/>
      </c>
      <c r="N81" s="78">
        <f>IF($B81="","",SUMIFS(Transaction!$E:$E,Transaction!$C:$C,"รายจ่าย",Transaction!$D:$D,$B81,Transaction!$B:$B,"&gt;="&amp;DATE($P$3,MATCH(N$80,Setup!$J$6:$J$17,0),1),Transaction!$B:$B,"&lt;"&amp;DATE($P$3,MATCH(N$80,Setup!$J$6:$J$17,0)+1,1)))</f>
        <v/>
      </c>
      <c r="O81" s="55">
        <f>IF($B81="","",SUM(C81:N81))</f>
        <v/>
      </c>
      <c r="P81" s="79">
        <f>IF(OR($B81="",N($O$106)=0),"",O81/$O$106)</f>
        <v/>
      </c>
      <c r="Q81" s="83">
        <f>IF(OR($B81="",N(O81)&lt;=0),"",COUNTIF($O$81:$O$105,"&gt;"&amp;O81)+COUNTIF($O$81:O81,O81))</f>
        <v/>
      </c>
    </row>
    <row r="82">
      <c r="B82" s="60">
        <f>IF(Setup!$D$7="","",Setup!$D$7)</f>
        <v/>
      </c>
      <c r="C82" s="78">
        <f>IF($B82="","",SUMIFS(Transaction!$E:$E,Transaction!$C:$C,"รายจ่าย",Transaction!$D:$D,$B82,Transaction!$B:$B,"&gt;="&amp;DATE($P$3,MATCH(C$80,Setup!$J$6:$J$17,0),1),Transaction!$B:$B,"&lt;"&amp;DATE($P$3,MATCH(C$80,Setup!$J$6:$J$17,0)+1,1)))</f>
        <v/>
      </c>
      <c r="D82" s="78">
        <f>IF($B82="","",SUMIFS(Transaction!$E:$E,Transaction!$C:$C,"รายจ่าย",Transaction!$D:$D,$B82,Transaction!$B:$B,"&gt;="&amp;DATE($P$3,MATCH(D$80,Setup!$J$6:$J$17,0),1),Transaction!$B:$B,"&lt;"&amp;DATE($P$3,MATCH(D$80,Setup!$J$6:$J$17,0)+1,1)))</f>
        <v/>
      </c>
      <c r="E82" s="78">
        <f>IF($B82="","",SUMIFS(Transaction!$E:$E,Transaction!$C:$C,"รายจ่าย",Transaction!$D:$D,$B82,Transaction!$B:$B,"&gt;="&amp;DATE($P$3,MATCH(E$80,Setup!$J$6:$J$17,0),1),Transaction!$B:$B,"&lt;"&amp;DATE($P$3,MATCH(E$80,Setup!$J$6:$J$17,0)+1,1)))</f>
        <v/>
      </c>
      <c r="F82" s="78">
        <f>IF($B82="","",SUMIFS(Transaction!$E:$E,Transaction!$C:$C,"รายจ่าย",Transaction!$D:$D,$B82,Transaction!$B:$B,"&gt;="&amp;DATE($P$3,MATCH(F$80,Setup!$J$6:$J$17,0),1),Transaction!$B:$B,"&lt;"&amp;DATE($P$3,MATCH(F$80,Setup!$J$6:$J$17,0)+1,1)))</f>
        <v/>
      </c>
      <c r="G82" s="78">
        <f>IF($B82="","",SUMIFS(Transaction!$E:$E,Transaction!$C:$C,"รายจ่าย",Transaction!$D:$D,$B82,Transaction!$B:$B,"&gt;="&amp;DATE($P$3,MATCH(G$80,Setup!$J$6:$J$17,0),1),Transaction!$B:$B,"&lt;"&amp;DATE($P$3,MATCH(G$80,Setup!$J$6:$J$17,0)+1,1)))</f>
        <v/>
      </c>
      <c r="H82" s="78">
        <f>IF($B82="","",SUMIFS(Transaction!$E:$E,Transaction!$C:$C,"รายจ่าย",Transaction!$D:$D,$B82,Transaction!$B:$B,"&gt;="&amp;DATE($P$3,MATCH(H$80,Setup!$J$6:$J$17,0),1),Transaction!$B:$B,"&lt;"&amp;DATE($P$3,MATCH(H$80,Setup!$J$6:$J$17,0)+1,1)))</f>
        <v/>
      </c>
      <c r="I82" s="78">
        <f>IF($B82="","",SUMIFS(Transaction!$E:$E,Transaction!$C:$C,"รายจ่าย",Transaction!$D:$D,$B82,Transaction!$B:$B,"&gt;="&amp;DATE($P$3,MATCH(I$80,Setup!$J$6:$J$17,0),1),Transaction!$B:$B,"&lt;"&amp;DATE($P$3,MATCH(I$80,Setup!$J$6:$J$17,0)+1,1)))</f>
        <v/>
      </c>
      <c r="J82" s="78">
        <f>IF($B82="","",SUMIFS(Transaction!$E:$E,Transaction!$C:$C,"รายจ่าย",Transaction!$D:$D,$B82,Transaction!$B:$B,"&gt;="&amp;DATE($P$3,MATCH(J$80,Setup!$J$6:$J$17,0),1),Transaction!$B:$B,"&lt;"&amp;DATE($P$3,MATCH(J$80,Setup!$J$6:$J$17,0)+1,1)))</f>
        <v/>
      </c>
      <c r="K82" s="78">
        <f>IF($B82="","",SUMIFS(Transaction!$E:$E,Transaction!$C:$C,"รายจ่าย",Transaction!$D:$D,$B82,Transaction!$B:$B,"&gt;="&amp;DATE($P$3,MATCH(K$80,Setup!$J$6:$J$17,0),1),Transaction!$B:$B,"&lt;"&amp;DATE($P$3,MATCH(K$80,Setup!$J$6:$J$17,0)+1,1)))</f>
        <v/>
      </c>
      <c r="L82" s="78">
        <f>IF($B82="","",SUMIFS(Transaction!$E:$E,Transaction!$C:$C,"รายจ่าย",Transaction!$D:$D,$B82,Transaction!$B:$B,"&gt;="&amp;DATE($P$3,MATCH(L$80,Setup!$J$6:$J$17,0),1),Transaction!$B:$B,"&lt;"&amp;DATE($P$3,MATCH(L$80,Setup!$J$6:$J$17,0)+1,1)))</f>
        <v/>
      </c>
      <c r="M82" s="78">
        <f>IF($B82="","",SUMIFS(Transaction!$E:$E,Transaction!$C:$C,"รายจ่าย",Transaction!$D:$D,$B82,Transaction!$B:$B,"&gt;="&amp;DATE($P$3,MATCH(M$80,Setup!$J$6:$J$17,0),1),Transaction!$B:$B,"&lt;"&amp;DATE($P$3,MATCH(M$80,Setup!$J$6:$J$17,0)+1,1)))</f>
        <v/>
      </c>
      <c r="N82" s="78">
        <f>IF($B82="","",SUMIFS(Transaction!$E:$E,Transaction!$C:$C,"รายจ่าย",Transaction!$D:$D,$B82,Transaction!$B:$B,"&gt;="&amp;DATE($P$3,MATCH(N$80,Setup!$J$6:$J$17,0),1),Transaction!$B:$B,"&lt;"&amp;DATE($P$3,MATCH(N$80,Setup!$J$6:$J$17,0)+1,1)))</f>
        <v/>
      </c>
      <c r="O82" s="55">
        <f>IF($B82="","",SUM(C82:N82))</f>
        <v/>
      </c>
      <c r="P82" s="79">
        <f>IF(OR($B82="",N($O$106)=0),"",O82/$O$106)</f>
        <v/>
      </c>
      <c r="Q82" s="83">
        <f>IF(OR($B82="",N(O82)&lt;=0),"",COUNTIF($O$81:$O$105,"&gt;"&amp;O82)+COUNTIF($O$81:O82,O82))</f>
        <v/>
      </c>
    </row>
    <row r="83">
      <c r="B83" s="60">
        <f>IF(Setup!$D$8="","",Setup!$D$8)</f>
        <v/>
      </c>
      <c r="C83" s="78">
        <f>IF($B83="","",SUMIFS(Transaction!$E:$E,Transaction!$C:$C,"รายจ่าย",Transaction!$D:$D,$B83,Transaction!$B:$B,"&gt;="&amp;DATE($P$3,MATCH(C$80,Setup!$J$6:$J$17,0),1),Transaction!$B:$B,"&lt;"&amp;DATE($P$3,MATCH(C$80,Setup!$J$6:$J$17,0)+1,1)))</f>
        <v/>
      </c>
      <c r="D83" s="78">
        <f>IF($B83="","",SUMIFS(Transaction!$E:$E,Transaction!$C:$C,"รายจ่าย",Transaction!$D:$D,$B83,Transaction!$B:$B,"&gt;="&amp;DATE($P$3,MATCH(D$80,Setup!$J$6:$J$17,0),1),Transaction!$B:$B,"&lt;"&amp;DATE($P$3,MATCH(D$80,Setup!$J$6:$J$17,0)+1,1)))</f>
        <v/>
      </c>
      <c r="E83" s="78">
        <f>IF($B83="","",SUMIFS(Transaction!$E:$E,Transaction!$C:$C,"รายจ่าย",Transaction!$D:$D,$B83,Transaction!$B:$B,"&gt;="&amp;DATE($P$3,MATCH(E$80,Setup!$J$6:$J$17,0),1),Transaction!$B:$B,"&lt;"&amp;DATE($P$3,MATCH(E$80,Setup!$J$6:$J$17,0)+1,1)))</f>
        <v/>
      </c>
      <c r="F83" s="78">
        <f>IF($B83="","",SUMIFS(Transaction!$E:$E,Transaction!$C:$C,"รายจ่าย",Transaction!$D:$D,$B83,Transaction!$B:$B,"&gt;="&amp;DATE($P$3,MATCH(F$80,Setup!$J$6:$J$17,0),1),Transaction!$B:$B,"&lt;"&amp;DATE($P$3,MATCH(F$80,Setup!$J$6:$J$17,0)+1,1)))</f>
        <v/>
      </c>
      <c r="G83" s="78">
        <f>IF($B83="","",SUMIFS(Transaction!$E:$E,Transaction!$C:$C,"รายจ่าย",Transaction!$D:$D,$B83,Transaction!$B:$B,"&gt;="&amp;DATE($P$3,MATCH(G$80,Setup!$J$6:$J$17,0),1),Transaction!$B:$B,"&lt;"&amp;DATE($P$3,MATCH(G$80,Setup!$J$6:$J$17,0)+1,1)))</f>
        <v/>
      </c>
      <c r="H83" s="78">
        <f>IF($B83="","",SUMIFS(Transaction!$E:$E,Transaction!$C:$C,"รายจ่าย",Transaction!$D:$D,$B83,Transaction!$B:$B,"&gt;="&amp;DATE($P$3,MATCH(H$80,Setup!$J$6:$J$17,0),1),Transaction!$B:$B,"&lt;"&amp;DATE($P$3,MATCH(H$80,Setup!$J$6:$J$17,0)+1,1)))</f>
        <v/>
      </c>
      <c r="I83" s="78">
        <f>IF($B83="","",SUMIFS(Transaction!$E:$E,Transaction!$C:$C,"รายจ่าย",Transaction!$D:$D,$B83,Transaction!$B:$B,"&gt;="&amp;DATE($P$3,MATCH(I$80,Setup!$J$6:$J$17,0),1),Transaction!$B:$B,"&lt;"&amp;DATE($P$3,MATCH(I$80,Setup!$J$6:$J$17,0)+1,1)))</f>
        <v/>
      </c>
      <c r="J83" s="78">
        <f>IF($B83="","",SUMIFS(Transaction!$E:$E,Transaction!$C:$C,"รายจ่าย",Transaction!$D:$D,$B83,Transaction!$B:$B,"&gt;="&amp;DATE($P$3,MATCH(J$80,Setup!$J$6:$J$17,0),1),Transaction!$B:$B,"&lt;"&amp;DATE($P$3,MATCH(J$80,Setup!$J$6:$J$17,0)+1,1)))</f>
        <v/>
      </c>
      <c r="K83" s="78">
        <f>IF($B83="","",SUMIFS(Transaction!$E:$E,Transaction!$C:$C,"รายจ่าย",Transaction!$D:$D,$B83,Transaction!$B:$B,"&gt;="&amp;DATE($P$3,MATCH(K$80,Setup!$J$6:$J$17,0),1),Transaction!$B:$B,"&lt;"&amp;DATE($P$3,MATCH(K$80,Setup!$J$6:$J$17,0)+1,1)))</f>
        <v/>
      </c>
      <c r="L83" s="78">
        <f>IF($B83="","",SUMIFS(Transaction!$E:$E,Transaction!$C:$C,"รายจ่าย",Transaction!$D:$D,$B83,Transaction!$B:$B,"&gt;="&amp;DATE($P$3,MATCH(L$80,Setup!$J$6:$J$17,0),1),Transaction!$B:$B,"&lt;"&amp;DATE($P$3,MATCH(L$80,Setup!$J$6:$J$17,0)+1,1)))</f>
        <v/>
      </c>
      <c r="M83" s="78">
        <f>IF($B83="","",SUMIFS(Transaction!$E:$E,Transaction!$C:$C,"รายจ่าย",Transaction!$D:$D,$B83,Transaction!$B:$B,"&gt;="&amp;DATE($P$3,MATCH(M$80,Setup!$J$6:$J$17,0),1),Transaction!$B:$B,"&lt;"&amp;DATE($P$3,MATCH(M$80,Setup!$J$6:$J$17,0)+1,1)))</f>
        <v/>
      </c>
      <c r="N83" s="78">
        <f>IF($B83="","",SUMIFS(Transaction!$E:$E,Transaction!$C:$C,"รายจ่าย",Transaction!$D:$D,$B83,Transaction!$B:$B,"&gt;="&amp;DATE($P$3,MATCH(N$80,Setup!$J$6:$J$17,0),1),Transaction!$B:$B,"&lt;"&amp;DATE($P$3,MATCH(N$80,Setup!$J$6:$J$17,0)+1,1)))</f>
        <v/>
      </c>
      <c r="O83" s="55">
        <f>IF($B83="","",SUM(C83:N83))</f>
        <v/>
      </c>
      <c r="P83" s="79">
        <f>IF(OR($B83="",N($O$106)=0),"",O83/$O$106)</f>
        <v/>
      </c>
      <c r="Q83" s="83">
        <f>IF(OR($B83="",N(O83)&lt;=0),"",COUNTIF($O$81:$O$105,"&gt;"&amp;O83)+COUNTIF($O$81:O83,O83))</f>
        <v/>
      </c>
    </row>
    <row r="84">
      <c r="B84" s="60">
        <f>IF(Setup!$D$9="","",Setup!$D$9)</f>
        <v/>
      </c>
      <c r="C84" s="78">
        <f>IF($B84="","",SUMIFS(Transaction!$E:$E,Transaction!$C:$C,"รายจ่าย",Transaction!$D:$D,$B84,Transaction!$B:$B,"&gt;="&amp;DATE($P$3,MATCH(C$80,Setup!$J$6:$J$17,0),1),Transaction!$B:$B,"&lt;"&amp;DATE($P$3,MATCH(C$80,Setup!$J$6:$J$17,0)+1,1)))</f>
        <v/>
      </c>
      <c r="D84" s="78">
        <f>IF($B84="","",SUMIFS(Transaction!$E:$E,Transaction!$C:$C,"รายจ่าย",Transaction!$D:$D,$B84,Transaction!$B:$B,"&gt;="&amp;DATE($P$3,MATCH(D$80,Setup!$J$6:$J$17,0),1),Transaction!$B:$B,"&lt;"&amp;DATE($P$3,MATCH(D$80,Setup!$J$6:$J$17,0)+1,1)))</f>
        <v/>
      </c>
      <c r="E84" s="78">
        <f>IF($B84="","",SUMIFS(Transaction!$E:$E,Transaction!$C:$C,"รายจ่าย",Transaction!$D:$D,$B84,Transaction!$B:$B,"&gt;="&amp;DATE($P$3,MATCH(E$80,Setup!$J$6:$J$17,0),1),Transaction!$B:$B,"&lt;"&amp;DATE($P$3,MATCH(E$80,Setup!$J$6:$J$17,0)+1,1)))</f>
        <v/>
      </c>
      <c r="F84" s="78">
        <f>IF($B84="","",SUMIFS(Transaction!$E:$E,Transaction!$C:$C,"รายจ่าย",Transaction!$D:$D,$B84,Transaction!$B:$B,"&gt;="&amp;DATE($P$3,MATCH(F$80,Setup!$J$6:$J$17,0),1),Transaction!$B:$B,"&lt;"&amp;DATE($P$3,MATCH(F$80,Setup!$J$6:$J$17,0)+1,1)))</f>
        <v/>
      </c>
      <c r="G84" s="78">
        <f>IF($B84="","",SUMIFS(Transaction!$E:$E,Transaction!$C:$C,"รายจ่าย",Transaction!$D:$D,$B84,Transaction!$B:$B,"&gt;="&amp;DATE($P$3,MATCH(G$80,Setup!$J$6:$J$17,0),1),Transaction!$B:$B,"&lt;"&amp;DATE($P$3,MATCH(G$80,Setup!$J$6:$J$17,0)+1,1)))</f>
        <v/>
      </c>
      <c r="H84" s="78">
        <f>IF($B84="","",SUMIFS(Transaction!$E:$E,Transaction!$C:$C,"รายจ่าย",Transaction!$D:$D,$B84,Transaction!$B:$B,"&gt;="&amp;DATE($P$3,MATCH(H$80,Setup!$J$6:$J$17,0),1),Transaction!$B:$B,"&lt;"&amp;DATE($P$3,MATCH(H$80,Setup!$J$6:$J$17,0)+1,1)))</f>
        <v/>
      </c>
      <c r="I84" s="78">
        <f>IF($B84="","",SUMIFS(Transaction!$E:$E,Transaction!$C:$C,"รายจ่าย",Transaction!$D:$D,$B84,Transaction!$B:$B,"&gt;="&amp;DATE($P$3,MATCH(I$80,Setup!$J$6:$J$17,0),1),Transaction!$B:$B,"&lt;"&amp;DATE($P$3,MATCH(I$80,Setup!$J$6:$J$17,0)+1,1)))</f>
        <v/>
      </c>
      <c r="J84" s="78">
        <f>IF($B84="","",SUMIFS(Transaction!$E:$E,Transaction!$C:$C,"รายจ่าย",Transaction!$D:$D,$B84,Transaction!$B:$B,"&gt;="&amp;DATE($P$3,MATCH(J$80,Setup!$J$6:$J$17,0),1),Transaction!$B:$B,"&lt;"&amp;DATE($P$3,MATCH(J$80,Setup!$J$6:$J$17,0)+1,1)))</f>
        <v/>
      </c>
      <c r="K84" s="78">
        <f>IF($B84="","",SUMIFS(Transaction!$E:$E,Transaction!$C:$C,"รายจ่าย",Transaction!$D:$D,$B84,Transaction!$B:$B,"&gt;="&amp;DATE($P$3,MATCH(K$80,Setup!$J$6:$J$17,0),1),Transaction!$B:$B,"&lt;"&amp;DATE($P$3,MATCH(K$80,Setup!$J$6:$J$17,0)+1,1)))</f>
        <v/>
      </c>
      <c r="L84" s="78">
        <f>IF($B84="","",SUMIFS(Transaction!$E:$E,Transaction!$C:$C,"รายจ่าย",Transaction!$D:$D,$B84,Transaction!$B:$B,"&gt;="&amp;DATE($P$3,MATCH(L$80,Setup!$J$6:$J$17,0),1),Transaction!$B:$B,"&lt;"&amp;DATE($P$3,MATCH(L$80,Setup!$J$6:$J$17,0)+1,1)))</f>
        <v/>
      </c>
      <c r="M84" s="78">
        <f>IF($B84="","",SUMIFS(Transaction!$E:$E,Transaction!$C:$C,"รายจ่าย",Transaction!$D:$D,$B84,Transaction!$B:$B,"&gt;="&amp;DATE($P$3,MATCH(M$80,Setup!$J$6:$J$17,0),1),Transaction!$B:$B,"&lt;"&amp;DATE($P$3,MATCH(M$80,Setup!$J$6:$J$17,0)+1,1)))</f>
        <v/>
      </c>
      <c r="N84" s="78">
        <f>IF($B84="","",SUMIFS(Transaction!$E:$E,Transaction!$C:$C,"รายจ่าย",Transaction!$D:$D,$B84,Transaction!$B:$B,"&gt;="&amp;DATE($P$3,MATCH(N$80,Setup!$J$6:$J$17,0),1),Transaction!$B:$B,"&lt;"&amp;DATE($P$3,MATCH(N$80,Setup!$J$6:$J$17,0)+1,1)))</f>
        <v/>
      </c>
      <c r="O84" s="55">
        <f>IF($B84="","",SUM(C84:N84))</f>
        <v/>
      </c>
      <c r="P84" s="79">
        <f>IF(OR($B84="",N($O$106)=0),"",O84/$O$106)</f>
        <v/>
      </c>
      <c r="Q84" s="83">
        <f>IF(OR($B84="",N(O84)&lt;=0),"",COUNTIF($O$81:$O$105,"&gt;"&amp;O84)+COUNTIF($O$81:O84,O84))</f>
        <v/>
      </c>
    </row>
    <row r="85">
      <c r="B85" s="60">
        <f>IF(Setup!$D$10="","",Setup!$D$10)</f>
        <v/>
      </c>
      <c r="C85" s="78">
        <f>IF($B85="","",SUMIFS(Transaction!$E:$E,Transaction!$C:$C,"รายจ่าย",Transaction!$D:$D,$B85,Transaction!$B:$B,"&gt;="&amp;DATE($P$3,MATCH(C$80,Setup!$J$6:$J$17,0),1),Transaction!$B:$B,"&lt;"&amp;DATE($P$3,MATCH(C$80,Setup!$J$6:$J$17,0)+1,1)))</f>
        <v/>
      </c>
      <c r="D85" s="78">
        <f>IF($B85="","",SUMIFS(Transaction!$E:$E,Transaction!$C:$C,"รายจ่าย",Transaction!$D:$D,$B85,Transaction!$B:$B,"&gt;="&amp;DATE($P$3,MATCH(D$80,Setup!$J$6:$J$17,0),1),Transaction!$B:$B,"&lt;"&amp;DATE($P$3,MATCH(D$80,Setup!$J$6:$J$17,0)+1,1)))</f>
        <v/>
      </c>
      <c r="E85" s="78">
        <f>IF($B85="","",SUMIFS(Transaction!$E:$E,Transaction!$C:$C,"รายจ่าย",Transaction!$D:$D,$B85,Transaction!$B:$B,"&gt;="&amp;DATE($P$3,MATCH(E$80,Setup!$J$6:$J$17,0),1),Transaction!$B:$B,"&lt;"&amp;DATE($P$3,MATCH(E$80,Setup!$J$6:$J$17,0)+1,1)))</f>
        <v/>
      </c>
      <c r="F85" s="78">
        <f>IF($B85="","",SUMIFS(Transaction!$E:$E,Transaction!$C:$C,"รายจ่าย",Transaction!$D:$D,$B85,Transaction!$B:$B,"&gt;="&amp;DATE($P$3,MATCH(F$80,Setup!$J$6:$J$17,0),1),Transaction!$B:$B,"&lt;"&amp;DATE($P$3,MATCH(F$80,Setup!$J$6:$J$17,0)+1,1)))</f>
        <v/>
      </c>
      <c r="G85" s="78">
        <f>IF($B85="","",SUMIFS(Transaction!$E:$E,Transaction!$C:$C,"รายจ่าย",Transaction!$D:$D,$B85,Transaction!$B:$B,"&gt;="&amp;DATE($P$3,MATCH(G$80,Setup!$J$6:$J$17,0),1),Transaction!$B:$B,"&lt;"&amp;DATE($P$3,MATCH(G$80,Setup!$J$6:$J$17,0)+1,1)))</f>
        <v/>
      </c>
      <c r="H85" s="78">
        <f>IF($B85="","",SUMIFS(Transaction!$E:$E,Transaction!$C:$C,"รายจ่าย",Transaction!$D:$D,$B85,Transaction!$B:$B,"&gt;="&amp;DATE($P$3,MATCH(H$80,Setup!$J$6:$J$17,0),1),Transaction!$B:$B,"&lt;"&amp;DATE($P$3,MATCH(H$80,Setup!$J$6:$J$17,0)+1,1)))</f>
        <v/>
      </c>
      <c r="I85" s="78">
        <f>IF($B85="","",SUMIFS(Transaction!$E:$E,Transaction!$C:$C,"รายจ่าย",Transaction!$D:$D,$B85,Transaction!$B:$B,"&gt;="&amp;DATE($P$3,MATCH(I$80,Setup!$J$6:$J$17,0),1),Transaction!$B:$B,"&lt;"&amp;DATE($P$3,MATCH(I$80,Setup!$J$6:$J$17,0)+1,1)))</f>
        <v/>
      </c>
      <c r="J85" s="78">
        <f>IF($B85="","",SUMIFS(Transaction!$E:$E,Transaction!$C:$C,"รายจ่าย",Transaction!$D:$D,$B85,Transaction!$B:$B,"&gt;="&amp;DATE($P$3,MATCH(J$80,Setup!$J$6:$J$17,0),1),Transaction!$B:$B,"&lt;"&amp;DATE($P$3,MATCH(J$80,Setup!$J$6:$J$17,0)+1,1)))</f>
        <v/>
      </c>
      <c r="K85" s="78">
        <f>IF($B85="","",SUMIFS(Transaction!$E:$E,Transaction!$C:$C,"รายจ่าย",Transaction!$D:$D,$B85,Transaction!$B:$B,"&gt;="&amp;DATE($P$3,MATCH(K$80,Setup!$J$6:$J$17,0),1),Transaction!$B:$B,"&lt;"&amp;DATE($P$3,MATCH(K$80,Setup!$J$6:$J$17,0)+1,1)))</f>
        <v/>
      </c>
      <c r="L85" s="78">
        <f>IF($B85="","",SUMIFS(Transaction!$E:$E,Transaction!$C:$C,"รายจ่าย",Transaction!$D:$D,$B85,Transaction!$B:$B,"&gt;="&amp;DATE($P$3,MATCH(L$80,Setup!$J$6:$J$17,0),1),Transaction!$B:$B,"&lt;"&amp;DATE($P$3,MATCH(L$80,Setup!$J$6:$J$17,0)+1,1)))</f>
        <v/>
      </c>
      <c r="M85" s="78">
        <f>IF($B85="","",SUMIFS(Transaction!$E:$E,Transaction!$C:$C,"รายจ่าย",Transaction!$D:$D,$B85,Transaction!$B:$B,"&gt;="&amp;DATE($P$3,MATCH(M$80,Setup!$J$6:$J$17,0),1),Transaction!$B:$B,"&lt;"&amp;DATE($P$3,MATCH(M$80,Setup!$J$6:$J$17,0)+1,1)))</f>
        <v/>
      </c>
      <c r="N85" s="78">
        <f>IF($B85="","",SUMIFS(Transaction!$E:$E,Transaction!$C:$C,"รายจ่าย",Transaction!$D:$D,$B85,Transaction!$B:$B,"&gt;="&amp;DATE($P$3,MATCH(N$80,Setup!$J$6:$J$17,0),1),Transaction!$B:$B,"&lt;"&amp;DATE($P$3,MATCH(N$80,Setup!$J$6:$J$17,0)+1,1)))</f>
        <v/>
      </c>
      <c r="O85" s="55">
        <f>IF($B85="","",SUM(C85:N85))</f>
        <v/>
      </c>
      <c r="P85" s="79">
        <f>IF(OR($B85="",N($O$106)=0),"",O85/$O$106)</f>
        <v/>
      </c>
      <c r="Q85" s="83">
        <f>IF(OR($B85="",N(O85)&lt;=0),"",COUNTIF($O$81:$O$105,"&gt;"&amp;O85)+COUNTIF($O$81:O85,O85))</f>
        <v/>
      </c>
    </row>
    <row r="86">
      <c r="B86" s="60">
        <f>IF(Setup!$D$11="","",Setup!$D$11)</f>
        <v/>
      </c>
      <c r="C86" s="78">
        <f>IF($B86="","",SUMIFS(Transaction!$E:$E,Transaction!$C:$C,"รายจ่าย",Transaction!$D:$D,$B86,Transaction!$B:$B,"&gt;="&amp;DATE($P$3,MATCH(C$80,Setup!$J$6:$J$17,0),1),Transaction!$B:$B,"&lt;"&amp;DATE($P$3,MATCH(C$80,Setup!$J$6:$J$17,0)+1,1)))</f>
        <v/>
      </c>
      <c r="D86" s="78">
        <f>IF($B86="","",SUMIFS(Transaction!$E:$E,Transaction!$C:$C,"รายจ่าย",Transaction!$D:$D,$B86,Transaction!$B:$B,"&gt;="&amp;DATE($P$3,MATCH(D$80,Setup!$J$6:$J$17,0),1),Transaction!$B:$B,"&lt;"&amp;DATE($P$3,MATCH(D$80,Setup!$J$6:$J$17,0)+1,1)))</f>
        <v/>
      </c>
      <c r="E86" s="78">
        <f>IF($B86="","",SUMIFS(Transaction!$E:$E,Transaction!$C:$C,"รายจ่าย",Transaction!$D:$D,$B86,Transaction!$B:$B,"&gt;="&amp;DATE($P$3,MATCH(E$80,Setup!$J$6:$J$17,0),1),Transaction!$B:$B,"&lt;"&amp;DATE($P$3,MATCH(E$80,Setup!$J$6:$J$17,0)+1,1)))</f>
        <v/>
      </c>
      <c r="F86" s="78">
        <f>IF($B86="","",SUMIFS(Transaction!$E:$E,Transaction!$C:$C,"รายจ่าย",Transaction!$D:$D,$B86,Transaction!$B:$B,"&gt;="&amp;DATE($P$3,MATCH(F$80,Setup!$J$6:$J$17,0),1),Transaction!$B:$B,"&lt;"&amp;DATE($P$3,MATCH(F$80,Setup!$J$6:$J$17,0)+1,1)))</f>
        <v/>
      </c>
      <c r="G86" s="78">
        <f>IF($B86="","",SUMIFS(Transaction!$E:$E,Transaction!$C:$C,"รายจ่าย",Transaction!$D:$D,$B86,Transaction!$B:$B,"&gt;="&amp;DATE($P$3,MATCH(G$80,Setup!$J$6:$J$17,0),1),Transaction!$B:$B,"&lt;"&amp;DATE($P$3,MATCH(G$80,Setup!$J$6:$J$17,0)+1,1)))</f>
        <v/>
      </c>
      <c r="H86" s="78">
        <f>IF($B86="","",SUMIFS(Transaction!$E:$E,Transaction!$C:$C,"รายจ่าย",Transaction!$D:$D,$B86,Transaction!$B:$B,"&gt;="&amp;DATE($P$3,MATCH(H$80,Setup!$J$6:$J$17,0),1),Transaction!$B:$B,"&lt;"&amp;DATE($P$3,MATCH(H$80,Setup!$J$6:$J$17,0)+1,1)))</f>
        <v/>
      </c>
      <c r="I86" s="78">
        <f>IF($B86="","",SUMIFS(Transaction!$E:$E,Transaction!$C:$C,"รายจ่าย",Transaction!$D:$D,$B86,Transaction!$B:$B,"&gt;="&amp;DATE($P$3,MATCH(I$80,Setup!$J$6:$J$17,0),1),Transaction!$B:$B,"&lt;"&amp;DATE($P$3,MATCH(I$80,Setup!$J$6:$J$17,0)+1,1)))</f>
        <v/>
      </c>
      <c r="J86" s="78">
        <f>IF($B86="","",SUMIFS(Transaction!$E:$E,Transaction!$C:$C,"รายจ่าย",Transaction!$D:$D,$B86,Transaction!$B:$B,"&gt;="&amp;DATE($P$3,MATCH(J$80,Setup!$J$6:$J$17,0),1),Transaction!$B:$B,"&lt;"&amp;DATE($P$3,MATCH(J$80,Setup!$J$6:$J$17,0)+1,1)))</f>
        <v/>
      </c>
      <c r="K86" s="78">
        <f>IF($B86="","",SUMIFS(Transaction!$E:$E,Transaction!$C:$C,"รายจ่าย",Transaction!$D:$D,$B86,Transaction!$B:$B,"&gt;="&amp;DATE($P$3,MATCH(K$80,Setup!$J$6:$J$17,0),1),Transaction!$B:$B,"&lt;"&amp;DATE($P$3,MATCH(K$80,Setup!$J$6:$J$17,0)+1,1)))</f>
        <v/>
      </c>
      <c r="L86" s="78">
        <f>IF($B86="","",SUMIFS(Transaction!$E:$E,Transaction!$C:$C,"รายจ่าย",Transaction!$D:$D,$B86,Transaction!$B:$B,"&gt;="&amp;DATE($P$3,MATCH(L$80,Setup!$J$6:$J$17,0),1),Transaction!$B:$B,"&lt;"&amp;DATE($P$3,MATCH(L$80,Setup!$J$6:$J$17,0)+1,1)))</f>
        <v/>
      </c>
      <c r="M86" s="78">
        <f>IF($B86="","",SUMIFS(Transaction!$E:$E,Transaction!$C:$C,"รายจ่าย",Transaction!$D:$D,$B86,Transaction!$B:$B,"&gt;="&amp;DATE($P$3,MATCH(M$80,Setup!$J$6:$J$17,0),1),Transaction!$B:$B,"&lt;"&amp;DATE($P$3,MATCH(M$80,Setup!$J$6:$J$17,0)+1,1)))</f>
        <v/>
      </c>
      <c r="N86" s="78">
        <f>IF($B86="","",SUMIFS(Transaction!$E:$E,Transaction!$C:$C,"รายจ่าย",Transaction!$D:$D,$B86,Transaction!$B:$B,"&gt;="&amp;DATE($P$3,MATCH(N$80,Setup!$J$6:$J$17,0),1),Transaction!$B:$B,"&lt;"&amp;DATE($P$3,MATCH(N$80,Setup!$J$6:$J$17,0)+1,1)))</f>
        <v/>
      </c>
      <c r="O86" s="55">
        <f>IF($B86="","",SUM(C86:N86))</f>
        <v/>
      </c>
      <c r="P86" s="79">
        <f>IF(OR($B86="",N($O$106)=0),"",O86/$O$106)</f>
        <v/>
      </c>
      <c r="Q86" s="83">
        <f>IF(OR($B86="",N(O86)&lt;=0),"",COUNTIF($O$81:$O$105,"&gt;"&amp;O86)+COUNTIF($O$81:O86,O86))</f>
        <v/>
      </c>
    </row>
    <row r="87">
      <c r="B87" s="60">
        <f>IF(Setup!$D$12="","",Setup!$D$12)</f>
        <v/>
      </c>
      <c r="C87" s="78">
        <f>IF($B87="","",SUMIFS(Transaction!$E:$E,Transaction!$C:$C,"รายจ่าย",Transaction!$D:$D,$B87,Transaction!$B:$B,"&gt;="&amp;DATE($P$3,MATCH(C$80,Setup!$J$6:$J$17,0),1),Transaction!$B:$B,"&lt;"&amp;DATE($P$3,MATCH(C$80,Setup!$J$6:$J$17,0)+1,1)))</f>
        <v/>
      </c>
      <c r="D87" s="78">
        <f>IF($B87="","",SUMIFS(Transaction!$E:$E,Transaction!$C:$C,"รายจ่าย",Transaction!$D:$D,$B87,Transaction!$B:$B,"&gt;="&amp;DATE($P$3,MATCH(D$80,Setup!$J$6:$J$17,0),1),Transaction!$B:$B,"&lt;"&amp;DATE($P$3,MATCH(D$80,Setup!$J$6:$J$17,0)+1,1)))</f>
        <v/>
      </c>
      <c r="E87" s="78">
        <f>IF($B87="","",SUMIFS(Transaction!$E:$E,Transaction!$C:$C,"รายจ่าย",Transaction!$D:$D,$B87,Transaction!$B:$B,"&gt;="&amp;DATE($P$3,MATCH(E$80,Setup!$J$6:$J$17,0),1),Transaction!$B:$B,"&lt;"&amp;DATE($P$3,MATCH(E$80,Setup!$J$6:$J$17,0)+1,1)))</f>
        <v/>
      </c>
      <c r="F87" s="78">
        <f>IF($B87="","",SUMIFS(Transaction!$E:$E,Transaction!$C:$C,"รายจ่าย",Transaction!$D:$D,$B87,Transaction!$B:$B,"&gt;="&amp;DATE($P$3,MATCH(F$80,Setup!$J$6:$J$17,0),1),Transaction!$B:$B,"&lt;"&amp;DATE($P$3,MATCH(F$80,Setup!$J$6:$J$17,0)+1,1)))</f>
        <v/>
      </c>
      <c r="G87" s="78">
        <f>IF($B87="","",SUMIFS(Transaction!$E:$E,Transaction!$C:$C,"รายจ่าย",Transaction!$D:$D,$B87,Transaction!$B:$B,"&gt;="&amp;DATE($P$3,MATCH(G$80,Setup!$J$6:$J$17,0),1),Transaction!$B:$B,"&lt;"&amp;DATE($P$3,MATCH(G$80,Setup!$J$6:$J$17,0)+1,1)))</f>
        <v/>
      </c>
      <c r="H87" s="78">
        <f>IF($B87="","",SUMIFS(Transaction!$E:$E,Transaction!$C:$C,"รายจ่าย",Transaction!$D:$D,$B87,Transaction!$B:$B,"&gt;="&amp;DATE($P$3,MATCH(H$80,Setup!$J$6:$J$17,0),1),Transaction!$B:$B,"&lt;"&amp;DATE($P$3,MATCH(H$80,Setup!$J$6:$J$17,0)+1,1)))</f>
        <v/>
      </c>
      <c r="I87" s="78">
        <f>IF($B87="","",SUMIFS(Transaction!$E:$E,Transaction!$C:$C,"รายจ่าย",Transaction!$D:$D,$B87,Transaction!$B:$B,"&gt;="&amp;DATE($P$3,MATCH(I$80,Setup!$J$6:$J$17,0),1),Transaction!$B:$B,"&lt;"&amp;DATE($P$3,MATCH(I$80,Setup!$J$6:$J$17,0)+1,1)))</f>
        <v/>
      </c>
      <c r="J87" s="78">
        <f>IF($B87="","",SUMIFS(Transaction!$E:$E,Transaction!$C:$C,"รายจ่าย",Transaction!$D:$D,$B87,Transaction!$B:$B,"&gt;="&amp;DATE($P$3,MATCH(J$80,Setup!$J$6:$J$17,0),1),Transaction!$B:$B,"&lt;"&amp;DATE($P$3,MATCH(J$80,Setup!$J$6:$J$17,0)+1,1)))</f>
        <v/>
      </c>
      <c r="K87" s="78">
        <f>IF($B87="","",SUMIFS(Transaction!$E:$E,Transaction!$C:$C,"รายจ่าย",Transaction!$D:$D,$B87,Transaction!$B:$B,"&gt;="&amp;DATE($P$3,MATCH(K$80,Setup!$J$6:$J$17,0),1),Transaction!$B:$B,"&lt;"&amp;DATE($P$3,MATCH(K$80,Setup!$J$6:$J$17,0)+1,1)))</f>
        <v/>
      </c>
      <c r="L87" s="78">
        <f>IF($B87="","",SUMIFS(Transaction!$E:$E,Transaction!$C:$C,"รายจ่าย",Transaction!$D:$D,$B87,Transaction!$B:$B,"&gt;="&amp;DATE($P$3,MATCH(L$80,Setup!$J$6:$J$17,0),1),Transaction!$B:$B,"&lt;"&amp;DATE($P$3,MATCH(L$80,Setup!$J$6:$J$17,0)+1,1)))</f>
        <v/>
      </c>
      <c r="M87" s="78">
        <f>IF($B87="","",SUMIFS(Transaction!$E:$E,Transaction!$C:$C,"รายจ่าย",Transaction!$D:$D,$B87,Transaction!$B:$B,"&gt;="&amp;DATE($P$3,MATCH(M$80,Setup!$J$6:$J$17,0),1),Transaction!$B:$B,"&lt;"&amp;DATE($P$3,MATCH(M$80,Setup!$J$6:$J$17,0)+1,1)))</f>
        <v/>
      </c>
      <c r="N87" s="78">
        <f>IF($B87="","",SUMIFS(Transaction!$E:$E,Transaction!$C:$C,"รายจ่าย",Transaction!$D:$D,$B87,Transaction!$B:$B,"&gt;="&amp;DATE($P$3,MATCH(N$80,Setup!$J$6:$J$17,0),1),Transaction!$B:$B,"&lt;"&amp;DATE($P$3,MATCH(N$80,Setup!$J$6:$J$17,0)+1,1)))</f>
        <v/>
      </c>
      <c r="O87" s="55">
        <f>IF($B87="","",SUM(C87:N87))</f>
        <v/>
      </c>
      <c r="P87" s="79">
        <f>IF(OR($B87="",N($O$106)=0),"",O87/$O$106)</f>
        <v/>
      </c>
      <c r="Q87" s="83">
        <f>IF(OR($B87="",N(O87)&lt;=0),"",COUNTIF($O$81:$O$105,"&gt;"&amp;O87)+COUNTIF($O$81:O87,O87))</f>
        <v/>
      </c>
    </row>
    <row r="88">
      <c r="B88" s="60">
        <f>IF(Setup!$D$13="","",Setup!$D$13)</f>
        <v/>
      </c>
      <c r="C88" s="78">
        <f>IF($B88="","",SUMIFS(Transaction!$E:$E,Transaction!$C:$C,"รายจ่าย",Transaction!$D:$D,$B88,Transaction!$B:$B,"&gt;="&amp;DATE($P$3,MATCH(C$80,Setup!$J$6:$J$17,0),1),Transaction!$B:$B,"&lt;"&amp;DATE($P$3,MATCH(C$80,Setup!$J$6:$J$17,0)+1,1)))</f>
        <v/>
      </c>
      <c r="D88" s="78">
        <f>IF($B88="","",SUMIFS(Transaction!$E:$E,Transaction!$C:$C,"รายจ่าย",Transaction!$D:$D,$B88,Transaction!$B:$B,"&gt;="&amp;DATE($P$3,MATCH(D$80,Setup!$J$6:$J$17,0),1),Transaction!$B:$B,"&lt;"&amp;DATE($P$3,MATCH(D$80,Setup!$J$6:$J$17,0)+1,1)))</f>
        <v/>
      </c>
      <c r="E88" s="78">
        <f>IF($B88="","",SUMIFS(Transaction!$E:$E,Transaction!$C:$C,"รายจ่าย",Transaction!$D:$D,$B88,Transaction!$B:$B,"&gt;="&amp;DATE($P$3,MATCH(E$80,Setup!$J$6:$J$17,0),1),Transaction!$B:$B,"&lt;"&amp;DATE($P$3,MATCH(E$80,Setup!$J$6:$J$17,0)+1,1)))</f>
        <v/>
      </c>
      <c r="F88" s="78">
        <f>IF($B88="","",SUMIFS(Transaction!$E:$E,Transaction!$C:$C,"รายจ่าย",Transaction!$D:$D,$B88,Transaction!$B:$B,"&gt;="&amp;DATE($P$3,MATCH(F$80,Setup!$J$6:$J$17,0),1),Transaction!$B:$B,"&lt;"&amp;DATE($P$3,MATCH(F$80,Setup!$J$6:$J$17,0)+1,1)))</f>
        <v/>
      </c>
      <c r="G88" s="78">
        <f>IF($B88="","",SUMIFS(Transaction!$E:$E,Transaction!$C:$C,"รายจ่าย",Transaction!$D:$D,$B88,Transaction!$B:$B,"&gt;="&amp;DATE($P$3,MATCH(G$80,Setup!$J$6:$J$17,0),1),Transaction!$B:$B,"&lt;"&amp;DATE($P$3,MATCH(G$80,Setup!$J$6:$J$17,0)+1,1)))</f>
        <v/>
      </c>
      <c r="H88" s="78">
        <f>IF($B88="","",SUMIFS(Transaction!$E:$E,Transaction!$C:$C,"รายจ่าย",Transaction!$D:$D,$B88,Transaction!$B:$B,"&gt;="&amp;DATE($P$3,MATCH(H$80,Setup!$J$6:$J$17,0),1),Transaction!$B:$B,"&lt;"&amp;DATE($P$3,MATCH(H$80,Setup!$J$6:$J$17,0)+1,1)))</f>
        <v/>
      </c>
      <c r="I88" s="78">
        <f>IF($B88="","",SUMIFS(Transaction!$E:$E,Transaction!$C:$C,"รายจ่าย",Transaction!$D:$D,$B88,Transaction!$B:$B,"&gt;="&amp;DATE($P$3,MATCH(I$80,Setup!$J$6:$J$17,0),1),Transaction!$B:$B,"&lt;"&amp;DATE($P$3,MATCH(I$80,Setup!$J$6:$J$17,0)+1,1)))</f>
        <v/>
      </c>
      <c r="J88" s="78">
        <f>IF($B88="","",SUMIFS(Transaction!$E:$E,Transaction!$C:$C,"รายจ่าย",Transaction!$D:$D,$B88,Transaction!$B:$B,"&gt;="&amp;DATE($P$3,MATCH(J$80,Setup!$J$6:$J$17,0),1),Transaction!$B:$B,"&lt;"&amp;DATE($P$3,MATCH(J$80,Setup!$J$6:$J$17,0)+1,1)))</f>
        <v/>
      </c>
      <c r="K88" s="78">
        <f>IF($B88="","",SUMIFS(Transaction!$E:$E,Transaction!$C:$C,"รายจ่าย",Transaction!$D:$D,$B88,Transaction!$B:$B,"&gt;="&amp;DATE($P$3,MATCH(K$80,Setup!$J$6:$J$17,0),1),Transaction!$B:$B,"&lt;"&amp;DATE($P$3,MATCH(K$80,Setup!$J$6:$J$17,0)+1,1)))</f>
        <v/>
      </c>
      <c r="L88" s="78">
        <f>IF($B88="","",SUMIFS(Transaction!$E:$E,Transaction!$C:$C,"รายจ่าย",Transaction!$D:$D,$B88,Transaction!$B:$B,"&gt;="&amp;DATE($P$3,MATCH(L$80,Setup!$J$6:$J$17,0),1),Transaction!$B:$B,"&lt;"&amp;DATE($P$3,MATCH(L$80,Setup!$J$6:$J$17,0)+1,1)))</f>
        <v/>
      </c>
      <c r="M88" s="78">
        <f>IF($B88="","",SUMIFS(Transaction!$E:$E,Transaction!$C:$C,"รายจ่าย",Transaction!$D:$D,$B88,Transaction!$B:$B,"&gt;="&amp;DATE($P$3,MATCH(M$80,Setup!$J$6:$J$17,0),1),Transaction!$B:$B,"&lt;"&amp;DATE($P$3,MATCH(M$80,Setup!$J$6:$J$17,0)+1,1)))</f>
        <v/>
      </c>
      <c r="N88" s="78">
        <f>IF($B88="","",SUMIFS(Transaction!$E:$E,Transaction!$C:$C,"รายจ่าย",Transaction!$D:$D,$B88,Transaction!$B:$B,"&gt;="&amp;DATE($P$3,MATCH(N$80,Setup!$J$6:$J$17,0),1),Transaction!$B:$B,"&lt;"&amp;DATE($P$3,MATCH(N$80,Setup!$J$6:$J$17,0)+1,1)))</f>
        <v/>
      </c>
      <c r="O88" s="55">
        <f>IF($B88="","",SUM(C88:N88))</f>
        <v/>
      </c>
      <c r="P88" s="79">
        <f>IF(OR($B88="",N($O$106)=0),"",O88/$O$106)</f>
        <v/>
      </c>
      <c r="Q88" s="83">
        <f>IF(OR($B88="",N(O88)&lt;=0),"",COUNTIF($O$81:$O$105,"&gt;"&amp;O88)+COUNTIF($O$81:O88,O88))</f>
        <v/>
      </c>
    </row>
    <row r="89">
      <c r="B89" s="60">
        <f>IF(Setup!$D$14="","",Setup!$D$14)</f>
        <v/>
      </c>
      <c r="C89" s="78">
        <f>IF($B89="","",SUMIFS(Transaction!$E:$E,Transaction!$C:$C,"รายจ่าย",Transaction!$D:$D,$B89,Transaction!$B:$B,"&gt;="&amp;DATE($P$3,MATCH(C$80,Setup!$J$6:$J$17,0),1),Transaction!$B:$B,"&lt;"&amp;DATE($P$3,MATCH(C$80,Setup!$J$6:$J$17,0)+1,1)))</f>
        <v/>
      </c>
      <c r="D89" s="78">
        <f>IF($B89="","",SUMIFS(Transaction!$E:$E,Transaction!$C:$C,"รายจ่าย",Transaction!$D:$D,$B89,Transaction!$B:$B,"&gt;="&amp;DATE($P$3,MATCH(D$80,Setup!$J$6:$J$17,0),1),Transaction!$B:$B,"&lt;"&amp;DATE($P$3,MATCH(D$80,Setup!$J$6:$J$17,0)+1,1)))</f>
        <v/>
      </c>
      <c r="E89" s="78">
        <f>IF($B89="","",SUMIFS(Transaction!$E:$E,Transaction!$C:$C,"รายจ่าย",Transaction!$D:$D,$B89,Transaction!$B:$B,"&gt;="&amp;DATE($P$3,MATCH(E$80,Setup!$J$6:$J$17,0),1),Transaction!$B:$B,"&lt;"&amp;DATE($P$3,MATCH(E$80,Setup!$J$6:$J$17,0)+1,1)))</f>
        <v/>
      </c>
      <c r="F89" s="78">
        <f>IF($B89="","",SUMIFS(Transaction!$E:$E,Transaction!$C:$C,"รายจ่าย",Transaction!$D:$D,$B89,Transaction!$B:$B,"&gt;="&amp;DATE($P$3,MATCH(F$80,Setup!$J$6:$J$17,0),1),Transaction!$B:$B,"&lt;"&amp;DATE($P$3,MATCH(F$80,Setup!$J$6:$J$17,0)+1,1)))</f>
        <v/>
      </c>
      <c r="G89" s="78">
        <f>IF($B89="","",SUMIFS(Transaction!$E:$E,Transaction!$C:$C,"รายจ่าย",Transaction!$D:$D,$B89,Transaction!$B:$B,"&gt;="&amp;DATE($P$3,MATCH(G$80,Setup!$J$6:$J$17,0),1),Transaction!$B:$B,"&lt;"&amp;DATE($P$3,MATCH(G$80,Setup!$J$6:$J$17,0)+1,1)))</f>
        <v/>
      </c>
      <c r="H89" s="78">
        <f>IF($B89="","",SUMIFS(Transaction!$E:$E,Transaction!$C:$C,"รายจ่าย",Transaction!$D:$D,$B89,Transaction!$B:$B,"&gt;="&amp;DATE($P$3,MATCH(H$80,Setup!$J$6:$J$17,0),1),Transaction!$B:$B,"&lt;"&amp;DATE($P$3,MATCH(H$80,Setup!$J$6:$J$17,0)+1,1)))</f>
        <v/>
      </c>
      <c r="I89" s="78">
        <f>IF($B89="","",SUMIFS(Transaction!$E:$E,Transaction!$C:$C,"รายจ่าย",Transaction!$D:$D,$B89,Transaction!$B:$B,"&gt;="&amp;DATE($P$3,MATCH(I$80,Setup!$J$6:$J$17,0),1),Transaction!$B:$B,"&lt;"&amp;DATE($P$3,MATCH(I$80,Setup!$J$6:$J$17,0)+1,1)))</f>
        <v/>
      </c>
      <c r="J89" s="78">
        <f>IF($B89="","",SUMIFS(Transaction!$E:$E,Transaction!$C:$C,"รายจ่าย",Transaction!$D:$D,$B89,Transaction!$B:$B,"&gt;="&amp;DATE($P$3,MATCH(J$80,Setup!$J$6:$J$17,0),1),Transaction!$B:$B,"&lt;"&amp;DATE($P$3,MATCH(J$80,Setup!$J$6:$J$17,0)+1,1)))</f>
        <v/>
      </c>
      <c r="K89" s="78">
        <f>IF($B89="","",SUMIFS(Transaction!$E:$E,Transaction!$C:$C,"รายจ่าย",Transaction!$D:$D,$B89,Transaction!$B:$B,"&gt;="&amp;DATE($P$3,MATCH(K$80,Setup!$J$6:$J$17,0),1),Transaction!$B:$B,"&lt;"&amp;DATE($P$3,MATCH(K$80,Setup!$J$6:$J$17,0)+1,1)))</f>
        <v/>
      </c>
      <c r="L89" s="78">
        <f>IF($B89="","",SUMIFS(Transaction!$E:$E,Transaction!$C:$C,"รายจ่าย",Transaction!$D:$D,$B89,Transaction!$B:$B,"&gt;="&amp;DATE($P$3,MATCH(L$80,Setup!$J$6:$J$17,0),1),Transaction!$B:$B,"&lt;"&amp;DATE($P$3,MATCH(L$80,Setup!$J$6:$J$17,0)+1,1)))</f>
        <v/>
      </c>
      <c r="M89" s="78">
        <f>IF($B89="","",SUMIFS(Transaction!$E:$E,Transaction!$C:$C,"รายจ่าย",Transaction!$D:$D,$B89,Transaction!$B:$B,"&gt;="&amp;DATE($P$3,MATCH(M$80,Setup!$J$6:$J$17,0),1),Transaction!$B:$B,"&lt;"&amp;DATE($P$3,MATCH(M$80,Setup!$J$6:$J$17,0)+1,1)))</f>
        <v/>
      </c>
      <c r="N89" s="78">
        <f>IF($B89="","",SUMIFS(Transaction!$E:$E,Transaction!$C:$C,"รายจ่าย",Transaction!$D:$D,$B89,Transaction!$B:$B,"&gt;="&amp;DATE($P$3,MATCH(N$80,Setup!$J$6:$J$17,0),1),Transaction!$B:$B,"&lt;"&amp;DATE($P$3,MATCH(N$80,Setup!$J$6:$J$17,0)+1,1)))</f>
        <v/>
      </c>
      <c r="O89" s="55">
        <f>IF($B89="","",SUM(C89:N89))</f>
        <v/>
      </c>
      <c r="P89" s="79">
        <f>IF(OR($B89="",N($O$106)=0),"",O89/$O$106)</f>
        <v/>
      </c>
      <c r="Q89" s="83">
        <f>IF(OR($B89="",N(O89)&lt;=0),"",COUNTIF($O$81:$O$105,"&gt;"&amp;O89)+COUNTIF($O$81:O89,O89))</f>
        <v/>
      </c>
    </row>
    <row r="90">
      <c r="B90" s="60">
        <f>IF(Setup!$D$15="","",Setup!$D$15)</f>
        <v/>
      </c>
      <c r="C90" s="78">
        <f>IF($B90="","",SUMIFS(Transaction!$E:$E,Transaction!$C:$C,"รายจ่าย",Transaction!$D:$D,$B90,Transaction!$B:$B,"&gt;="&amp;DATE($P$3,MATCH(C$80,Setup!$J$6:$J$17,0),1),Transaction!$B:$B,"&lt;"&amp;DATE($P$3,MATCH(C$80,Setup!$J$6:$J$17,0)+1,1)))</f>
        <v/>
      </c>
      <c r="D90" s="78">
        <f>IF($B90="","",SUMIFS(Transaction!$E:$E,Transaction!$C:$C,"รายจ่าย",Transaction!$D:$D,$B90,Transaction!$B:$B,"&gt;="&amp;DATE($P$3,MATCH(D$80,Setup!$J$6:$J$17,0),1),Transaction!$B:$B,"&lt;"&amp;DATE($P$3,MATCH(D$80,Setup!$J$6:$J$17,0)+1,1)))</f>
        <v/>
      </c>
      <c r="E90" s="78">
        <f>IF($B90="","",SUMIFS(Transaction!$E:$E,Transaction!$C:$C,"รายจ่าย",Transaction!$D:$D,$B90,Transaction!$B:$B,"&gt;="&amp;DATE($P$3,MATCH(E$80,Setup!$J$6:$J$17,0),1),Transaction!$B:$B,"&lt;"&amp;DATE($P$3,MATCH(E$80,Setup!$J$6:$J$17,0)+1,1)))</f>
        <v/>
      </c>
      <c r="F90" s="78">
        <f>IF($B90="","",SUMIFS(Transaction!$E:$E,Transaction!$C:$C,"รายจ่าย",Transaction!$D:$D,$B90,Transaction!$B:$B,"&gt;="&amp;DATE($P$3,MATCH(F$80,Setup!$J$6:$J$17,0),1),Transaction!$B:$B,"&lt;"&amp;DATE($P$3,MATCH(F$80,Setup!$J$6:$J$17,0)+1,1)))</f>
        <v/>
      </c>
      <c r="G90" s="78">
        <f>IF($B90="","",SUMIFS(Transaction!$E:$E,Transaction!$C:$C,"รายจ่าย",Transaction!$D:$D,$B90,Transaction!$B:$B,"&gt;="&amp;DATE($P$3,MATCH(G$80,Setup!$J$6:$J$17,0),1),Transaction!$B:$B,"&lt;"&amp;DATE($P$3,MATCH(G$80,Setup!$J$6:$J$17,0)+1,1)))</f>
        <v/>
      </c>
      <c r="H90" s="78">
        <f>IF($B90="","",SUMIFS(Transaction!$E:$E,Transaction!$C:$C,"รายจ่าย",Transaction!$D:$D,$B90,Transaction!$B:$B,"&gt;="&amp;DATE($P$3,MATCH(H$80,Setup!$J$6:$J$17,0),1),Transaction!$B:$B,"&lt;"&amp;DATE($P$3,MATCH(H$80,Setup!$J$6:$J$17,0)+1,1)))</f>
        <v/>
      </c>
      <c r="I90" s="78">
        <f>IF($B90="","",SUMIFS(Transaction!$E:$E,Transaction!$C:$C,"รายจ่าย",Transaction!$D:$D,$B90,Transaction!$B:$B,"&gt;="&amp;DATE($P$3,MATCH(I$80,Setup!$J$6:$J$17,0),1),Transaction!$B:$B,"&lt;"&amp;DATE($P$3,MATCH(I$80,Setup!$J$6:$J$17,0)+1,1)))</f>
        <v/>
      </c>
      <c r="J90" s="78">
        <f>IF($B90="","",SUMIFS(Transaction!$E:$E,Transaction!$C:$C,"รายจ่าย",Transaction!$D:$D,$B90,Transaction!$B:$B,"&gt;="&amp;DATE($P$3,MATCH(J$80,Setup!$J$6:$J$17,0),1),Transaction!$B:$B,"&lt;"&amp;DATE($P$3,MATCH(J$80,Setup!$J$6:$J$17,0)+1,1)))</f>
        <v/>
      </c>
      <c r="K90" s="78">
        <f>IF($B90="","",SUMIFS(Transaction!$E:$E,Transaction!$C:$C,"รายจ่าย",Transaction!$D:$D,$B90,Transaction!$B:$B,"&gt;="&amp;DATE($P$3,MATCH(K$80,Setup!$J$6:$J$17,0),1),Transaction!$B:$B,"&lt;"&amp;DATE($P$3,MATCH(K$80,Setup!$J$6:$J$17,0)+1,1)))</f>
        <v/>
      </c>
      <c r="L90" s="78">
        <f>IF($B90="","",SUMIFS(Transaction!$E:$E,Transaction!$C:$C,"รายจ่าย",Transaction!$D:$D,$B90,Transaction!$B:$B,"&gt;="&amp;DATE($P$3,MATCH(L$80,Setup!$J$6:$J$17,0),1),Transaction!$B:$B,"&lt;"&amp;DATE($P$3,MATCH(L$80,Setup!$J$6:$J$17,0)+1,1)))</f>
        <v/>
      </c>
      <c r="M90" s="78">
        <f>IF($B90="","",SUMIFS(Transaction!$E:$E,Transaction!$C:$C,"รายจ่าย",Transaction!$D:$D,$B90,Transaction!$B:$B,"&gt;="&amp;DATE($P$3,MATCH(M$80,Setup!$J$6:$J$17,0),1),Transaction!$B:$B,"&lt;"&amp;DATE($P$3,MATCH(M$80,Setup!$J$6:$J$17,0)+1,1)))</f>
        <v/>
      </c>
      <c r="N90" s="78">
        <f>IF($B90="","",SUMIFS(Transaction!$E:$E,Transaction!$C:$C,"รายจ่าย",Transaction!$D:$D,$B90,Transaction!$B:$B,"&gt;="&amp;DATE($P$3,MATCH(N$80,Setup!$J$6:$J$17,0),1),Transaction!$B:$B,"&lt;"&amp;DATE($P$3,MATCH(N$80,Setup!$J$6:$J$17,0)+1,1)))</f>
        <v/>
      </c>
      <c r="O90" s="55">
        <f>IF($B90="","",SUM(C90:N90))</f>
        <v/>
      </c>
      <c r="P90" s="79">
        <f>IF(OR($B90="",N($O$106)=0),"",O90/$O$106)</f>
        <v/>
      </c>
      <c r="Q90" s="83">
        <f>IF(OR($B90="",N(O90)&lt;=0),"",COUNTIF($O$81:$O$105,"&gt;"&amp;O90)+COUNTIF($O$81:O90,O90))</f>
        <v/>
      </c>
    </row>
    <row r="91">
      <c r="B91" s="60">
        <f>IF(Setup!$D$16="","",Setup!$D$16)</f>
        <v/>
      </c>
      <c r="C91" s="78">
        <f>IF($B91="","",SUMIFS(Transaction!$E:$E,Transaction!$C:$C,"รายจ่าย",Transaction!$D:$D,$B91,Transaction!$B:$B,"&gt;="&amp;DATE($P$3,MATCH(C$80,Setup!$J$6:$J$17,0),1),Transaction!$B:$B,"&lt;"&amp;DATE($P$3,MATCH(C$80,Setup!$J$6:$J$17,0)+1,1)))</f>
        <v/>
      </c>
      <c r="D91" s="78">
        <f>IF($B91="","",SUMIFS(Transaction!$E:$E,Transaction!$C:$C,"รายจ่าย",Transaction!$D:$D,$B91,Transaction!$B:$B,"&gt;="&amp;DATE($P$3,MATCH(D$80,Setup!$J$6:$J$17,0),1),Transaction!$B:$B,"&lt;"&amp;DATE($P$3,MATCH(D$80,Setup!$J$6:$J$17,0)+1,1)))</f>
        <v/>
      </c>
      <c r="E91" s="78">
        <f>IF($B91="","",SUMIFS(Transaction!$E:$E,Transaction!$C:$C,"รายจ่าย",Transaction!$D:$D,$B91,Transaction!$B:$B,"&gt;="&amp;DATE($P$3,MATCH(E$80,Setup!$J$6:$J$17,0),1),Transaction!$B:$B,"&lt;"&amp;DATE($P$3,MATCH(E$80,Setup!$J$6:$J$17,0)+1,1)))</f>
        <v/>
      </c>
      <c r="F91" s="78">
        <f>IF($B91="","",SUMIFS(Transaction!$E:$E,Transaction!$C:$C,"รายจ่าย",Transaction!$D:$D,$B91,Transaction!$B:$B,"&gt;="&amp;DATE($P$3,MATCH(F$80,Setup!$J$6:$J$17,0),1),Transaction!$B:$B,"&lt;"&amp;DATE($P$3,MATCH(F$80,Setup!$J$6:$J$17,0)+1,1)))</f>
        <v/>
      </c>
      <c r="G91" s="78">
        <f>IF($B91="","",SUMIFS(Transaction!$E:$E,Transaction!$C:$C,"รายจ่าย",Transaction!$D:$D,$B91,Transaction!$B:$B,"&gt;="&amp;DATE($P$3,MATCH(G$80,Setup!$J$6:$J$17,0),1),Transaction!$B:$B,"&lt;"&amp;DATE($P$3,MATCH(G$80,Setup!$J$6:$J$17,0)+1,1)))</f>
        <v/>
      </c>
      <c r="H91" s="78">
        <f>IF($B91="","",SUMIFS(Transaction!$E:$E,Transaction!$C:$C,"รายจ่าย",Transaction!$D:$D,$B91,Transaction!$B:$B,"&gt;="&amp;DATE($P$3,MATCH(H$80,Setup!$J$6:$J$17,0),1),Transaction!$B:$B,"&lt;"&amp;DATE($P$3,MATCH(H$80,Setup!$J$6:$J$17,0)+1,1)))</f>
        <v/>
      </c>
      <c r="I91" s="78">
        <f>IF($B91="","",SUMIFS(Transaction!$E:$E,Transaction!$C:$C,"รายจ่าย",Transaction!$D:$D,$B91,Transaction!$B:$B,"&gt;="&amp;DATE($P$3,MATCH(I$80,Setup!$J$6:$J$17,0),1),Transaction!$B:$B,"&lt;"&amp;DATE($P$3,MATCH(I$80,Setup!$J$6:$J$17,0)+1,1)))</f>
        <v/>
      </c>
      <c r="J91" s="78">
        <f>IF($B91="","",SUMIFS(Transaction!$E:$E,Transaction!$C:$C,"รายจ่าย",Transaction!$D:$D,$B91,Transaction!$B:$B,"&gt;="&amp;DATE($P$3,MATCH(J$80,Setup!$J$6:$J$17,0),1),Transaction!$B:$B,"&lt;"&amp;DATE($P$3,MATCH(J$80,Setup!$J$6:$J$17,0)+1,1)))</f>
        <v/>
      </c>
      <c r="K91" s="78">
        <f>IF($B91="","",SUMIFS(Transaction!$E:$E,Transaction!$C:$C,"รายจ่าย",Transaction!$D:$D,$B91,Transaction!$B:$B,"&gt;="&amp;DATE($P$3,MATCH(K$80,Setup!$J$6:$J$17,0),1),Transaction!$B:$B,"&lt;"&amp;DATE($P$3,MATCH(K$80,Setup!$J$6:$J$17,0)+1,1)))</f>
        <v/>
      </c>
      <c r="L91" s="78">
        <f>IF($B91="","",SUMIFS(Transaction!$E:$E,Transaction!$C:$C,"รายจ่าย",Transaction!$D:$D,$B91,Transaction!$B:$B,"&gt;="&amp;DATE($P$3,MATCH(L$80,Setup!$J$6:$J$17,0),1),Transaction!$B:$B,"&lt;"&amp;DATE($P$3,MATCH(L$80,Setup!$J$6:$J$17,0)+1,1)))</f>
        <v/>
      </c>
      <c r="M91" s="78">
        <f>IF($B91="","",SUMIFS(Transaction!$E:$E,Transaction!$C:$C,"รายจ่าย",Transaction!$D:$D,$B91,Transaction!$B:$B,"&gt;="&amp;DATE($P$3,MATCH(M$80,Setup!$J$6:$J$17,0),1),Transaction!$B:$B,"&lt;"&amp;DATE($P$3,MATCH(M$80,Setup!$J$6:$J$17,0)+1,1)))</f>
        <v/>
      </c>
      <c r="N91" s="78">
        <f>IF($B91="","",SUMIFS(Transaction!$E:$E,Transaction!$C:$C,"รายจ่าย",Transaction!$D:$D,$B91,Transaction!$B:$B,"&gt;="&amp;DATE($P$3,MATCH(N$80,Setup!$J$6:$J$17,0),1),Transaction!$B:$B,"&lt;"&amp;DATE($P$3,MATCH(N$80,Setup!$J$6:$J$17,0)+1,1)))</f>
        <v/>
      </c>
      <c r="O91" s="55">
        <f>IF($B91="","",SUM(C91:N91))</f>
        <v/>
      </c>
      <c r="P91" s="79">
        <f>IF(OR($B91="",N($O$106)=0),"",O91/$O$106)</f>
        <v/>
      </c>
      <c r="Q91" s="83">
        <f>IF(OR($B91="",N(O91)&lt;=0),"",COUNTIF($O$81:$O$105,"&gt;"&amp;O91)+COUNTIF($O$81:O91,O91))</f>
        <v/>
      </c>
    </row>
    <row r="92">
      <c r="B92" s="60">
        <f>IF(Setup!$D$17="","",Setup!$D$17)</f>
        <v/>
      </c>
      <c r="C92" s="78">
        <f>IF($B92="","",SUMIFS(Transaction!$E:$E,Transaction!$C:$C,"รายจ่าย",Transaction!$D:$D,$B92,Transaction!$B:$B,"&gt;="&amp;DATE($P$3,MATCH(C$80,Setup!$J$6:$J$17,0),1),Transaction!$B:$B,"&lt;"&amp;DATE($P$3,MATCH(C$80,Setup!$J$6:$J$17,0)+1,1)))</f>
        <v/>
      </c>
      <c r="D92" s="78">
        <f>IF($B92="","",SUMIFS(Transaction!$E:$E,Transaction!$C:$C,"รายจ่าย",Transaction!$D:$D,$B92,Transaction!$B:$B,"&gt;="&amp;DATE($P$3,MATCH(D$80,Setup!$J$6:$J$17,0),1),Transaction!$B:$B,"&lt;"&amp;DATE($P$3,MATCH(D$80,Setup!$J$6:$J$17,0)+1,1)))</f>
        <v/>
      </c>
      <c r="E92" s="78">
        <f>IF($B92="","",SUMIFS(Transaction!$E:$E,Transaction!$C:$C,"รายจ่าย",Transaction!$D:$D,$B92,Transaction!$B:$B,"&gt;="&amp;DATE($P$3,MATCH(E$80,Setup!$J$6:$J$17,0),1),Transaction!$B:$B,"&lt;"&amp;DATE($P$3,MATCH(E$80,Setup!$J$6:$J$17,0)+1,1)))</f>
        <v/>
      </c>
      <c r="F92" s="78">
        <f>IF($B92="","",SUMIFS(Transaction!$E:$E,Transaction!$C:$C,"รายจ่าย",Transaction!$D:$D,$B92,Transaction!$B:$B,"&gt;="&amp;DATE($P$3,MATCH(F$80,Setup!$J$6:$J$17,0),1),Transaction!$B:$B,"&lt;"&amp;DATE($P$3,MATCH(F$80,Setup!$J$6:$J$17,0)+1,1)))</f>
        <v/>
      </c>
      <c r="G92" s="78">
        <f>IF($B92="","",SUMIFS(Transaction!$E:$E,Transaction!$C:$C,"รายจ่าย",Transaction!$D:$D,$B92,Transaction!$B:$B,"&gt;="&amp;DATE($P$3,MATCH(G$80,Setup!$J$6:$J$17,0),1),Transaction!$B:$B,"&lt;"&amp;DATE($P$3,MATCH(G$80,Setup!$J$6:$J$17,0)+1,1)))</f>
        <v/>
      </c>
      <c r="H92" s="78">
        <f>IF($B92="","",SUMIFS(Transaction!$E:$E,Transaction!$C:$C,"รายจ่าย",Transaction!$D:$D,$B92,Transaction!$B:$B,"&gt;="&amp;DATE($P$3,MATCH(H$80,Setup!$J$6:$J$17,0),1),Transaction!$B:$B,"&lt;"&amp;DATE($P$3,MATCH(H$80,Setup!$J$6:$J$17,0)+1,1)))</f>
        <v/>
      </c>
      <c r="I92" s="78">
        <f>IF($B92="","",SUMIFS(Transaction!$E:$E,Transaction!$C:$C,"รายจ่าย",Transaction!$D:$D,$B92,Transaction!$B:$B,"&gt;="&amp;DATE($P$3,MATCH(I$80,Setup!$J$6:$J$17,0),1),Transaction!$B:$B,"&lt;"&amp;DATE($P$3,MATCH(I$80,Setup!$J$6:$J$17,0)+1,1)))</f>
        <v/>
      </c>
      <c r="J92" s="78">
        <f>IF($B92="","",SUMIFS(Transaction!$E:$E,Transaction!$C:$C,"รายจ่าย",Transaction!$D:$D,$B92,Transaction!$B:$B,"&gt;="&amp;DATE($P$3,MATCH(J$80,Setup!$J$6:$J$17,0),1),Transaction!$B:$B,"&lt;"&amp;DATE($P$3,MATCH(J$80,Setup!$J$6:$J$17,0)+1,1)))</f>
        <v/>
      </c>
      <c r="K92" s="78">
        <f>IF($B92="","",SUMIFS(Transaction!$E:$E,Transaction!$C:$C,"รายจ่าย",Transaction!$D:$D,$B92,Transaction!$B:$B,"&gt;="&amp;DATE($P$3,MATCH(K$80,Setup!$J$6:$J$17,0),1),Transaction!$B:$B,"&lt;"&amp;DATE($P$3,MATCH(K$80,Setup!$J$6:$J$17,0)+1,1)))</f>
        <v/>
      </c>
      <c r="L92" s="78">
        <f>IF($B92="","",SUMIFS(Transaction!$E:$E,Transaction!$C:$C,"รายจ่าย",Transaction!$D:$D,$B92,Transaction!$B:$B,"&gt;="&amp;DATE($P$3,MATCH(L$80,Setup!$J$6:$J$17,0),1),Transaction!$B:$B,"&lt;"&amp;DATE($P$3,MATCH(L$80,Setup!$J$6:$J$17,0)+1,1)))</f>
        <v/>
      </c>
      <c r="M92" s="78">
        <f>IF($B92="","",SUMIFS(Transaction!$E:$E,Transaction!$C:$C,"รายจ่าย",Transaction!$D:$D,$B92,Transaction!$B:$B,"&gt;="&amp;DATE($P$3,MATCH(M$80,Setup!$J$6:$J$17,0),1),Transaction!$B:$B,"&lt;"&amp;DATE($P$3,MATCH(M$80,Setup!$J$6:$J$17,0)+1,1)))</f>
        <v/>
      </c>
      <c r="N92" s="78">
        <f>IF($B92="","",SUMIFS(Transaction!$E:$E,Transaction!$C:$C,"รายจ่าย",Transaction!$D:$D,$B92,Transaction!$B:$B,"&gt;="&amp;DATE($P$3,MATCH(N$80,Setup!$J$6:$J$17,0),1),Transaction!$B:$B,"&lt;"&amp;DATE($P$3,MATCH(N$80,Setup!$J$6:$J$17,0)+1,1)))</f>
        <v/>
      </c>
      <c r="O92" s="55">
        <f>IF($B92="","",SUM(C92:N92))</f>
        <v/>
      </c>
      <c r="P92" s="79">
        <f>IF(OR($B92="",N($O$106)=0),"",O92/$O$106)</f>
        <v/>
      </c>
      <c r="Q92" s="83">
        <f>IF(OR($B92="",N(O92)&lt;=0),"",COUNTIF($O$81:$O$105,"&gt;"&amp;O92)+COUNTIF($O$81:O92,O92))</f>
        <v/>
      </c>
    </row>
    <row r="93">
      <c r="B93" s="60">
        <f>IF(Setup!$D$18="","",Setup!$D$18)</f>
        <v/>
      </c>
      <c r="C93" s="78">
        <f>IF($B93="","",SUMIFS(Transaction!$E:$E,Transaction!$C:$C,"รายจ่าย",Transaction!$D:$D,$B93,Transaction!$B:$B,"&gt;="&amp;DATE($P$3,MATCH(C$80,Setup!$J$6:$J$17,0),1),Transaction!$B:$B,"&lt;"&amp;DATE($P$3,MATCH(C$80,Setup!$J$6:$J$17,0)+1,1)))</f>
        <v/>
      </c>
      <c r="D93" s="78">
        <f>IF($B93="","",SUMIFS(Transaction!$E:$E,Transaction!$C:$C,"รายจ่าย",Transaction!$D:$D,$B93,Transaction!$B:$B,"&gt;="&amp;DATE($P$3,MATCH(D$80,Setup!$J$6:$J$17,0),1),Transaction!$B:$B,"&lt;"&amp;DATE($P$3,MATCH(D$80,Setup!$J$6:$J$17,0)+1,1)))</f>
        <v/>
      </c>
      <c r="E93" s="78">
        <f>IF($B93="","",SUMIFS(Transaction!$E:$E,Transaction!$C:$C,"รายจ่าย",Transaction!$D:$D,$B93,Transaction!$B:$B,"&gt;="&amp;DATE($P$3,MATCH(E$80,Setup!$J$6:$J$17,0),1),Transaction!$B:$B,"&lt;"&amp;DATE($P$3,MATCH(E$80,Setup!$J$6:$J$17,0)+1,1)))</f>
        <v/>
      </c>
      <c r="F93" s="78">
        <f>IF($B93="","",SUMIFS(Transaction!$E:$E,Transaction!$C:$C,"รายจ่าย",Transaction!$D:$D,$B93,Transaction!$B:$B,"&gt;="&amp;DATE($P$3,MATCH(F$80,Setup!$J$6:$J$17,0),1),Transaction!$B:$B,"&lt;"&amp;DATE($P$3,MATCH(F$80,Setup!$J$6:$J$17,0)+1,1)))</f>
        <v/>
      </c>
      <c r="G93" s="78">
        <f>IF($B93="","",SUMIFS(Transaction!$E:$E,Transaction!$C:$C,"รายจ่าย",Transaction!$D:$D,$B93,Transaction!$B:$B,"&gt;="&amp;DATE($P$3,MATCH(G$80,Setup!$J$6:$J$17,0),1),Transaction!$B:$B,"&lt;"&amp;DATE($P$3,MATCH(G$80,Setup!$J$6:$J$17,0)+1,1)))</f>
        <v/>
      </c>
      <c r="H93" s="78">
        <f>IF($B93="","",SUMIFS(Transaction!$E:$E,Transaction!$C:$C,"รายจ่าย",Transaction!$D:$D,$B93,Transaction!$B:$B,"&gt;="&amp;DATE($P$3,MATCH(H$80,Setup!$J$6:$J$17,0),1),Transaction!$B:$B,"&lt;"&amp;DATE($P$3,MATCH(H$80,Setup!$J$6:$J$17,0)+1,1)))</f>
        <v/>
      </c>
      <c r="I93" s="78">
        <f>IF($B93="","",SUMIFS(Transaction!$E:$E,Transaction!$C:$C,"รายจ่าย",Transaction!$D:$D,$B93,Transaction!$B:$B,"&gt;="&amp;DATE($P$3,MATCH(I$80,Setup!$J$6:$J$17,0),1),Transaction!$B:$B,"&lt;"&amp;DATE($P$3,MATCH(I$80,Setup!$J$6:$J$17,0)+1,1)))</f>
        <v/>
      </c>
      <c r="J93" s="78">
        <f>IF($B93="","",SUMIFS(Transaction!$E:$E,Transaction!$C:$C,"รายจ่าย",Transaction!$D:$D,$B93,Transaction!$B:$B,"&gt;="&amp;DATE($P$3,MATCH(J$80,Setup!$J$6:$J$17,0),1),Transaction!$B:$B,"&lt;"&amp;DATE($P$3,MATCH(J$80,Setup!$J$6:$J$17,0)+1,1)))</f>
        <v/>
      </c>
      <c r="K93" s="78">
        <f>IF($B93="","",SUMIFS(Transaction!$E:$E,Transaction!$C:$C,"รายจ่าย",Transaction!$D:$D,$B93,Transaction!$B:$B,"&gt;="&amp;DATE($P$3,MATCH(K$80,Setup!$J$6:$J$17,0),1),Transaction!$B:$B,"&lt;"&amp;DATE($P$3,MATCH(K$80,Setup!$J$6:$J$17,0)+1,1)))</f>
        <v/>
      </c>
      <c r="L93" s="78">
        <f>IF($B93="","",SUMIFS(Transaction!$E:$E,Transaction!$C:$C,"รายจ่าย",Transaction!$D:$D,$B93,Transaction!$B:$B,"&gt;="&amp;DATE($P$3,MATCH(L$80,Setup!$J$6:$J$17,0),1),Transaction!$B:$B,"&lt;"&amp;DATE($P$3,MATCH(L$80,Setup!$J$6:$J$17,0)+1,1)))</f>
        <v/>
      </c>
      <c r="M93" s="78">
        <f>IF($B93="","",SUMIFS(Transaction!$E:$E,Transaction!$C:$C,"รายจ่าย",Transaction!$D:$D,$B93,Transaction!$B:$B,"&gt;="&amp;DATE($P$3,MATCH(M$80,Setup!$J$6:$J$17,0),1),Transaction!$B:$B,"&lt;"&amp;DATE($P$3,MATCH(M$80,Setup!$J$6:$J$17,0)+1,1)))</f>
        <v/>
      </c>
      <c r="N93" s="78">
        <f>IF($B93="","",SUMIFS(Transaction!$E:$E,Transaction!$C:$C,"รายจ่าย",Transaction!$D:$D,$B93,Transaction!$B:$B,"&gt;="&amp;DATE($P$3,MATCH(N$80,Setup!$J$6:$J$17,0),1),Transaction!$B:$B,"&lt;"&amp;DATE($P$3,MATCH(N$80,Setup!$J$6:$J$17,0)+1,1)))</f>
        <v/>
      </c>
      <c r="O93" s="55">
        <f>IF($B93="","",SUM(C93:N93))</f>
        <v/>
      </c>
      <c r="P93" s="79">
        <f>IF(OR($B93="",N($O$106)=0),"",O93/$O$106)</f>
        <v/>
      </c>
      <c r="Q93" s="83">
        <f>IF(OR($B93="",N(O93)&lt;=0),"",COUNTIF($O$81:$O$105,"&gt;"&amp;O93)+COUNTIF($O$81:O93,O93))</f>
        <v/>
      </c>
    </row>
    <row r="94">
      <c r="B94" s="60">
        <f>IF(Setup!$D$19="","",Setup!$D$19)</f>
        <v/>
      </c>
      <c r="C94" s="78">
        <f>IF($B94="","",SUMIFS(Transaction!$E:$E,Transaction!$C:$C,"รายจ่าย",Transaction!$D:$D,$B94,Transaction!$B:$B,"&gt;="&amp;DATE($P$3,MATCH(C$80,Setup!$J$6:$J$17,0),1),Transaction!$B:$B,"&lt;"&amp;DATE($P$3,MATCH(C$80,Setup!$J$6:$J$17,0)+1,1)))</f>
        <v/>
      </c>
      <c r="D94" s="78">
        <f>IF($B94="","",SUMIFS(Transaction!$E:$E,Transaction!$C:$C,"รายจ่าย",Transaction!$D:$D,$B94,Transaction!$B:$B,"&gt;="&amp;DATE($P$3,MATCH(D$80,Setup!$J$6:$J$17,0),1),Transaction!$B:$B,"&lt;"&amp;DATE($P$3,MATCH(D$80,Setup!$J$6:$J$17,0)+1,1)))</f>
        <v/>
      </c>
      <c r="E94" s="78">
        <f>IF($B94="","",SUMIFS(Transaction!$E:$E,Transaction!$C:$C,"รายจ่าย",Transaction!$D:$D,$B94,Transaction!$B:$B,"&gt;="&amp;DATE($P$3,MATCH(E$80,Setup!$J$6:$J$17,0),1),Transaction!$B:$B,"&lt;"&amp;DATE($P$3,MATCH(E$80,Setup!$J$6:$J$17,0)+1,1)))</f>
        <v/>
      </c>
      <c r="F94" s="78">
        <f>IF($B94="","",SUMIFS(Transaction!$E:$E,Transaction!$C:$C,"รายจ่าย",Transaction!$D:$D,$B94,Transaction!$B:$B,"&gt;="&amp;DATE($P$3,MATCH(F$80,Setup!$J$6:$J$17,0),1),Transaction!$B:$B,"&lt;"&amp;DATE($P$3,MATCH(F$80,Setup!$J$6:$J$17,0)+1,1)))</f>
        <v/>
      </c>
      <c r="G94" s="78">
        <f>IF($B94="","",SUMIFS(Transaction!$E:$E,Transaction!$C:$C,"รายจ่าย",Transaction!$D:$D,$B94,Transaction!$B:$B,"&gt;="&amp;DATE($P$3,MATCH(G$80,Setup!$J$6:$J$17,0),1),Transaction!$B:$B,"&lt;"&amp;DATE($P$3,MATCH(G$80,Setup!$J$6:$J$17,0)+1,1)))</f>
        <v/>
      </c>
      <c r="H94" s="78">
        <f>IF($B94="","",SUMIFS(Transaction!$E:$E,Transaction!$C:$C,"รายจ่าย",Transaction!$D:$D,$B94,Transaction!$B:$B,"&gt;="&amp;DATE($P$3,MATCH(H$80,Setup!$J$6:$J$17,0),1),Transaction!$B:$B,"&lt;"&amp;DATE($P$3,MATCH(H$80,Setup!$J$6:$J$17,0)+1,1)))</f>
        <v/>
      </c>
      <c r="I94" s="78">
        <f>IF($B94="","",SUMIFS(Transaction!$E:$E,Transaction!$C:$C,"รายจ่าย",Transaction!$D:$D,$B94,Transaction!$B:$B,"&gt;="&amp;DATE($P$3,MATCH(I$80,Setup!$J$6:$J$17,0),1),Transaction!$B:$B,"&lt;"&amp;DATE($P$3,MATCH(I$80,Setup!$J$6:$J$17,0)+1,1)))</f>
        <v/>
      </c>
      <c r="J94" s="78">
        <f>IF($B94="","",SUMIFS(Transaction!$E:$E,Transaction!$C:$C,"รายจ่าย",Transaction!$D:$D,$B94,Transaction!$B:$B,"&gt;="&amp;DATE($P$3,MATCH(J$80,Setup!$J$6:$J$17,0),1),Transaction!$B:$B,"&lt;"&amp;DATE($P$3,MATCH(J$80,Setup!$J$6:$J$17,0)+1,1)))</f>
        <v/>
      </c>
      <c r="K94" s="78">
        <f>IF($B94="","",SUMIFS(Transaction!$E:$E,Transaction!$C:$C,"รายจ่าย",Transaction!$D:$D,$B94,Transaction!$B:$B,"&gt;="&amp;DATE($P$3,MATCH(K$80,Setup!$J$6:$J$17,0),1),Transaction!$B:$B,"&lt;"&amp;DATE($P$3,MATCH(K$80,Setup!$J$6:$J$17,0)+1,1)))</f>
        <v/>
      </c>
      <c r="L94" s="78">
        <f>IF($B94="","",SUMIFS(Transaction!$E:$E,Transaction!$C:$C,"รายจ่าย",Transaction!$D:$D,$B94,Transaction!$B:$B,"&gt;="&amp;DATE($P$3,MATCH(L$80,Setup!$J$6:$J$17,0),1),Transaction!$B:$B,"&lt;"&amp;DATE($P$3,MATCH(L$80,Setup!$J$6:$J$17,0)+1,1)))</f>
        <v/>
      </c>
      <c r="M94" s="78">
        <f>IF($B94="","",SUMIFS(Transaction!$E:$E,Transaction!$C:$C,"รายจ่าย",Transaction!$D:$D,$B94,Transaction!$B:$B,"&gt;="&amp;DATE($P$3,MATCH(M$80,Setup!$J$6:$J$17,0),1),Transaction!$B:$B,"&lt;"&amp;DATE($P$3,MATCH(M$80,Setup!$J$6:$J$17,0)+1,1)))</f>
        <v/>
      </c>
      <c r="N94" s="78">
        <f>IF($B94="","",SUMIFS(Transaction!$E:$E,Transaction!$C:$C,"รายจ่าย",Transaction!$D:$D,$B94,Transaction!$B:$B,"&gt;="&amp;DATE($P$3,MATCH(N$80,Setup!$J$6:$J$17,0),1),Transaction!$B:$B,"&lt;"&amp;DATE($P$3,MATCH(N$80,Setup!$J$6:$J$17,0)+1,1)))</f>
        <v/>
      </c>
      <c r="O94" s="55">
        <f>IF($B94="","",SUM(C94:N94))</f>
        <v/>
      </c>
      <c r="P94" s="79">
        <f>IF(OR($B94="",N($O$106)=0),"",O94/$O$106)</f>
        <v/>
      </c>
      <c r="Q94" s="83">
        <f>IF(OR($B94="",N(O94)&lt;=0),"",COUNTIF($O$81:$O$105,"&gt;"&amp;O94)+COUNTIF($O$81:O94,O94))</f>
        <v/>
      </c>
    </row>
    <row r="95">
      <c r="B95" s="60">
        <f>IF(Setup!$D$20="","",Setup!$D$20)</f>
        <v/>
      </c>
      <c r="C95" s="78">
        <f>IF($B95="","",SUMIFS(Transaction!$E:$E,Transaction!$C:$C,"รายจ่าย",Transaction!$D:$D,$B95,Transaction!$B:$B,"&gt;="&amp;DATE($P$3,MATCH(C$80,Setup!$J$6:$J$17,0),1),Transaction!$B:$B,"&lt;"&amp;DATE($P$3,MATCH(C$80,Setup!$J$6:$J$17,0)+1,1)))</f>
        <v/>
      </c>
      <c r="D95" s="78">
        <f>IF($B95="","",SUMIFS(Transaction!$E:$E,Transaction!$C:$C,"รายจ่าย",Transaction!$D:$D,$B95,Transaction!$B:$B,"&gt;="&amp;DATE($P$3,MATCH(D$80,Setup!$J$6:$J$17,0),1),Transaction!$B:$B,"&lt;"&amp;DATE($P$3,MATCH(D$80,Setup!$J$6:$J$17,0)+1,1)))</f>
        <v/>
      </c>
      <c r="E95" s="78">
        <f>IF($B95="","",SUMIFS(Transaction!$E:$E,Transaction!$C:$C,"รายจ่าย",Transaction!$D:$D,$B95,Transaction!$B:$B,"&gt;="&amp;DATE($P$3,MATCH(E$80,Setup!$J$6:$J$17,0),1),Transaction!$B:$B,"&lt;"&amp;DATE($P$3,MATCH(E$80,Setup!$J$6:$J$17,0)+1,1)))</f>
        <v/>
      </c>
      <c r="F95" s="78">
        <f>IF($B95="","",SUMIFS(Transaction!$E:$E,Transaction!$C:$C,"รายจ่าย",Transaction!$D:$D,$B95,Transaction!$B:$B,"&gt;="&amp;DATE($P$3,MATCH(F$80,Setup!$J$6:$J$17,0),1),Transaction!$B:$B,"&lt;"&amp;DATE($P$3,MATCH(F$80,Setup!$J$6:$J$17,0)+1,1)))</f>
        <v/>
      </c>
      <c r="G95" s="78">
        <f>IF($B95="","",SUMIFS(Transaction!$E:$E,Transaction!$C:$C,"รายจ่าย",Transaction!$D:$D,$B95,Transaction!$B:$B,"&gt;="&amp;DATE($P$3,MATCH(G$80,Setup!$J$6:$J$17,0),1),Transaction!$B:$B,"&lt;"&amp;DATE($P$3,MATCH(G$80,Setup!$J$6:$J$17,0)+1,1)))</f>
        <v/>
      </c>
      <c r="H95" s="78">
        <f>IF($B95="","",SUMIFS(Transaction!$E:$E,Transaction!$C:$C,"รายจ่าย",Transaction!$D:$D,$B95,Transaction!$B:$B,"&gt;="&amp;DATE($P$3,MATCH(H$80,Setup!$J$6:$J$17,0),1),Transaction!$B:$B,"&lt;"&amp;DATE($P$3,MATCH(H$80,Setup!$J$6:$J$17,0)+1,1)))</f>
        <v/>
      </c>
      <c r="I95" s="78">
        <f>IF($B95="","",SUMIFS(Transaction!$E:$E,Transaction!$C:$C,"รายจ่าย",Transaction!$D:$D,$B95,Transaction!$B:$B,"&gt;="&amp;DATE($P$3,MATCH(I$80,Setup!$J$6:$J$17,0),1),Transaction!$B:$B,"&lt;"&amp;DATE($P$3,MATCH(I$80,Setup!$J$6:$J$17,0)+1,1)))</f>
        <v/>
      </c>
      <c r="J95" s="78">
        <f>IF($B95="","",SUMIFS(Transaction!$E:$E,Transaction!$C:$C,"รายจ่าย",Transaction!$D:$D,$B95,Transaction!$B:$B,"&gt;="&amp;DATE($P$3,MATCH(J$80,Setup!$J$6:$J$17,0),1),Transaction!$B:$B,"&lt;"&amp;DATE($P$3,MATCH(J$80,Setup!$J$6:$J$17,0)+1,1)))</f>
        <v/>
      </c>
      <c r="K95" s="78">
        <f>IF($B95="","",SUMIFS(Transaction!$E:$E,Transaction!$C:$C,"รายจ่าย",Transaction!$D:$D,$B95,Transaction!$B:$B,"&gt;="&amp;DATE($P$3,MATCH(K$80,Setup!$J$6:$J$17,0),1),Transaction!$B:$B,"&lt;"&amp;DATE($P$3,MATCH(K$80,Setup!$J$6:$J$17,0)+1,1)))</f>
        <v/>
      </c>
      <c r="L95" s="78">
        <f>IF($B95="","",SUMIFS(Transaction!$E:$E,Transaction!$C:$C,"รายจ่าย",Transaction!$D:$D,$B95,Transaction!$B:$B,"&gt;="&amp;DATE($P$3,MATCH(L$80,Setup!$J$6:$J$17,0),1),Transaction!$B:$B,"&lt;"&amp;DATE($P$3,MATCH(L$80,Setup!$J$6:$J$17,0)+1,1)))</f>
        <v/>
      </c>
      <c r="M95" s="78">
        <f>IF($B95="","",SUMIFS(Transaction!$E:$E,Transaction!$C:$C,"รายจ่าย",Transaction!$D:$D,$B95,Transaction!$B:$B,"&gt;="&amp;DATE($P$3,MATCH(M$80,Setup!$J$6:$J$17,0),1),Transaction!$B:$B,"&lt;"&amp;DATE($P$3,MATCH(M$80,Setup!$J$6:$J$17,0)+1,1)))</f>
        <v/>
      </c>
      <c r="N95" s="78">
        <f>IF($B95="","",SUMIFS(Transaction!$E:$E,Transaction!$C:$C,"รายจ่าย",Transaction!$D:$D,$B95,Transaction!$B:$B,"&gt;="&amp;DATE($P$3,MATCH(N$80,Setup!$J$6:$J$17,0),1),Transaction!$B:$B,"&lt;"&amp;DATE($P$3,MATCH(N$80,Setup!$J$6:$J$17,0)+1,1)))</f>
        <v/>
      </c>
      <c r="O95" s="55">
        <f>IF($B95="","",SUM(C95:N95))</f>
        <v/>
      </c>
      <c r="P95" s="79">
        <f>IF(OR($B95="",N($O$106)=0),"",O95/$O$106)</f>
        <v/>
      </c>
      <c r="Q95" s="83">
        <f>IF(OR($B95="",N(O95)&lt;=0),"",COUNTIF($O$81:$O$105,"&gt;"&amp;O95)+COUNTIF($O$81:O95,O95))</f>
        <v/>
      </c>
    </row>
    <row r="96">
      <c r="B96" s="60">
        <f>IF(Setup!$D$21="","",Setup!$D$21)</f>
        <v/>
      </c>
      <c r="C96" s="78">
        <f>IF($B96="","",SUMIFS(Transaction!$E:$E,Transaction!$C:$C,"รายจ่าย",Transaction!$D:$D,$B96,Transaction!$B:$B,"&gt;="&amp;DATE($P$3,MATCH(C$80,Setup!$J$6:$J$17,0),1),Transaction!$B:$B,"&lt;"&amp;DATE($P$3,MATCH(C$80,Setup!$J$6:$J$17,0)+1,1)))</f>
        <v/>
      </c>
      <c r="D96" s="78">
        <f>IF($B96="","",SUMIFS(Transaction!$E:$E,Transaction!$C:$C,"รายจ่าย",Transaction!$D:$D,$B96,Transaction!$B:$B,"&gt;="&amp;DATE($P$3,MATCH(D$80,Setup!$J$6:$J$17,0),1),Transaction!$B:$B,"&lt;"&amp;DATE($P$3,MATCH(D$80,Setup!$J$6:$J$17,0)+1,1)))</f>
        <v/>
      </c>
      <c r="E96" s="78">
        <f>IF($B96="","",SUMIFS(Transaction!$E:$E,Transaction!$C:$C,"รายจ่าย",Transaction!$D:$D,$B96,Transaction!$B:$B,"&gt;="&amp;DATE($P$3,MATCH(E$80,Setup!$J$6:$J$17,0),1),Transaction!$B:$B,"&lt;"&amp;DATE($P$3,MATCH(E$80,Setup!$J$6:$J$17,0)+1,1)))</f>
        <v/>
      </c>
      <c r="F96" s="78">
        <f>IF($B96="","",SUMIFS(Transaction!$E:$E,Transaction!$C:$C,"รายจ่าย",Transaction!$D:$D,$B96,Transaction!$B:$B,"&gt;="&amp;DATE($P$3,MATCH(F$80,Setup!$J$6:$J$17,0),1),Transaction!$B:$B,"&lt;"&amp;DATE($P$3,MATCH(F$80,Setup!$J$6:$J$17,0)+1,1)))</f>
        <v/>
      </c>
      <c r="G96" s="78">
        <f>IF($B96="","",SUMIFS(Transaction!$E:$E,Transaction!$C:$C,"รายจ่าย",Transaction!$D:$D,$B96,Transaction!$B:$B,"&gt;="&amp;DATE($P$3,MATCH(G$80,Setup!$J$6:$J$17,0),1),Transaction!$B:$B,"&lt;"&amp;DATE($P$3,MATCH(G$80,Setup!$J$6:$J$17,0)+1,1)))</f>
        <v/>
      </c>
      <c r="H96" s="78">
        <f>IF($B96="","",SUMIFS(Transaction!$E:$E,Transaction!$C:$C,"รายจ่าย",Transaction!$D:$D,$B96,Transaction!$B:$B,"&gt;="&amp;DATE($P$3,MATCH(H$80,Setup!$J$6:$J$17,0),1),Transaction!$B:$B,"&lt;"&amp;DATE($P$3,MATCH(H$80,Setup!$J$6:$J$17,0)+1,1)))</f>
        <v/>
      </c>
      <c r="I96" s="78">
        <f>IF($B96="","",SUMIFS(Transaction!$E:$E,Transaction!$C:$C,"รายจ่าย",Transaction!$D:$D,$B96,Transaction!$B:$B,"&gt;="&amp;DATE($P$3,MATCH(I$80,Setup!$J$6:$J$17,0),1),Transaction!$B:$B,"&lt;"&amp;DATE($P$3,MATCH(I$80,Setup!$J$6:$J$17,0)+1,1)))</f>
        <v/>
      </c>
      <c r="J96" s="78">
        <f>IF($B96="","",SUMIFS(Transaction!$E:$E,Transaction!$C:$C,"รายจ่าย",Transaction!$D:$D,$B96,Transaction!$B:$B,"&gt;="&amp;DATE($P$3,MATCH(J$80,Setup!$J$6:$J$17,0),1),Transaction!$B:$B,"&lt;"&amp;DATE($P$3,MATCH(J$80,Setup!$J$6:$J$17,0)+1,1)))</f>
        <v/>
      </c>
      <c r="K96" s="78">
        <f>IF($B96="","",SUMIFS(Transaction!$E:$E,Transaction!$C:$C,"รายจ่าย",Transaction!$D:$D,$B96,Transaction!$B:$B,"&gt;="&amp;DATE($P$3,MATCH(K$80,Setup!$J$6:$J$17,0),1),Transaction!$B:$B,"&lt;"&amp;DATE($P$3,MATCH(K$80,Setup!$J$6:$J$17,0)+1,1)))</f>
        <v/>
      </c>
      <c r="L96" s="78">
        <f>IF($B96="","",SUMIFS(Transaction!$E:$E,Transaction!$C:$C,"รายจ่าย",Transaction!$D:$D,$B96,Transaction!$B:$B,"&gt;="&amp;DATE($P$3,MATCH(L$80,Setup!$J$6:$J$17,0),1),Transaction!$B:$B,"&lt;"&amp;DATE($P$3,MATCH(L$80,Setup!$J$6:$J$17,0)+1,1)))</f>
        <v/>
      </c>
      <c r="M96" s="78">
        <f>IF($B96="","",SUMIFS(Transaction!$E:$E,Transaction!$C:$C,"รายจ่าย",Transaction!$D:$D,$B96,Transaction!$B:$B,"&gt;="&amp;DATE($P$3,MATCH(M$80,Setup!$J$6:$J$17,0),1),Transaction!$B:$B,"&lt;"&amp;DATE($P$3,MATCH(M$80,Setup!$J$6:$J$17,0)+1,1)))</f>
        <v/>
      </c>
      <c r="N96" s="78">
        <f>IF($B96="","",SUMIFS(Transaction!$E:$E,Transaction!$C:$C,"รายจ่าย",Transaction!$D:$D,$B96,Transaction!$B:$B,"&gt;="&amp;DATE($P$3,MATCH(N$80,Setup!$J$6:$J$17,0),1),Transaction!$B:$B,"&lt;"&amp;DATE($P$3,MATCH(N$80,Setup!$J$6:$J$17,0)+1,1)))</f>
        <v/>
      </c>
      <c r="O96" s="55">
        <f>IF($B96="","",SUM(C96:N96))</f>
        <v/>
      </c>
      <c r="P96" s="79">
        <f>IF(OR($B96="",N($O$106)=0),"",O96/$O$106)</f>
        <v/>
      </c>
      <c r="Q96" s="83">
        <f>IF(OR($B96="",N(O96)&lt;=0),"",COUNTIF($O$81:$O$105,"&gt;"&amp;O96)+COUNTIF($O$81:O96,O96))</f>
        <v/>
      </c>
    </row>
    <row r="97">
      <c r="B97" s="60">
        <f>IF(Setup!$D$22="","",Setup!$D$22)</f>
        <v/>
      </c>
      <c r="C97" s="78">
        <f>IF($B97="","",SUMIFS(Transaction!$E:$E,Transaction!$C:$C,"รายจ่าย",Transaction!$D:$D,$B97,Transaction!$B:$B,"&gt;="&amp;DATE($P$3,MATCH(C$80,Setup!$J$6:$J$17,0),1),Transaction!$B:$B,"&lt;"&amp;DATE($P$3,MATCH(C$80,Setup!$J$6:$J$17,0)+1,1)))</f>
        <v/>
      </c>
      <c r="D97" s="78">
        <f>IF($B97="","",SUMIFS(Transaction!$E:$E,Transaction!$C:$C,"รายจ่าย",Transaction!$D:$D,$B97,Transaction!$B:$B,"&gt;="&amp;DATE($P$3,MATCH(D$80,Setup!$J$6:$J$17,0),1),Transaction!$B:$B,"&lt;"&amp;DATE($P$3,MATCH(D$80,Setup!$J$6:$J$17,0)+1,1)))</f>
        <v/>
      </c>
      <c r="E97" s="78">
        <f>IF($B97="","",SUMIFS(Transaction!$E:$E,Transaction!$C:$C,"รายจ่าย",Transaction!$D:$D,$B97,Transaction!$B:$B,"&gt;="&amp;DATE($P$3,MATCH(E$80,Setup!$J$6:$J$17,0),1),Transaction!$B:$B,"&lt;"&amp;DATE($P$3,MATCH(E$80,Setup!$J$6:$J$17,0)+1,1)))</f>
        <v/>
      </c>
      <c r="F97" s="78">
        <f>IF($B97="","",SUMIFS(Transaction!$E:$E,Transaction!$C:$C,"รายจ่าย",Transaction!$D:$D,$B97,Transaction!$B:$B,"&gt;="&amp;DATE($P$3,MATCH(F$80,Setup!$J$6:$J$17,0),1),Transaction!$B:$B,"&lt;"&amp;DATE($P$3,MATCH(F$80,Setup!$J$6:$J$17,0)+1,1)))</f>
        <v/>
      </c>
      <c r="G97" s="78">
        <f>IF($B97="","",SUMIFS(Transaction!$E:$E,Transaction!$C:$C,"รายจ่าย",Transaction!$D:$D,$B97,Transaction!$B:$B,"&gt;="&amp;DATE($P$3,MATCH(G$80,Setup!$J$6:$J$17,0),1),Transaction!$B:$B,"&lt;"&amp;DATE($P$3,MATCH(G$80,Setup!$J$6:$J$17,0)+1,1)))</f>
        <v/>
      </c>
      <c r="H97" s="78">
        <f>IF($B97="","",SUMIFS(Transaction!$E:$E,Transaction!$C:$C,"รายจ่าย",Transaction!$D:$D,$B97,Transaction!$B:$B,"&gt;="&amp;DATE($P$3,MATCH(H$80,Setup!$J$6:$J$17,0),1),Transaction!$B:$B,"&lt;"&amp;DATE($P$3,MATCH(H$80,Setup!$J$6:$J$17,0)+1,1)))</f>
        <v/>
      </c>
      <c r="I97" s="78">
        <f>IF($B97="","",SUMIFS(Transaction!$E:$E,Transaction!$C:$C,"รายจ่าย",Transaction!$D:$D,$B97,Transaction!$B:$B,"&gt;="&amp;DATE($P$3,MATCH(I$80,Setup!$J$6:$J$17,0),1),Transaction!$B:$B,"&lt;"&amp;DATE($P$3,MATCH(I$80,Setup!$J$6:$J$17,0)+1,1)))</f>
        <v/>
      </c>
      <c r="J97" s="78">
        <f>IF($B97="","",SUMIFS(Transaction!$E:$E,Transaction!$C:$C,"รายจ่าย",Transaction!$D:$D,$B97,Transaction!$B:$B,"&gt;="&amp;DATE($P$3,MATCH(J$80,Setup!$J$6:$J$17,0),1),Transaction!$B:$B,"&lt;"&amp;DATE($P$3,MATCH(J$80,Setup!$J$6:$J$17,0)+1,1)))</f>
        <v/>
      </c>
      <c r="K97" s="78">
        <f>IF($B97="","",SUMIFS(Transaction!$E:$E,Transaction!$C:$C,"รายจ่าย",Transaction!$D:$D,$B97,Transaction!$B:$B,"&gt;="&amp;DATE($P$3,MATCH(K$80,Setup!$J$6:$J$17,0),1),Transaction!$B:$B,"&lt;"&amp;DATE($P$3,MATCH(K$80,Setup!$J$6:$J$17,0)+1,1)))</f>
        <v/>
      </c>
      <c r="L97" s="78">
        <f>IF($B97="","",SUMIFS(Transaction!$E:$E,Transaction!$C:$C,"รายจ่าย",Transaction!$D:$D,$B97,Transaction!$B:$B,"&gt;="&amp;DATE($P$3,MATCH(L$80,Setup!$J$6:$J$17,0),1),Transaction!$B:$B,"&lt;"&amp;DATE($P$3,MATCH(L$80,Setup!$J$6:$J$17,0)+1,1)))</f>
        <v/>
      </c>
      <c r="M97" s="78">
        <f>IF($B97="","",SUMIFS(Transaction!$E:$E,Transaction!$C:$C,"รายจ่าย",Transaction!$D:$D,$B97,Transaction!$B:$B,"&gt;="&amp;DATE($P$3,MATCH(M$80,Setup!$J$6:$J$17,0),1),Transaction!$B:$B,"&lt;"&amp;DATE($P$3,MATCH(M$80,Setup!$J$6:$J$17,0)+1,1)))</f>
        <v/>
      </c>
      <c r="N97" s="78">
        <f>IF($B97="","",SUMIFS(Transaction!$E:$E,Transaction!$C:$C,"รายจ่าย",Transaction!$D:$D,$B97,Transaction!$B:$B,"&gt;="&amp;DATE($P$3,MATCH(N$80,Setup!$J$6:$J$17,0),1),Transaction!$B:$B,"&lt;"&amp;DATE($P$3,MATCH(N$80,Setup!$J$6:$J$17,0)+1,1)))</f>
        <v/>
      </c>
      <c r="O97" s="55">
        <f>IF($B97="","",SUM(C97:N97))</f>
        <v/>
      </c>
      <c r="P97" s="79">
        <f>IF(OR($B97="",N($O$106)=0),"",O97/$O$106)</f>
        <v/>
      </c>
      <c r="Q97" s="83">
        <f>IF(OR($B97="",N(O97)&lt;=0),"",COUNTIF($O$81:$O$105,"&gt;"&amp;O97)+COUNTIF($O$81:O97,O97))</f>
        <v/>
      </c>
    </row>
    <row r="98">
      <c r="B98" s="60">
        <f>IF(Setup!$D$23="","",Setup!$D$23)</f>
        <v/>
      </c>
      <c r="C98" s="78">
        <f>IF($B98="","",SUMIFS(Transaction!$E:$E,Transaction!$C:$C,"รายจ่าย",Transaction!$D:$D,$B98,Transaction!$B:$B,"&gt;="&amp;DATE($P$3,MATCH(C$80,Setup!$J$6:$J$17,0),1),Transaction!$B:$B,"&lt;"&amp;DATE($P$3,MATCH(C$80,Setup!$J$6:$J$17,0)+1,1)))</f>
        <v/>
      </c>
      <c r="D98" s="78">
        <f>IF($B98="","",SUMIFS(Transaction!$E:$E,Transaction!$C:$C,"รายจ่าย",Transaction!$D:$D,$B98,Transaction!$B:$B,"&gt;="&amp;DATE($P$3,MATCH(D$80,Setup!$J$6:$J$17,0),1),Transaction!$B:$B,"&lt;"&amp;DATE($P$3,MATCH(D$80,Setup!$J$6:$J$17,0)+1,1)))</f>
        <v/>
      </c>
      <c r="E98" s="78">
        <f>IF($B98="","",SUMIFS(Transaction!$E:$E,Transaction!$C:$C,"รายจ่าย",Transaction!$D:$D,$B98,Transaction!$B:$B,"&gt;="&amp;DATE($P$3,MATCH(E$80,Setup!$J$6:$J$17,0),1),Transaction!$B:$B,"&lt;"&amp;DATE($P$3,MATCH(E$80,Setup!$J$6:$J$17,0)+1,1)))</f>
        <v/>
      </c>
      <c r="F98" s="78">
        <f>IF($B98="","",SUMIFS(Transaction!$E:$E,Transaction!$C:$C,"รายจ่าย",Transaction!$D:$D,$B98,Transaction!$B:$B,"&gt;="&amp;DATE($P$3,MATCH(F$80,Setup!$J$6:$J$17,0),1),Transaction!$B:$B,"&lt;"&amp;DATE($P$3,MATCH(F$80,Setup!$J$6:$J$17,0)+1,1)))</f>
        <v/>
      </c>
      <c r="G98" s="78">
        <f>IF($B98="","",SUMIFS(Transaction!$E:$E,Transaction!$C:$C,"รายจ่าย",Transaction!$D:$D,$B98,Transaction!$B:$B,"&gt;="&amp;DATE($P$3,MATCH(G$80,Setup!$J$6:$J$17,0),1),Transaction!$B:$B,"&lt;"&amp;DATE($P$3,MATCH(G$80,Setup!$J$6:$J$17,0)+1,1)))</f>
        <v/>
      </c>
      <c r="H98" s="78">
        <f>IF($B98="","",SUMIFS(Transaction!$E:$E,Transaction!$C:$C,"รายจ่าย",Transaction!$D:$D,$B98,Transaction!$B:$B,"&gt;="&amp;DATE($P$3,MATCH(H$80,Setup!$J$6:$J$17,0),1),Transaction!$B:$B,"&lt;"&amp;DATE($P$3,MATCH(H$80,Setup!$J$6:$J$17,0)+1,1)))</f>
        <v/>
      </c>
      <c r="I98" s="78">
        <f>IF($B98="","",SUMIFS(Transaction!$E:$E,Transaction!$C:$C,"รายจ่าย",Transaction!$D:$D,$B98,Transaction!$B:$B,"&gt;="&amp;DATE($P$3,MATCH(I$80,Setup!$J$6:$J$17,0),1),Transaction!$B:$B,"&lt;"&amp;DATE($P$3,MATCH(I$80,Setup!$J$6:$J$17,0)+1,1)))</f>
        <v/>
      </c>
      <c r="J98" s="78">
        <f>IF($B98="","",SUMIFS(Transaction!$E:$E,Transaction!$C:$C,"รายจ่าย",Transaction!$D:$D,$B98,Transaction!$B:$B,"&gt;="&amp;DATE($P$3,MATCH(J$80,Setup!$J$6:$J$17,0),1),Transaction!$B:$B,"&lt;"&amp;DATE($P$3,MATCH(J$80,Setup!$J$6:$J$17,0)+1,1)))</f>
        <v/>
      </c>
      <c r="K98" s="78">
        <f>IF($B98="","",SUMIFS(Transaction!$E:$E,Transaction!$C:$C,"รายจ่าย",Transaction!$D:$D,$B98,Transaction!$B:$B,"&gt;="&amp;DATE($P$3,MATCH(K$80,Setup!$J$6:$J$17,0),1),Transaction!$B:$B,"&lt;"&amp;DATE($P$3,MATCH(K$80,Setup!$J$6:$J$17,0)+1,1)))</f>
        <v/>
      </c>
      <c r="L98" s="78">
        <f>IF($B98="","",SUMIFS(Transaction!$E:$E,Transaction!$C:$C,"รายจ่าย",Transaction!$D:$D,$B98,Transaction!$B:$B,"&gt;="&amp;DATE($P$3,MATCH(L$80,Setup!$J$6:$J$17,0),1),Transaction!$B:$B,"&lt;"&amp;DATE($P$3,MATCH(L$80,Setup!$J$6:$J$17,0)+1,1)))</f>
        <v/>
      </c>
      <c r="M98" s="78">
        <f>IF($B98="","",SUMIFS(Transaction!$E:$E,Transaction!$C:$C,"รายจ่าย",Transaction!$D:$D,$B98,Transaction!$B:$B,"&gt;="&amp;DATE($P$3,MATCH(M$80,Setup!$J$6:$J$17,0),1),Transaction!$B:$B,"&lt;"&amp;DATE($P$3,MATCH(M$80,Setup!$J$6:$J$17,0)+1,1)))</f>
        <v/>
      </c>
      <c r="N98" s="78">
        <f>IF($B98="","",SUMIFS(Transaction!$E:$E,Transaction!$C:$C,"รายจ่าย",Transaction!$D:$D,$B98,Transaction!$B:$B,"&gt;="&amp;DATE($P$3,MATCH(N$80,Setup!$J$6:$J$17,0),1),Transaction!$B:$B,"&lt;"&amp;DATE($P$3,MATCH(N$80,Setup!$J$6:$J$17,0)+1,1)))</f>
        <v/>
      </c>
      <c r="O98" s="55">
        <f>IF($B98="","",SUM(C98:N98))</f>
        <v/>
      </c>
      <c r="P98" s="79">
        <f>IF(OR($B98="",N($O$106)=0),"",O98/$O$106)</f>
        <v/>
      </c>
      <c r="Q98" s="83">
        <f>IF(OR($B98="",N(O98)&lt;=0),"",COUNTIF($O$81:$O$105,"&gt;"&amp;O98)+COUNTIF($O$81:O98,O98))</f>
        <v/>
      </c>
    </row>
    <row r="99">
      <c r="B99" s="60">
        <f>IF(Setup!$D$24="","",Setup!$D$24)</f>
        <v/>
      </c>
      <c r="C99" s="78">
        <f>IF($B99="","",SUMIFS(Transaction!$E:$E,Transaction!$C:$C,"รายจ่าย",Transaction!$D:$D,$B99,Transaction!$B:$B,"&gt;="&amp;DATE($P$3,MATCH(C$80,Setup!$J$6:$J$17,0),1),Transaction!$B:$B,"&lt;"&amp;DATE($P$3,MATCH(C$80,Setup!$J$6:$J$17,0)+1,1)))</f>
        <v/>
      </c>
      <c r="D99" s="78">
        <f>IF($B99="","",SUMIFS(Transaction!$E:$E,Transaction!$C:$C,"รายจ่าย",Transaction!$D:$D,$B99,Transaction!$B:$B,"&gt;="&amp;DATE($P$3,MATCH(D$80,Setup!$J$6:$J$17,0),1),Transaction!$B:$B,"&lt;"&amp;DATE($P$3,MATCH(D$80,Setup!$J$6:$J$17,0)+1,1)))</f>
        <v/>
      </c>
      <c r="E99" s="78">
        <f>IF($B99="","",SUMIFS(Transaction!$E:$E,Transaction!$C:$C,"รายจ่าย",Transaction!$D:$D,$B99,Transaction!$B:$B,"&gt;="&amp;DATE($P$3,MATCH(E$80,Setup!$J$6:$J$17,0),1),Transaction!$B:$B,"&lt;"&amp;DATE($P$3,MATCH(E$80,Setup!$J$6:$J$17,0)+1,1)))</f>
        <v/>
      </c>
      <c r="F99" s="78">
        <f>IF($B99="","",SUMIFS(Transaction!$E:$E,Transaction!$C:$C,"รายจ่าย",Transaction!$D:$D,$B99,Transaction!$B:$B,"&gt;="&amp;DATE($P$3,MATCH(F$80,Setup!$J$6:$J$17,0),1),Transaction!$B:$B,"&lt;"&amp;DATE($P$3,MATCH(F$80,Setup!$J$6:$J$17,0)+1,1)))</f>
        <v/>
      </c>
      <c r="G99" s="78">
        <f>IF($B99="","",SUMIFS(Transaction!$E:$E,Transaction!$C:$C,"รายจ่าย",Transaction!$D:$D,$B99,Transaction!$B:$B,"&gt;="&amp;DATE($P$3,MATCH(G$80,Setup!$J$6:$J$17,0),1),Transaction!$B:$B,"&lt;"&amp;DATE($P$3,MATCH(G$80,Setup!$J$6:$J$17,0)+1,1)))</f>
        <v/>
      </c>
      <c r="H99" s="78">
        <f>IF($B99="","",SUMIFS(Transaction!$E:$E,Transaction!$C:$C,"รายจ่าย",Transaction!$D:$D,$B99,Transaction!$B:$B,"&gt;="&amp;DATE($P$3,MATCH(H$80,Setup!$J$6:$J$17,0),1),Transaction!$B:$B,"&lt;"&amp;DATE($P$3,MATCH(H$80,Setup!$J$6:$J$17,0)+1,1)))</f>
        <v/>
      </c>
      <c r="I99" s="78">
        <f>IF($B99="","",SUMIFS(Transaction!$E:$E,Transaction!$C:$C,"รายจ่าย",Transaction!$D:$D,$B99,Transaction!$B:$B,"&gt;="&amp;DATE($P$3,MATCH(I$80,Setup!$J$6:$J$17,0),1),Transaction!$B:$B,"&lt;"&amp;DATE($P$3,MATCH(I$80,Setup!$J$6:$J$17,0)+1,1)))</f>
        <v/>
      </c>
      <c r="J99" s="78">
        <f>IF($B99="","",SUMIFS(Transaction!$E:$E,Transaction!$C:$C,"รายจ่าย",Transaction!$D:$D,$B99,Transaction!$B:$B,"&gt;="&amp;DATE($P$3,MATCH(J$80,Setup!$J$6:$J$17,0),1),Transaction!$B:$B,"&lt;"&amp;DATE($P$3,MATCH(J$80,Setup!$J$6:$J$17,0)+1,1)))</f>
        <v/>
      </c>
      <c r="K99" s="78">
        <f>IF($B99="","",SUMIFS(Transaction!$E:$E,Transaction!$C:$C,"รายจ่าย",Transaction!$D:$D,$B99,Transaction!$B:$B,"&gt;="&amp;DATE($P$3,MATCH(K$80,Setup!$J$6:$J$17,0),1),Transaction!$B:$B,"&lt;"&amp;DATE($P$3,MATCH(K$80,Setup!$J$6:$J$17,0)+1,1)))</f>
        <v/>
      </c>
      <c r="L99" s="78">
        <f>IF($B99="","",SUMIFS(Transaction!$E:$E,Transaction!$C:$C,"รายจ่าย",Transaction!$D:$D,$B99,Transaction!$B:$B,"&gt;="&amp;DATE($P$3,MATCH(L$80,Setup!$J$6:$J$17,0),1),Transaction!$B:$B,"&lt;"&amp;DATE($P$3,MATCH(L$80,Setup!$J$6:$J$17,0)+1,1)))</f>
        <v/>
      </c>
      <c r="M99" s="78">
        <f>IF($B99="","",SUMIFS(Transaction!$E:$E,Transaction!$C:$C,"รายจ่าย",Transaction!$D:$D,$B99,Transaction!$B:$B,"&gt;="&amp;DATE($P$3,MATCH(M$80,Setup!$J$6:$J$17,0),1),Transaction!$B:$B,"&lt;"&amp;DATE($P$3,MATCH(M$80,Setup!$J$6:$J$17,0)+1,1)))</f>
        <v/>
      </c>
      <c r="N99" s="78">
        <f>IF($B99="","",SUMIFS(Transaction!$E:$E,Transaction!$C:$C,"รายจ่าย",Transaction!$D:$D,$B99,Transaction!$B:$B,"&gt;="&amp;DATE($P$3,MATCH(N$80,Setup!$J$6:$J$17,0),1),Transaction!$B:$B,"&lt;"&amp;DATE($P$3,MATCH(N$80,Setup!$J$6:$J$17,0)+1,1)))</f>
        <v/>
      </c>
      <c r="O99" s="55">
        <f>IF($B99="","",SUM(C99:N99))</f>
        <v/>
      </c>
      <c r="P99" s="79">
        <f>IF(OR($B99="",N($O$106)=0),"",O99/$O$106)</f>
        <v/>
      </c>
      <c r="Q99" s="83">
        <f>IF(OR($B99="",N(O99)&lt;=0),"",COUNTIF($O$81:$O$105,"&gt;"&amp;O99)+COUNTIF($O$81:O99,O99))</f>
        <v/>
      </c>
    </row>
    <row r="100">
      <c r="B100" s="60">
        <f>IF(Setup!$D$25="","",Setup!$D$25)</f>
        <v/>
      </c>
      <c r="C100" s="78">
        <f>IF($B100="","",SUMIFS(Transaction!$E:$E,Transaction!$C:$C,"รายจ่าย",Transaction!$D:$D,$B100,Transaction!$B:$B,"&gt;="&amp;DATE($P$3,MATCH(C$80,Setup!$J$6:$J$17,0),1),Transaction!$B:$B,"&lt;"&amp;DATE($P$3,MATCH(C$80,Setup!$J$6:$J$17,0)+1,1)))</f>
        <v/>
      </c>
      <c r="D100" s="78">
        <f>IF($B100="","",SUMIFS(Transaction!$E:$E,Transaction!$C:$C,"รายจ่าย",Transaction!$D:$D,$B100,Transaction!$B:$B,"&gt;="&amp;DATE($P$3,MATCH(D$80,Setup!$J$6:$J$17,0),1),Transaction!$B:$B,"&lt;"&amp;DATE($P$3,MATCH(D$80,Setup!$J$6:$J$17,0)+1,1)))</f>
        <v/>
      </c>
      <c r="E100" s="78">
        <f>IF($B100="","",SUMIFS(Transaction!$E:$E,Transaction!$C:$C,"รายจ่าย",Transaction!$D:$D,$B100,Transaction!$B:$B,"&gt;="&amp;DATE($P$3,MATCH(E$80,Setup!$J$6:$J$17,0),1),Transaction!$B:$B,"&lt;"&amp;DATE($P$3,MATCH(E$80,Setup!$J$6:$J$17,0)+1,1)))</f>
        <v/>
      </c>
      <c r="F100" s="78">
        <f>IF($B100="","",SUMIFS(Transaction!$E:$E,Transaction!$C:$C,"รายจ่าย",Transaction!$D:$D,$B100,Transaction!$B:$B,"&gt;="&amp;DATE($P$3,MATCH(F$80,Setup!$J$6:$J$17,0),1),Transaction!$B:$B,"&lt;"&amp;DATE($P$3,MATCH(F$80,Setup!$J$6:$J$17,0)+1,1)))</f>
        <v/>
      </c>
      <c r="G100" s="78">
        <f>IF($B100="","",SUMIFS(Transaction!$E:$E,Transaction!$C:$C,"รายจ่าย",Transaction!$D:$D,$B100,Transaction!$B:$B,"&gt;="&amp;DATE($P$3,MATCH(G$80,Setup!$J$6:$J$17,0),1),Transaction!$B:$B,"&lt;"&amp;DATE($P$3,MATCH(G$80,Setup!$J$6:$J$17,0)+1,1)))</f>
        <v/>
      </c>
      <c r="H100" s="78">
        <f>IF($B100="","",SUMIFS(Transaction!$E:$E,Transaction!$C:$C,"รายจ่าย",Transaction!$D:$D,$B100,Transaction!$B:$B,"&gt;="&amp;DATE($P$3,MATCH(H$80,Setup!$J$6:$J$17,0),1),Transaction!$B:$B,"&lt;"&amp;DATE($P$3,MATCH(H$80,Setup!$J$6:$J$17,0)+1,1)))</f>
        <v/>
      </c>
      <c r="I100" s="78">
        <f>IF($B100="","",SUMIFS(Transaction!$E:$E,Transaction!$C:$C,"รายจ่าย",Transaction!$D:$D,$B100,Transaction!$B:$B,"&gt;="&amp;DATE($P$3,MATCH(I$80,Setup!$J$6:$J$17,0),1),Transaction!$B:$B,"&lt;"&amp;DATE($P$3,MATCH(I$80,Setup!$J$6:$J$17,0)+1,1)))</f>
        <v/>
      </c>
      <c r="J100" s="78">
        <f>IF($B100="","",SUMIFS(Transaction!$E:$E,Transaction!$C:$C,"รายจ่าย",Transaction!$D:$D,$B100,Transaction!$B:$B,"&gt;="&amp;DATE($P$3,MATCH(J$80,Setup!$J$6:$J$17,0),1),Transaction!$B:$B,"&lt;"&amp;DATE($P$3,MATCH(J$80,Setup!$J$6:$J$17,0)+1,1)))</f>
        <v/>
      </c>
      <c r="K100" s="78">
        <f>IF($B100="","",SUMIFS(Transaction!$E:$E,Transaction!$C:$C,"รายจ่าย",Transaction!$D:$D,$B100,Transaction!$B:$B,"&gt;="&amp;DATE($P$3,MATCH(K$80,Setup!$J$6:$J$17,0),1),Transaction!$B:$B,"&lt;"&amp;DATE($P$3,MATCH(K$80,Setup!$J$6:$J$17,0)+1,1)))</f>
        <v/>
      </c>
      <c r="L100" s="78">
        <f>IF($B100="","",SUMIFS(Transaction!$E:$E,Transaction!$C:$C,"รายจ่าย",Transaction!$D:$D,$B100,Transaction!$B:$B,"&gt;="&amp;DATE($P$3,MATCH(L$80,Setup!$J$6:$J$17,0),1),Transaction!$B:$B,"&lt;"&amp;DATE($P$3,MATCH(L$80,Setup!$J$6:$J$17,0)+1,1)))</f>
        <v/>
      </c>
      <c r="M100" s="78">
        <f>IF($B100="","",SUMIFS(Transaction!$E:$E,Transaction!$C:$C,"รายจ่าย",Transaction!$D:$D,$B100,Transaction!$B:$B,"&gt;="&amp;DATE($P$3,MATCH(M$80,Setup!$J$6:$J$17,0),1),Transaction!$B:$B,"&lt;"&amp;DATE($P$3,MATCH(M$80,Setup!$J$6:$J$17,0)+1,1)))</f>
        <v/>
      </c>
      <c r="N100" s="78">
        <f>IF($B100="","",SUMIFS(Transaction!$E:$E,Transaction!$C:$C,"รายจ่าย",Transaction!$D:$D,$B100,Transaction!$B:$B,"&gt;="&amp;DATE($P$3,MATCH(N$80,Setup!$J$6:$J$17,0),1),Transaction!$B:$B,"&lt;"&amp;DATE($P$3,MATCH(N$80,Setup!$J$6:$J$17,0)+1,1)))</f>
        <v/>
      </c>
      <c r="O100" s="55">
        <f>IF($B100="","",SUM(C100:N100))</f>
        <v/>
      </c>
      <c r="P100" s="79">
        <f>IF(OR($B100="",N($O$106)=0),"",O100/$O$106)</f>
        <v/>
      </c>
      <c r="Q100" s="83">
        <f>IF(OR($B100="",N(O100)&lt;=0),"",COUNTIF($O$81:$O$105,"&gt;"&amp;O100)+COUNTIF($O$81:O100,O100))</f>
        <v/>
      </c>
    </row>
    <row r="101">
      <c r="B101" s="60">
        <f>IF(Setup!$D$26="","",Setup!$D$26)</f>
        <v/>
      </c>
      <c r="C101" s="78">
        <f>IF($B101="","",SUMIFS(Transaction!$E:$E,Transaction!$C:$C,"รายจ่าย",Transaction!$D:$D,$B101,Transaction!$B:$B,"&gt;="&amp;DATE($P$3,MATCH(C$80,Setup!$J$6:$J$17,0),1),Transaction!$B:$B,"&lt;"&amp;DATE($P$3,MATCH(C$80,Setup!$J$6:$J$17,0)+1,1)))</f>
        <v/>
      </c>
      <c r="D101" s="78">
        <f>IF($B101="","",SUMIFS(Transaction!$E:$E,Transaction!$C:$C,"รายจ่าย",Transaction!$D:$D,$B101,Transaction!$B:$B,"&gt;="&amp;DATE($P$3,MATCH(D$80,Setup!$J$6:$J$17,0),1),Transaction!$B:$B,"&lt;"&amp;DATE($P$3,MATCH(D$80,Setup!$J$6:$J$17,0)+1,1)))</f>
        <v/>
      </c>
      <c r="E101" s="78">
        <f>IF($B101="","",SUMIFS(Transaction!$E:$E,Transaction!$C:$C,"รายจ่าย",Transaction!$D:$D,$B101,Transaction!$B:$B,"&gt;="&amp;DATE($P$3,MATCH(E$80,Setup!$J$6:$J$17,0),1),Transaction!$B:$B,"&lt;"&amp;DATE($P$3,MATCH(E$80,Setup!$J$6:$J$17,0)+1,1)))</f>
        <v/>
      </c>
      <c r="F101" s="78">
        <f>IF($B101="","",SUMIFS(Transaction!$E:$E,Transaction!$C:$C,"รายจ่าย",Transaction!$D:$D,$B101,Transaction!$B:$B,"&gt;="&amp;DATE($P$3,MATCH(F$80,Setup!$J$6:$J$17,0),1),Transaction!$B:$B,"&lt;"&amp;DATE($P$3,MATCH(F$80,Setup!$J$6:$J$17,0)+1,1)))</f>
        <v/>
      </c>
      <c r="G101" s="78">
        <f>IF($B101="","",SUMIFS(Transaction!$E:$E,Transaction!$C:$C,"รายจ่าย",Transaction!$D:$D,$B101,Transaction!$B:$B,"&gt;="&amp;DATE($P$3,MATCH(G$80,Setup!$J$6:$J$17,0),1),Transaction!$B:$B,"&lt;"&amp;DATE($P$3,MATCH(G$80,Setup!$J$6:$J$17,0)+1,1)))</f>
        <v/>
      </c>
      <c r="H101" s="78">
        <f>IF($B101="","",SUMIFS(Transaction!$E:$E,Transaction!$C:$C,"รายจ่าย",Transaction!$D:$D,$B101,Transaction!$B:$B,"&gt;="&amp;DATE($P$3,MATCH(H$80,Setup!$J$6:$J$17,0),1),Transaction!$B:$B,"&lt;"&amp;DATE($P$3,MATCH(H$80,Setup!$J$6:$J$17,0)+1,1)))</f>
        <v/>
      </c>
      <c r="I101" s="78">
        <f>IF($B101="","",SUMIFS(Transaction!$E:$E,Transaction!$C:$C,"รายจ่าย",Transaction!$D:$D,$B101,Transaction!$B:$B,"&gt;="&amp;DATE($P$3,MATCH(I$80,Setup!$J$6:$J$17,0),1),Transaction!$B:$B,"&lt;"&amp;DATE($P$3,MATCH(I$80,Setup!$J$6:$J$17,0)+1,1)))</f>
        <v/>
      </c>
      <c r="J101" s="78">
        <f>IF($B101="","",SUMIFS(Transaction!$E:$E,Transaction!$C:$C,"รายจ่าย",Transaction!$D:$D,$B101,Transaction!$B:$B,"&gt;="&amp;DATE($P$3,MATCH(J$80,Setup!$J$6:$J$17,0),1),Transaction!$B:$B,"&lt;"&amp;DATE($P$3,MATCH(J$80,Setup!$J$6:$J$17,0)+1,1)))</f>
        <v/>
      </c>
      <c r="K101" s="78">
        <f>IF($B101="","",SUMIFS(Transaction!$E:$E,Transaction!$C:$C,"รายจ่าย",Transaction!$D:$D,$B101,Transaction!$B:$B,"&gt;="&amp;DATE($P$3,MATCH(K$80,Setup!$J$6:$J$17,0),1),Transaction!$B:$B,"&lt;"&amp;DATE($P$3,MATCH(K$80,Setup!$J$6:$J$17,0)+1,1)))</f>
        <v/>
      </c>
      <c r="L101" s="78">
        <f>IF($B101="","",SUMIFS(Transaction!$E:$E,Transaction!$C:$C,"รายจ่าย",Transaction!$D:$D,$B101,Transaction!$B:$B,"&gt;="&amp;DATE($P$3,MATCH(L$80,Setup!$J$6:$J$17,0),1),Transaction!$B:$B,"&lt;"&amp;DATE($P$3,MATCH(L$80,Setup!$J$6:$J$17,0)+1,1)))</f>
        <v/>
      </c>
      <c r="M101" s="78">
        <f>IF($B101="","",SUMIFS(Transaction!$E:$E,Transaction!$C:$C,"รายจ่าย",Transaction!$D:$D,$B101,Transaction!$B:$B,"&gt;="&amp;DATE($P$3,MATCH(M$80,Setup!$J$6:$J$17,0),1),Transaction!$B:$B,"&lt;"&amp;DATE($P$3,MATCH(M$80,Setup!$J$6:$J$17,0)+1,1)))</f>
        <v/>
      </c>
      <c r="N101" s="78">
        <f>IF($B101="","",SUMIFS(Transaction!$E:$E,Transaction!$C:$C,"รายจ่าย",Transaction!$D:$D,$B101,Transaction!$B:$B,"&gt;="&amp;DATE($P$3,MATCH(N$80,Setup!$J$6:$J$17,0),1),Transaction!$B:$B,"&lt;"&amp;DATE($P$3,MATCH(N$80,Setup!$J$6:$J$17,0)+1,1)))</f>
        <v/>
      </c>
      <c r="O101" s="55">
        <f>IF($B101="","",SUM(C101:N101))</f>
        <v/>
      </c>
      <c r="P101" s="79">
        <f>IF(OR($B101="",N($O$106)=0),"",O101/$O$106)</f>
        <v/>
      </c>
      <c r="Q101" s="83">
        <f>IF(OR($B101="",N(O101)&lt;=0),"",COUNTIF($O$81:$O$105,"&gt;"&amp;O101)+COUNTIF($O$81:O101,O101))</f>
        <v/>
      </c>
    </row>
    <row r="102">
      <c r="B102" s="60">
        <f>IF(Setup!$D$27="","",Setup!$D$27)</f>
        <v/>
      </c>
      <c r="C102" s="78">
        <f>IF($B102="","",SUMIFS(Transaction!$E:$E,Transaction!$C:$C,"รายจ่าย",Transaction!$D:$D,$B102,Transaction!$B:$B,"&gt;="&amp;DATE($P$3,MATCH(C$80,Setup!$J$6:$J$17,0),1),Transaction!$B:$B,"&lt;"&amp;DATE($P$3,MATCH(C$80,Setup!$J$6:$J$17,0)+1,1)))</f>
        <v/>
      </c>
      <c r="D102" s="78">
        <f>IF($B102="","",SUMIFS(Transaction!$E:$E,Transaction!$C:$C,"รายจ่าย",Transaction!$D:$D,$B102,Transaction!$B:$B,"&gt;="&amp;DATE($P$3,MATCH(D$80,Setup!$J$6:$J$17,0),1),Transaction!$B:$B,"&lt;"&amp;DATE($P$3,MATCH(D$80,Setup!$J$6:$J$17,0)+1,1)))</f>
        <v/>
      </c>
      <c r="E102" s="78">
        <f>IF($B102="","",SUMIFS(Transaction!$E:$E,Transaction!$C:$C,"รายจ่าย",Transaction!$D:$D,$B102,Transaction!$B:$B,"&gt;="&amp;DATE($P$3,MATCH(E$80,Setup!$J$6:$J$17,0),1),Transaction!$B:$B,"&lt;"&amp;DATE($P$3,MATCH(E$80,Setup!$J$6:$J$17,0)+1,1)))</f>
        <v/>
      </c>
      <c r="F102" s="78">
        <f>IF($B102="","",SUMIFS(Transaction!$E:$E,Transaction!$C:$C,"รายจ่าย",Transaction!$D:$D,$B102,Transaction!$B:$B,"&gt;="&amp;DATE($P$3,MATCH(F$80,Setup!$J$6:$J$17,0),1),Transaction!$B:$B,"&lt;"&amp;DATE($P$3,MATCH(F$80,Setup!$J$6:$J$17,0)+1,1)))</f>
        <v/>
      </c>
      <c r="G102" s="78">
        <f>IF($B102="","",SUMIFS(Transaction!$E:$E,Transaction!$C:$C,"รายจ่าย",Transaction!$D:$D,$B102,Transaction!$B:$B,"&gt;="&amp;DATE($P$3,MATCH(G$80,Setup!$J$6:$J$17,0),1),Transaction!$B:$B,"&lt;"&amp;DATE($P$3,MATCH(G$80,Setup!$J$6:$J$17,0)+1,1)))</f>
        <v/>
      </c>
      <c r="H102" s="78">
        <f>IF($B102="","",SUMIFS(Transaction!$E:$E,Transaction!$C:$C,"รายจ่าย",Transaction!$D:$D,$B102,Transaction!$B:$B,"&gt;="&amp;DATE($P$3,MATCH(H$80,Setup!$J$6:$J$17,0),1),Transaction!$B:$B,"&lt;"&amp;DATE($P$3,MATCH(H$80,Setup!$J$6:$J$17,0)+1,1)))</f>
        <v/>
      </c>
      <c r="I102" s="78">
        <f>IF($B102="","",SUMIFS(Transaction!$E:$E,Transaction!$C:$C,"รายจ่าย",Transaction!$D:$D,$B102,Transaction!$B:$B,"&gt;="&amp;DATE($P$3,MATCH(I$80,Setup!$J$6:$J$17,0),1),Transaction!$B:$B,"&lt;"&amp;DATE($P$3,MATCH(I$80,Setup!$J$6:$J$17,0)+1,1)))</f>
        <v/>
      </c>
      <c r="J102" s="78">
        <f>IF($B102="","",SUMIFS(Transaction!$E:$E,Transaction!$C:$C,"รายจ่าย",Transaction!$D:$D,$B102,Transaction!$B:$B,"&gt;="&amp;DATE($P$3,MATCH(J$80,Setup!$J$6:$J$17,0),1),Transaction!$B:$B,"&lt;"&amp;DATE($P$3,MATCH(J$80,Setup!$J$6:$J$17,0)+1,1)))</f>
        <v/>
      </c>
      <c r="K102" s="78">
        <f>IF($B102="","",SUMIFS(Transaction!$E:$E,Transaction!$C:$C,"รายจ่าย",Transaction!$D:$D,$B102,Transaction!$B:$B,"&gt;="&amp;DATE($P$3,MATCH(K$80,Setup!$J$6:$J$17,0),1),Transaction!$B:$B,"&lt;"&amp;DATE($P$3,MATCH(K$80,Setup!$J$6:$J$17,0)+1,1)))</f>
        <v/>
      </c>
      <c r="L102" s="78">
        <f>IF($B102="","",SUMIFS(Transaction!$E:$E,Transaction!$C:$C,"รายจ่าย",Transaction!$D:$D,$B102,Transaction!$B:$B,"&gt;="&amp;DATE($P$3,MATCH(L$80,Setup!$J$6:$J$17,0),1),Transaction!$B:$B,"&lt;"&amp;DATE($P$3,MATCH(L$80,Setup!$J$6:$J$17,0)+1,1)))</f>
        <v/>
      </c>
      <c r="M102" s="78">
        <f>IF($B102="","",SUMIFS(Transaction!$E:$E,Transaction!$C:$C,"รายจ่าย",Transaction!$D:$D,$B102,Transaction!$B:$B,"&gt;="&amp;DATE($P$3,MATCH(M$80,Setup!$J$6:$J$17,0),1),Transaction!$B:$B,"&lt;"&amp;DATE($P$3,MATCH(M$80,Setup!$J$6:$J$17,0)+1,1)))</f>
        <v/>
      </c>
      <c r="N102" s="78">
        <f>IF($B102="","",SUMIFS(Transaction!$E:$E,Transaction!$C:$C,"รายจ่าย",Transaction!$D:$D,$B102,Transaction!$B:$B,"&gt;="&amp;DATE($P$3,MATCH(N$80,Setup!$J$6:$J$17,0),1),Transaction!$B:$B,"&lt;"&amp;DATE($P$3,MATCH(N$80,Setup!$J$6:$J$17,0)+1,1)))</f>
        <v/>
      </c>
      <c r="O102" s="55">
        <f>IF($B102="","",SUM(C102:N102))</f>
        <v/>
      </c>
      <c r="P102" s="79">
        <f>IF(OR($B102="",N($O$106)=0),"",O102/$O$106)</f>
        <v/>
      </c>
      <c r="Q102" s="83">
        <f>IF(OR($B102="",N(O102)&lt;=0),"",COUNTIF($O$81:$O$105,"&gt;"&amp;O102)+COUNTIF($O$81:O102,O102))</f>
        <v/>
      </c>
    </row>
    <row r="103">
      <c r="B103" s="60">
        <f>IF(Setup!$D$28="","",Setup!$D$28)</f>
        <v/>
      </c>
      <c r="C103" s="78">
        <f>IF($B103="","",SUMIFS(Transaction!$E:$E,Transaction!$C:$C,"รายจ่าย",Transaction!$D:$D,$B103,Transaction!$B:$B,"&gt;="&amp;DATE($P$3,MATCH(C$80,Setup!$J$6:$J$17,0),1),Transaction!$B:$B,"&lt;"&amp;DATE($P$3,MATCH(C$80,Setup!$J$6:$J$17,0)+1,1)))</f>
        <v/>
      </c>
      <c r="D103" s="78">
        <f>IF($B103="","",SUMIFS(Transaction!$E:$E,Transaction!$C:$C,"รายจ่าย",Transaction!$D:$D,$B103,Transaction!$B:$B,"&gt;="&amp;DATE($P$3,MATCH(D$80,Setup!$J$6:$J$17,0),1),Transaction!$B:$B,"&lt;"&amp;DATE($P$3,MATCH(D$80,Setup!$J$6:$J$17,0)+1,1)))</f>
        <v/>
      </c>
      <c r="E103" s="78">
        <f>IF($B103="","",SUMIFS(Transaction!$E:$E,Transaction!$C:$C,"รายจ่าย",Transaction!$D:$D,$B103,Transaction!$B:$B,"&gt;="&amp;DATE($P$3,MATCH(E$80,Setup!$J$6:$J$17,0),1),Transaction!$B:$B,"&lt;"&amp;DATE($P$3,MATCH(E$80,Setup!$J$6:$J$17,0)+1,1)))</f>
        <v/>
      </c>
      <c r="F103" s="78">
        <f>IF($B103="","",SUMIFS(Transaction!$E:$E,Transaction!$C:$C,"รายจ่าย",Transaction!$D:$D,$B103,Transaction!$B:$B,"&gt;="&amp;DATE($P$3,MATCH(F$80,Setup!$J$6:$J$17,0),1),Transaction!$B:$B,"&lt;"&amp;DATE($P$3,MATCH(F$80,Setup!$J$6:$J$17,0)+1,1)))</f>
        <v/>
      </c>
      <c r="G103" s="78">
        <f>IF($B103="","",SUMIFS(Transaction!$E:$E,Transaction!$C:$C,"รายจ่าย",Transaction!$D:$D,$B103,Transaction!$B:$B,"&gt;="&amp;DATE($P$3,MATCH(G$80,Setup!$J$6:$J$17,0),1),Transaction!$B:$B,"&lt;"&amp;DATE($P$3,MATCH(G$80,Setup!$J$6:$J$17,0)+1,1)))</f>
        <v/>
      </c>
      <c r="H103" s="78">
        <f>IF($B103="","",SUMIFS(Transaction!$E:$E,Transaction!$C:$C,"รายจ่าย",Transaction!$D:$D,$B103,Transaction!$B:$B,"&gt;="&amp;DATE($P$3,MATCH(H$80,Setup!$J$6:$J$17,0),1),Transaction!$B:$B,"&lt;"&amp;DATE($P$3,MATCH(H$80,Setup!$J$6:$J$17,0)+1,1)))</f>
        <v/>
      </c>
      <c r="I103" s="78">
        <f>IF($B103="","",SUMIFS(Transaction!$E:$E,Transaction!$C:$C,"รายจ่าย",Transaction!$D:$D,$B103,Transaction!$B:$B,"&gt;="&amp;DATE($P$3,MATCH(I$80,Setup!$J$6:$J$17,0),1),Transaction!$B:$B,"&lt;"&amp;DATE($P$3,MATCH(I$80,Setup!$J$6:$J$17,0)+1,1)))</f>
        <v/>
      </c>
      <c r="J103" s="78">
        <f>IF($B103="","",SUMIFS(Transaction!$E:$E,Transaction!$C:$C,"รายจ่าย",Transaction!$D:$D,$B103,Transaction!$B:$B,"&gt;="&amp;DATE($P$3,MATCH(J$80,Setup!$J$6:$J$17,0),1),Transaction!$B:$B,"&lt;"&amp;DATE($P$3,MATCH(J$80,Setup!$J$6:$J$17,0)+1,1)))</f>
        <v/>
      </c>
      <c r="K103" s="78">
        <f>IF($B103="","",SUMIFS(Transaction!$E:$E,Transaction!$C:$C,"รายจ่าย",Transaction!$D:$D,$B103,Transaction!$B:$B,"&gt;="&amp;DATE($P$3,MATCH(K$80,Setup!$J$6:$J$17,0),1),Transaction!$B:$B,"&lt;"&amp;DATE($P$3,MATCH(K$80,Setup!$J$6:$J$17,0)+1,1)))</f>
        <v/>
      </c>
      <c r="L103" s="78">
        <f>IF($B103="","",SUMIFS(Transaction!$E:$E,Transaction!$C:$C,"รายจ่าย",Transaction!$D:$D,$B103,Transaction!$B:$B,"&gt;="&amp;DATE($P$3,MATCH(L$80,Setup!$J$6:$J$17,0),1),Transaction!$B:$B,"&lt;"&amp;DATE($P$3,MATCH(L$80,Setup!$J$6:$J$17,0)+1,1)))</f>
        <v/>
      </c>
      <c r="M103" s="78">
        <f>IF($B103="","",SUMIFS(Transaction!$E:$E,Transaction!$C:$C,"รายจ่าย",Transaction!$D:$D,$B103,Transaction!$B:$B,"&gt;="&amp;DATE($P$3,MATCH(M$80,Setup!$J$6:$J$17,0),1),Transaction!$B:$B,"&lt;"&amp;DATE($P$3,MATCH(M$80,Setup!$J$6:$J$17,0)+1,1)))</f>
        <v/>
      </c>
      <c r="N103" s="78">
        <f>IF($B103="","",SUMIFS(Transaction!$E:$E,Transaction!$C:$C,"รายจ่าย",Transaction!$D:$D,$B103,Transaction!$B:$B,"&gt;="&amp;DATE($P$3,MATCH(N$80,Setup!$J$6:$J$17,0),1),Transaction!$B:$B,"&lt;"&amp;DATE($P$3,MATCH(N$80,Setup!$J$6:$J$17,0)+1,1)))</f>
        <v/>
      </c>
      <c r="O103" s="55">
        <f>IF($B103="","",SUM(C103:N103))</f>
        <v/>
      </c>
      <c r="P103" s="79">
        <f>IF(OR($B103="",N($O$106)=0),"",O103/$O$106)</f>
        <v/>
      </c>
      <c r="Q103" s="83">
        <f>IF(OR($B103="",N(O103)&lt;=0),"",COUNTIF($O$81:$O$105,"&gt;"&amp;O103)+COUNTIF($O$81:O103,O103))</f>
        <v/>
      </c>
    </row>
    <row r="104">
      <c r="B104" s="60">
        <f>IF(Setup!$D$29="","",Setup!$D$29)</f>
        <v/>
      </c>
      <c r="C104" s="78">
        <f>IF($B104="","",SUMIFS(Transaction!$E:$E,Transaction!$C:$C,"รายจ่าย",Transaction!$D:$D,$B104,Transaction!$B:$B,"&gt;="&amp;DATE($P$3,MATCH(C$80,Setup!$J$6:$J$17,0),1),Transaction!$B:$B,"&lt;"&amp;DATE($P$3,MATCH(C$80,Setup!$J$6:$J$17,0)+1,1)))</f>
        <v/>
      </c>
      <c r="D104" s="78">
        <f>IF($B104="","",SUMIFS(Transaction!$E:$E,Transaction!$C:$C,"รายจ่าย",Transaction!$D:$D,$B104,Transaction!$B:$B,"&gt;="&amp;DATE($P$3,MATCH(D$80,Setup!$J$6:$J$17,0),1),Transaction!$B:$B,"&lt;"&amp;DATE($P$3,MATCH(D$80,Setup!$J$6:$J$17,0)+1,1)))</f>
        <v/>
      </c>
      <c r="E104" s="78">
        <f>IF($B104="","",SUMIFS(Transaction!$E:$E,Transaction!$C:$C,"รายจ่าย",Transaction!$D:$D,$B104,Transaction!$B:$B,"&gt;="&amp;DATE($P$3,MATCH(E$80,Setup!$J$6:$J$17,0),1),Transaction!$B:$B,"&lt;"&amp;DATE($P$3,MATCH(E$80,Setup!$J$6:$J$17,0)+1,1)))</f>
        <v/>
      </c>
      <c r="F104" s="78">
        <f>IF($B104="","",SUMIFS(Transaction!$E:$E,Transaction!$C:$C,"รายจ่าย",Transaction!$D:$D,$B104,Transaction!$B:$B,"&gt;="&amp;DATE($P$3,MATCH(F$80,Setup!$J$6:$J$17,0),1),Transaction!$B:$B,"&lt;"&amp;DATE($P$3,MATCH(F$80,Setup!$J$6:$J$17,0)+1,1)))</f>
        <v/>
      </c>
      <c r="G104" s="78">
        <f>IF($B104="","",SUMIFS(Transaction!$E:$E,Transaction!$C:$C,"รายจ่าย",Transaction!$D:$D,$B104,Transaction!$B:$B,"&gt;="&amp;DATE($P$3,MATCH(G$80,Setup!$J$6:$J$17,0),1),Transaction!$B:$B,"&lt;"&amp;DATE($P$3,MATCH(G$80,Setup!$J$6:$J$17,0)+1,1)))</f>
        <v/>
      </c>
      <c r="H104" s="78">
        <f>IF($B104="","",SUMIFS(Transaction!$E:$E,Transaction!$C:$C,"รายจ่าย",Transaction!$D:$D,$B104,Transaction!$B:$B,"&gt;="&amp;DATE($P$3,MATCH(H$80,Setup!$J$6:$J$17,0),1),Transaction!$B:$B,"&lt;"&amp;DATE($P$3,MATCH(H$80,Setup!$J$6:$J$17,0)+1,1)))</f>
        <v/>
      </c>
      <c r="I104" s="78">
        <f>IF($B104="","",SUMIFS(Transaction!$E:$E,Transaction!$C:$C,"รายจ่าย",Transaction!$D:$D,$B104,Transaction!$B:$B,"&gt;="&amp;DATE($P$3,MATCH(I$80,Setup!$J$6:$J$17,0),1),Transaction!$B:$B,"&lt;"&amp;DATE($P$3,MATCH(I$80,Setup!$J$6:$J$17,0)+1,1)))</f>
        <v/>
      </c>
      <c r="J104" s="78">
        <f>IF($B104="","",SUMIFS(Transaction!$E:$E,Transaction!$C:$C,"รายจ่าย",Transaction!$D:$D,$B104,Transaction!$B:$B,"&gt;="&amp;DATE($P$3,MATCH(J$80,Setup!$J$6:$J$17,0),1),Transaction!$B:$B,"&lt;"&amp;DATE($P$3,MATCH(J$80,Setup!$J$6:$J$17,0)+1,1)))</f>
        <v/>
      </c>
      <c r="K104" s="78">
        <f>IF($B104="","",SUMIFS(Transaction!$E:$E,Transaction!$C:$C,"รายจ่าย",Transaction!$D:$D,$B104,Transaction!$B:$B,"&gt;="&amp;DATE($P$3,MATCH(K$80,Setup!$J$6:$J$17,0),1),Transaction!$B:$B,"&lt;"&amp;DATE($P$3,MATCH(K$80,Setup!$J$6:$J$17,0)+1,1)))</f>
        <v/>
      </c>
      <c r="L104" s="78">
        <f>IF($B104="","",SUMIFS(Transaction!$E:$E,Transaction!$C:$C,"รายจ่าย",Transaction!$D:$D,$B104,Transaction!$B:$B,"&gt;="&amp;DATE($P$3,MATCH(L$80,Setup!$J$6:$J$17,0),1),Transaction!$B:$B,"&lt;"&amp;DATE($P$3,MATCH(L$80,Setup!$J$6:$J$17,0)+1,1)))</f>
        <v/>
      </c>
      <c r="M104" s="78">
        <f>IF($B104="","",SUMIFS(Transaction!$E:$E,Transaction!$C:$C,"รายจ่าย",Transaction!$D:$D,$B104,Transaction!$B:$B,"&gt;="&amp;DATE($P$3,MATCH(M$80,Setup!$J$6:$J$17,0),1),Transaction!$B:$B,"&lt;"&amp;DATE($P$3,MATCH(M$80,Setup!$J$6:$J$17,0)+1,1)))</f>
        <v/>
      </c>
      <c r="N104" s="78">
        <f>IF($B104="","",SUMIFS(Transaction!$E:$E,Transaction!$C:$C,"รายจ่าย",Transaction!$D:$D,$B104,Transaction!$B:$B,"&gt;="&amp;DATE($P$3,MATCH(N$80,Setup!$J$6:$J$17,0),1),Transaction!$B:$B,"&lt;"&amp;DATE($P$3,MATCH(N$80,Setup!$J$6:$J$17,0)+1,1)))</f>
        <v/>
      </c>
      <c r="O104" s="55">
        <f>IF($B104="","",SUM(C104:N104))</f>
        <v/>
      </c>
      <c r="P104" s="79">
        <f>IF(OR($B104="",N($O$106)=0),"",O104/$O$106)</f>
        <v/>
      </c>
      <c r="Q104" s="83">
        <f>IF(OR($B104="",N(O104)&lt;=0),"",COUNTIF($O$81:$O$105,"&gt;"&amp;O104)+COUNTIF($O$81:O104,O104))</f>
        <v/>
      </c>
    </row>
    <row r="105">
      <c r="B105" s="60">
        <f>IF(Setup!$D$30="","",Setup!$D$30)</f>
        <v/>
      </c>
      <c r="C105" s="78">
        <f>IF($B105="","",SUMIFS(Transaction!$E:$E,Transaction!$C:$C,"รายจ่าย",Transaction!$D:$D,$B105,Transaction!$B:$B,"&gt;="&amp;DATE($P$3,MATCH(C$80,Setup!$J$6:$J$17,0),1),Transaction!$B:$B,"&lt;"&amp;DATE($P$3,MATCH(C$80,Setup!$J$6:$J$17,0)+1,1)))</f>
        <v/>
      </c>
      <c r="D105" s="78">
        <f>IF($B105="","",SUMIFS(Transaction!$E:$E,Transaction!$C:$C,"รายจ่าย",Transaction!$D:$D,$B105,Transaction!$B:$B,"&gt;="&amp;DATE($P$3,MATCH(D$80,Setup!$J$6:$J$17,0),1),Transaction!$B:$B,"&lt;"&amp;DATE($P$3,MATCH(D$80,Setup!$J$6:$J$17,0)+1,1)))</f>
        <v/>
      </c>
      <c r="E105" s="78">
        <f>IF($B105="","",SUMIFS(Transaction!$E:$E,Transaction!$C:$C,"รายจ่าย",Transaction!$D:$D,$B105,Transaction!$B:$B,"&gt;="&amp;DATE($P$3,MATCH(E$80,Setup!$J$6:$J$17,0),1),Transaction!$B:$B,"&lt;"&amp;DATE($P$3,MATCH(E$80,Setup!$J$6:$J$17,0)+1,1)))</f>
        <v/>
      </c>
      <c r="F105" s="78">
        <f>IF($B105="","",SUMIFS(Transaction!$E:$E,Transaction!$C:$C,"รายจ่าย",Transaction!$D:$D,$B105,Transaction!$B:$B,"&gt;="&amp;DATE($P$3,MATCH(F$80,Setup!$J$6:$J$17,0),1),Transaction!$B:$B,"&lt;"&amp;DATE($P$3,MATCH(F$80,Setup!$J$6:$J$17,0)+1,1)))</f>
        <v/>
      </c>
      <c r="G105" s="78">
        <f>IF($B105="","",SUMIFS(Transaction!$E:$E,Transaction!$C:$C,"รายจ่าย",Transaction!$D:$D,$B105,Transaction!$B:$B,"&gt;="&amp;DATE($P$3,MATCH(G$80,Setup!$J$6:$J$17,0),1),Transaction!$B:$B,"&lt;"&amp;DATE($P$3,MATCH(G$80,Setup!$J$6:$J$17,0)+1,1)))</f>
        <v/>
      </c>
      <c r="H105" s="78">
        <f>IF($B105="","",SUMIFS(Transaction!$E:$E,Transaction!$C:$C,"รายจ่าย",Transaction!$D:$D,$B105,Transaction!$B:$B,"&gt;="&amp;DATE($P$3,MATCH(H$80,Setup!$J$6:$J$17,0),1),Transaction!$B:$B,"&lt;"&amp;DATE($P$3,MATCH(H$80,Setup!$J$6:$J$17,0)+1,1)))</f>
        <v/>
      </c>
      <c r="I105" s="78">
        <f>IF($B105="","",SUMIFS(Transaction!$E:$E,Transaction!$C:$C,"รายจ่าย",Transaction!$D:$D,$B105,Transaction!$B:$B,"&gt;="&amp;DATE($P$3,MATCH(I$80,Setup!$J$6:$J$17,0),1),Transaction!$B:$B,"&lt;"&amp;DATE($P$3,MATCH(I$80,Setup!$J$6:$J$17,0)+1,1)))</f>
        <v/>
      </c>
      <c r="J105" s="78">
        <f>IF($B105="","",SUMIFS(Transaction!$E:$E,Transaction!$C:$C,"รายจ่าย",Transaction!$D:$D,$B105,Transaction!$B:$B,"&gt;="&amp;DATE($P$3,MATCH(J$80,Setup!$J$6:$J$17,0),1),Transaction!$B:$B,"&lt;"&amp;DATE($P$3,MATCH(J$80,Setup!$J$6:$J$17,0)+1,1)))</f>
        <v/>
      </c>
      <c r="K105" s="78">
        <f>IF($B105="","",SUMIFS(Transaction!$E:$E,Transaction!$C:$C,"รายจ่าย",Transaction!$D:$D,$B105,Transaction!$B:$B,"&gt;="&amp;DATE($P$3,MATCH(K$80,Setup!$J$6:$J$17,0),1),Transaction!$B:$B,"&lt;"&amp;DATE($P$3,MATCH(K$80,Setup!$J$6:$J$17,0)+1,1)))</f>
        <v/>
      </c>
      <c r="L105" s="78">
        <f>IF($B105="","",SUMIFS(Transaction!$E:$E,Transaction!$C:$C,"รายจ่าย",Transaction!$D:$D,$B105,Transaction!$B:$B,"&gt;="&amp;DATE($P$3,MATCH(L$80,Setup!$J$6:$J$17,0),1),Transaction!$B:$B,"&lt;"&amp;DATE($P$3,MATCH(L$80,Setup!$J$6:$J$17,0)+1,1)))</f>
        <v/>
      </c>
      <c r="M105" s="78">
        <f>IF($B105="","",SUMIFS(Transaction!$E:$E,Transaction!$C:$C,"รายจ่าย",Transaction!$D:$D,$B105,Transaction!$B:$B,"&gt;="&amp;DATE($P$3,MATCH(M$80,Setup!$J$6:$J$17,0),1),Transaction!$B:$B,"&lt;"&amp;DATE($P$3,MATCH(M$80,Setup!$J$6:$J$17,0)+1,1)))</f>
        <v/>
      </c>
      <c r="N105" s="78">
        <f>IF($B105="","",SUMIFS(Transaction!$E:$E,Transaction!$C:$C,"รายจ่าย",Transaction!$D:$D,$B105,Transaction!$B:$B,"&gt;="&amp;DATE($P$3,MATCH(N$80,Setup!$J$6:$J$17,0),1),Transaction!$B:$B,"&lt;"&amp;DATE($P$3,MATCH(N$80,Setup!$J$6:$J$17,0)+1,1)))</f>
        <v/>
      </c>
      <c r="O105" s="55">
        <f>IF($B105="","",SUM(C105:N105))</f>
        <v/>
      </c>
      <c r="P105" s="79">
        <f>IF(OR($B105="",N($O$106)=0),"",O105/$O$106)</f>
        <v/>
      </c>
      <c r="Q105" s="83">
        <f>IF(OR($B105="",N(O105)&lt;=0),"",COUNTIF($O$81:$O$105,"&gt;"&amp;O105)+COUNTIF($O$81:O105,O105))</f>
        <v/>
      </c>
    </row>
    <row r="106">
      <c r="B106" s="68" t="inlineStr">
        <is>
          <t>รวมรายจ่าย</t>
        </is>
      </c>
      <c r="C106" s="84">
        <f>SUM(C81:C105)</f>
        <v/>
      </c>
      <c r="D106" s="84">
        <f>SUM(D81:D105)</f>
        <v/>
      </c>
      <c r="E106" s="84">
        <f>SUM(E81:E105)</f>
        <v/>
      </c>
      <c r="F106" s="84">
        <f>SUM(F81:F105)</f>
        <v/>
      </c>
      <c r="G106" s="84">
        <f>SUM(G81:G105)</f>
        <v/>
      </c>
      <c r="H106" s="84">
        <f>SUM(H81:H105)</f>
        <v/>
      </c>
      <c r="I106" s="84">
        <f>SUM(I81:I105)</f>
        <v/>
      </c>
      <c r="J106" s="84">
        <f>SUM(J81:J105)</f>
        <v/>
      </c>
      <c r="K106" s="84">
        <f>SUM(K81:K105)</f>
        <v/>
      </c>
      <c r="L106" s="84">
        <f>SUM(L81:L105)</f>
        <v/>
      </c>
      <c r="M106" s="84">
        <f>SUM(M81:M105)</f>
        <v/>
      </c>
      <c r="N106" s="84">
        <f>SUM(N81:N105)</f>
        <v/>
      </c>
      <c r="O106" s="69">
        <f>SUM(O81:O105)</f>
        <v/>
      </c>
      <c r="P106" s="70">
        <f>IF(N(O106)=0,"",1)</f>
        <v/>
      </c>
      <c r="Q106" s="71" t="n"/>
    </row>
    <row r="108" ht="24" customHeight="1">
      <c r="B108" s="85" t="inlineStr">
        <is>
          <t>🏦 เงินออม</t>
        </is>
      </c>
      <c r="C108" s="27" t="inlineStr">
        <is>
          <t>ม.ค.</t>
        </is>
      </c>
      <c r="D108" s="27" t="inlineStr">
        <is>
          <t>ก.พ.</t>
        </is>
      </c>
      <c r="E108" s="27" t="inlineStr">
        <is>
          <t>มี.ค.</t>
        </is>
      </c>
      <c r="F108" s="27" t="inlineStr">
        <is>
          <t>เม.ย.</t>
        </is>
      </c>
      <c r="G108" s="27" t="inlineStr">
        <is>
          <t>พ.ค.</t>
        </is>
      </c>
      <c r="H108" s="27" t="inlineStr">
        <is>
          <t>มิ.ย.</t>
        </is>
      </c>
      <c r="I108" s="27" t="inlineStr">
        <is>
          <t>ก.ค.</t>
        </is>
      </c>
      <c r="J108" s="27" t="inlineStr">
        <is>
          <t>ส.ค.</t>
        </is>
      </c>
      <c r="K108" s="27" t="inlineStr">
        <is>
          <t>ก.ย.</t>
        </is>
      </c>
      <c r="L108" s="27" t="inlineStr">
        <is>
          <t>ต.ค.</t>
        </is>
      </c>
      <c r="M108" s="27" t="inlineStr">
        <is>
          <t>พ.ย.</t>
        </is>
      </c>
      <c r="N108" s="27" t="inlineStr">
        <is>
          <t>ธ.ค.</t>
        </is>
      </c>
      <c r="O108" s="27" t="inlineStr">
        <is>
          <t>รวมทั้งปี</t>
        </is>
      </c>
      <c r="P108" s="27" t="inlineStr">
        <is>
          <t>%</t>
        </is>
      </c>
      <c r="Q108" s="27" t="inlineStr">
        <is>
          <t>อันดับ</t>
        </is>
      </c>
    </row>
    <row r="109">
      <c r="B109" s="60">
        <f>IF(Setup!$F$6="","",Setup!$F$6)</f>
        <v/>
      </c>
      <c r="C109" s="78">
        <f>IF($B109="","",SUMIFS(Transaction!$E:$E,Transaction!$C:$C,"เงินออม",Transaction!$D:$D,$B109,Transaction!$B:$B,"&gt;="&amp;DATE($P$3,MATCH(C$108,Setup!$J$6:$J$17,0),1),Transaction!$B:$B,"&lt;"&amp;DATE($P$3,MATCH(C$108,Setup!$J$6:$J$17,0)+1,1)))</f>
        <v/>
      </c>
      <c r="D109" s="78">
        <f>IF($B109="","",SUMIFS(Transaction!$E:$E,Transaction!$C:$C,"เงินออม",Transaction!$D:$D,$B109,Transaction!$B:$B,"&gt;="&amp;DATE($P$3,MATCH(D$108,Setup!$J$6:$J$17,0),1),Transaction!$B:$B,"&lt;"&amp;DATE($P$3,MATCH(D$108,Setup!$J$6:$J$17,0)+1,1)))</f>
        <v/>
      </c>
      <c r="E109" s="78">
        <f>IF($B109="","",SUMIFS(Transaction!$E:$E,Transaction!$C:$C,"เงินออม",Transaction!$D:$D,$B109,Transaction!$B:$B,"&gt;="&amp;DATE($P$3,MATCH(E$108,Setup!$J$6:$J$17,0),1),Transaction!$B:$B,"&lt;"&amp;DATE($P$3,MATCH(E$108,Setup!$J$6:$J$17,0)+1,1)))</f>
        <v/>
      </c>
      <c r="F109" s="78">
        <f>IF($B109="","",SUMIFS(Transaction!$E:$E,Transaction!$C:$C,"เงินออม",Transaction!$D:$D,$B109,Transaction!$B:$B,"&gt;="&amp;DATE($P$3,MATCH(F$108,Setup!$J$6:$J$17,0),1),Transaction!$B:$B,"&lt;"&amp;DATE($P$3,MATCH(F$108,Setup!$J$6:$J$17,0)+1,1)))</f>
        <v/>
      </c>
      <c r="G109" s="78">
        <f>IF($B109="","",SUMIFS(Transaction!$E:$E,Transaction!$C:$C,"เงินออม",Transaction!$D:$D,$B109,Transaction!$B:$B,"&gt;="&amp;DATE($P$3,MATCH(G$108,Setup!$J$6:$J$17,0),1),Transaction!$B:$B,"&lt;"&amp;DATE($P$3,MATCH(G$108,Setup!$J$6:$J$17,0)+1,1)))</f>
        <v/>
      </c>
      <c r="H109" s="78">
        <f>IF($B109="","",SUMIFS(Transaction!$E:$E,Transaction!$C:$C,"เงินออม",Transaction!$D:$D,$B109,Transaction!$B:$B,"&gt;="&amp;DATE($P$3,MATCH(H$108,Setup!$J$6:$J$17,0),1),Transaction!$B:$B,"&lt;"&amp;DATE($P$3,MATCH(H$108,Setup!$J$6:$J$17,0)+1,1)))</f>
        <v/>
      </c>
      <c r="I109" s="78">
        <f>IF($B109="","",SUMIFS(Transaction!$E:$E,Transaction!$C:$C,"เงินออม",Transaction!$D:$D,$B109,Transaction!$B:$B,"&gt;="&amp;DATE($P$3,MATCH(I$108,Setup!$J$6:$J$17,0),1),Transaction!$B:$B,"&lt;"&amp;DATE($P$3,MATCH(I$108,Setup!$J$6:$J$17,0)+1,1)))</f>
        <v/>
      </c>
      <c r="J109" s="78">
        <f>IF($B109="","",SUMIFS(Transaction!$E:$E,Transaction!$C:$C,"เงินออม",Transaction!$D:$D,$B109,Transaction!$B:$B,"&gt;="&amp;DATE($P$3,MATCH(J$108,Setup!$J$6:$J$17,0),1),Transaction!$B:$B,"&lt;"&amp;DATE($P$3,MATCH(J$108,Setup!$J$6:$J$17,0)+1,1)))</f>
        <v/>
      </c>
      <c r="K109" s="78">
        <f>IF($B109="","",SUMIFS(Transaction!$E:$E,Transaction!$C:$C,"เงินออม",Transaction!$D:$D,$B109,Transaction!$B:$B,"&gt;="&amp;DATE($P$3,MATCH(K$108,Setup!$J$6:$J$17,0),1),Transaction!$B:$B,"&lt;"&amp;DATE($P$3,MATCH(K$108,Setup!$J$6:$J$17,0)+1,1)))</f>
        <v/>
      </c>
      <c r="L109" s="78">
        <f>IF($B109="","",SUMIFS(Transaction!$E:$E,Transaction!$C:$C,"เงินออม",Transaction!$D:$D,$B109,Transaction!$B:$B,"&gt;="&amp;DATE($P$3,MATCH(L$108,Setup!$J$6:$J$17,0),1),Transaction!$B:$B,"&lt;"&amp;DATE($P$3,MATCH(L$108,Setup!$J$6:$J$17,0)+1,1)))</f>
        <v/>
      </c>
      <c r="M109" s="78">
        <f>IF($B109="","",SUMIFS(Transaction!$E:$E,Transaction!$C:$C,"เงินออม",Transaction!$D:$D,$B109,Transaction!$B:$B,"&gt;="&amp;DATE($P$3,MATCH(M$108,Setup!$J$6:$J$17,0),1),Transaction!$B:$B,"&lt;"&amp;DATE($P$3,MATCH(M$108,Setup!$J$6:$J$17,0)+1,1)))</f>
        <v/>
      </c>
      <c r="N109" s="78">
        <f>IF($B109="","",SUMIFS(Transaction!$E:$E,Transaction!$C:$C,"เงินออม",Transaction!$D:$D,$B109,Transaction!$B:$B,"&gt;="&amp;DATE($P$3,MATCH(N$108,Setup!$J$6:$J$17,0),1),Transaction!$B:$B,"&lt;"&amp;DATE($P$3,MATCH(N$108,Setup!$J$6:$J$17,0)+1,1)))</f>
        <v/>
      </c>
      <c r="O109" s="55">
        <f>IF($B109="","",SUM(C109:N109))</f>
        <v/>
      </c>
      <c r="P109" s="79">
        <f>IF(OR($B109="",N($O$124)=0),"",O109/$O$124)</f>
        <v/>
      </c>
      <c r="Q109" s="86">
        <f>IF(OR($B109="",N(O109)&lt;=0),"",COUNTIF($O$109:$O$123,"&gt;"&amp;O109)+COUNTIF($O$109:O109,O109))</f>
        <v/>
      </c>
    </row>
    <row r="110">
      <c r="B110" s="60">
        <f>IF(Setup!$F$7="","",Setup!$F$7)</f>
        <v/>
      </c>
      <c r="C110" s="78">
        <f>IF($B110="","",SUMIFS(Transaction!$E:$E,Transaction!$C:$C,"เงินออม",Transaction!$D:$D,$B110,Transaction!$B:$B,"&gt;="&amp;DATE($P$3,MATCH(C$108,Setup!$J$6:$J$17,0),1),Transaction!$B:$B,"&lt;"&amp;DATE($P$3,MATCH(C$108,Setup!$J$6:$J$17,0)+1,1)))</f>
        <v/>
      </c>
      <c r="D110" s="78">
        <f>IF($B110="","",SUMIFS(Transaction!$E:$E,Transaction!$C:$C,"เงินออม",Transaction!$D:$D,$B110,Transaction!$B:$B,"&gt;="&amp;DATE($P$3,MATCH(D$108,Setup!$J$6:$J$17,0),1),Transaction!$B:$B,"&lt;"&amp;DATE($P$3,MATCH(D$108,Setup!$J$6:$J$17,0)+1,1)))</f>
        <v/>
      </c>
      <c r="E110" s="78">
        <f>IF($B110="","",SUMIFS(Transaction!$E:$E,Transaction!$C:$C,"เงินออม",Transaction!$D:$D,$B110,Transaction!$B:$B,"&gt;="&amp;DATE($P$3,MATCH(E$108,Setup!$J$6:$J$17,0),1),Transaction!$B:$B,"&lt;"&amp;DATE($P$3,MATCH(E$108,Setup!$J$6:$J$17,0)+1,1)))</f>
        <v/>
      </c>
      <c r="F110" s="78">
        <f>IF($B110="","",SUMIFS(Transaction!$E:$E,Transaction!$C:$C,"เงินออม",Transaction!$D:$D,$B110,Transaction!$B:$B,"&gt;="&amp;DATE($P$3,MATCH(F$108,Setup!$J$6:$J$17,0),1),Transaction!$B:$B,"&lt;"&amp;DATE($P$3,MATCH(F$108,Setup!$J$6:$J$17,0)+1,1)))</f>
        <v/>
      </c>
      <c r="G110" s="78">
        <f>IF($B110="","",SUMIFS(Transaction!$E:$E,Transaction!$C:$C,"เงินออม",Transaction!$D:$D,$B110,Transaction!$B:$B,"&gt;="&amp;DATE($P$3,MATCH(G$108,Setup!$J$6:$J$17,0),1),Transaction!$B:$B,"&lt;"&amp;DATE($P$3,MATCH(G$108,Setup!$J$6:$J$17,0)+1,1)))</f>
        <v/>
      </c>
      <c r="H110" s="78">
        <f>IF($B110="","",SUMIFS(Transaction!$E:$E,Transaction!$C:$C,"เงินออม",Transaction!$D:$D,$B110,Transaction!$B:$B,"&gt;="&amp;DATE($P$3,MATCH(H$108,Setup!$J$6:$J$17,0),1),Transaction!$B:$B,"&lt;"&amp;DATE($P$3,MATCH(H$108,Setup!$J$6:$J$17,0)+1,1)))</f>
        <v/>
      </c>
      <c r="I110" s="78">
        <f>IF($B110="","",SUMIFS(Transaction!$E:$E,Transaction!$C:$C,"เงินออม",Transaction!$D:$D,$B110,Transaction!$B:$B,"&gt;="&amp;DATE($P$3,MATCH(I$108,Setup!$J$6:$J$17,0),1),Transaction!$B:$B,"&lt;"&amp;DATE($P$3,MATCH(I$108,Setup!$J$6:$J$17,0)+1,1)))</f>
        <v/>
      </c>
      <c r="J110" s="78">
        <f>IF($B110="","",SUMIFS(Transaction!$E:$E,Transaction!$C:$C,"เงินออม",Transaction!$D:$D,$B110,Transaction!$B:$B,"&gt;="&amp;DATE($P$3,MATCH(J$108,Setup!$J$6:$J$17,0),1),Transaction!$B:$B,"&lt;"&amp;DATE($P$3,MATCH(J$108,Setup!$J$6:$J$17,0)+1,1)))</f>
        <v/>
      </c>
      <c r="K110" s="78">
        <f>IF($B110="","",SUMIFS(Transaction!$E:$E,Transaction!$C:$C,"เงินออม",Transaction!$D:$D,$B110,Transaction!$B:$B,"&gt;="&amp;DATE($P$3,MATCH(K$108,Setup!$J$6:$J$17,0),1),Transaction!$B:$B,"&lt;"&amp;DATE($P$3,MATCH(K$108,Setup!$J$6:$J$17,0)+1,1)))</f>
        <v/>
      </c>
      <c r="L110" s="78">
        <f>IF($B110="","",SUMIFS(Transaction!$E:$E,Transaction!$C:$C,"เงินออม",Transaction!$D:$D,$B110,Transaction!$B:$B,"&gt;="&amp;DATE($P$3,MATCH(L$108,Setup!$J$6:$J$17,0),1),Transaction!$B:$B,"&lt;"&amp;DATE($P$3,MATCH(L$108,Setup!$J$6:$J$17,0)+1,1)))</f>
        <v/>
      </c>
      <c r="M110" s="78">
        <f>IF($B110="","",SUMIFS(Transaction!$E:$E,Transaction!$C:$C,"เงินออม",Transaction!$D:$D,$B110,Transaction!$B:$B,"&gt;="&amp;DATE($P$3,MATCH(M$108,Setup!$J$6:$J$17,0),1),Transaction!$B:$B,"&lt;"&amp;DATE($P$3,MATCH(M$108,Setup!$J$6:$J$17,0)+1,1)))</f>
        <v/>
      </c>
      <c r="N110" s="78">
        <f>IF($B110="","",SUMIFS(Transaction!$E:$E,Transaction!$C:$C,"เงินออม",Transaction!$D:$D,$B110,Transaction!$B:$B,"&gt;="&amp;DATE($P$3,MATCH(N$108,Setup!$J$6:$J$17,0),1),Transaction!$B:$B,"&lt;"&amp;DATE($P$3,MATCH(N$108,Setup!$J$6:$J$17,0)+1,1)))</f>
        <v/>
      </c>
      <c r="O110" s="55">
        <f>IF($B110="","",SUM(C110:N110))</f>
        <v/>
      </c>
      <c r="P110" s="79">
        <f>IF(OR($B110="",N($O$124)=0),"",O110/$O$124)</f>
        <v/>
      </c>
      <c r="Q110" s="86">
        <f>IF(OR($B110="",N(O110)&lt;=0),"",COUNTIF($O$109:$O$123,"&gt;"&amp;O110)+COUNTIF($O$109:O110,O110))</f>
        <v/>
      </c>
    </row>
    <row r="111">
      <c r="B111" s="60">
        <f>IF(Setup!$F$8="","",Setup!$F$8)</f>
        <v/>
      </c>
      <c r="C111" s="78">
        <f>IF($B111="","",SUMIFS(Transaction!$E:$E,Transaction!$C:$C,"เงินออม",Transaction!$D:$D,$B111,Transaction!$B:$B,"&gt;="&amp;DATE($P$3,MATCH(C$108,Setup!$J$6:$J$17,0),1),Transaction!$B:$B,"&lt;"&amp;DATE($P$3,MATCH(C$108,Setup!$J$6:$J$17,0)+1,1)))</f>
        <v/>
      </c>
      <c r="D111" s="78">
        <f>IF($B111="","",SUMIFS(Transaction!$E:$E,Transaction!$C:$C,"เงินออม",Transaction!$D:$D,$B111,Transaction!$B:$B,"&gt;="&amp;DATE($P$3,MATCH(D$108,Setup!$J$6:$J$17,0),1),Transaction!$B:$B,"&lt;"&amp;DATE($P$3,MATCH(D$108,Setup!$J$6:$J$17,0)+1,1)))</f>
        <v/>
      </c>
      <c r="E111" s="78">
        <f>IF($B111="","",SUMIFS(Transaction!$E:$E,Transaction!$C:$C,"เงินออม",Transaction!$D:$D,$B111,Transaction!$B:$B,"&gt;="&amp;DATE($P$3,MATCH(E$108,Setup!$J$6:$J$17,0),1),Transaction!$B:$B,"&lt;"&amp;DATE($P$3,MATCH(E$108,Setup!$J$6:$J$17,0)+1,1)))</f>
        <v/>
      </c>
      <c r="F111" s="78">
        <f>IF($B111="","",SUMIFS(Transaction!$E:$E,Transaction!$C:$C,"เงินออม",Transaction!$D:$D,$B111,Transaction!$B:$B,"&gt;="&amp;DATE($P$3,MATCH(F$108,Setup!$J$6:$J$17,0),1),Transaction!$B:$B,"&lt;"&amp;DATE($P$3,MATCH(F$108,Setup!$J$6:$J$17,0)+1,1)))</f>
        <v/>
      </c>
      <c r="G111" s="78">
        <f>IF($B111="","",SUMIFS(Transaction!$E:$E,Transaction!$C:$C,"เงินออม",Transaction!$D:$D,$B111,Transaction!$B:$B,"&gt;="&amp;DATE($P$3,MATCH(G$108,Setup!$J$6:$J$17,0),1),Transaction!$B:$B,"&lt;"&amp;DATE($P$3,MATCH(G$108,Setup!$J$6:$J$17,0)+1,1)))</f>
        <v/>
      </c>
      <c r="H111" s="78">
        <f>IF($B111="","",SUMIFS(Transaction!$E:$E,Transaction!$C:$C,"เงินออม",Transaction!$D:$D,$B111,Transaction!$B:$B,"&gt;="&amp;DATE($P$3,MATCH(H$108,Setup!$J$6:$J$17,0),1),Transaction!$B:$B,"&lt;"&amp;DATE($P$3,MATCH(H$108,Setup!$J$6:$J$17,0)+1,1)))</f>
        <v/>
      </c>
      <c r="I111" s="78">
        <f>IF($B111="","",SUMIFS(Transaction!$E:$E,Transaction!$C:$C,"เงินออม",Transaction!$D:$D,$B111,Transaction!$B:$B,"&gt;="&amp;DATE($P$3,MATCH(I$108,Setup!$J$6:$J$17,0),1),Transaction!$B:$B,"&lt;"&amp;DATE($P$3,MATCH(I$108,Setup!$J$6:$J$17,0)+1,1)))</f>
        <v/>
      </c>
      <c r="J111" s="78">
        <f>IF($B111="","",SUMIFS(Transaction!$E:$E,Transaction!$C:$C,"เงินออม",Transaction!$D:$D,$B111,Transaction!$B:$B,"&gt;="&amp;DATE($P$3,MATCH(J$108,Setup!$J$6:$J$17,0),1),Transaction!$B:$B,"&lt;"&amp;DATE($P$3,MATCH(J$108,Setup!$J$6:$J$17,0)+1,1)))</f>
        <v/>
      </c>
      <c r="K111" s="78">
        <f>IF($B111="","",SUMIFS(Transaction!$E:$E,Transaction!$C:$C,"เงินออม",Transaction!$D:$D,$B111,Transaction!$B:$B,"&gt;="&amp;DATE($P$3,MATCH(K$108,Setup!$J$6:$J$17,0),1),Transaction!$B:$B,"&lt;"&amp;DATE($P$3,MATCH(K$108,Setup!$J$6:$J$17,0)+1,1)))</f>
        <v/>
      </c>
      <c r="L111" s="78">
        <f>IF($B111="","",SUMIFS(Transaction!$E:$E,Transaction!$C:$C,"เงินออม",Transaction!$D:$D,$B111,Transaction!$B:$B,"&gt;="&amp;DATE($P$3,MATCH(L$108,Setup!$J$6:$J$17,0),1),Transaction!$B:$B,"&lt;"&amp;DATE($P$3,MATCH(L$108,Setup!$J$6:$J$17,0)+1,1)))</f>
        <v/>
      </c>
      <c r="M111" s="78">
        <f>IF($B111="","",SUMIFS(Transaction!$E:$E,Transaction!$C:$C,"เงินออม",Transaction!$D:$D,$B111,Transaction!$B:$B,"&gt;="&amp;DATE($P$3,MATCH(M$108,Setup!$J$6:$J$17,0),1),Transaction!$B:$B,"&lt;"&amp;DATE($P$3,MATCH(M$108,Setup!$J$6:$J$17,0)+1,1)))</f>
        <v/>
      </c>
      <c r="N111" s="78">
        <f>IF($B111="","",SUMIFS(Transaction!$E:$E,Transaction!$C:$C,"เงินออม",Transaction!$D:$D,$B111,Transaction!$B:$B,"&gt;="&amp;DATE($P$3,MATCH(N$108,Setup!$J$6:$J$17,0),1),Transaction!$B:$B,"&lt;"&amp;DATE($P$3,MATCH(N$108,Setup!$J$6:$J$17,0)+1,1)))</f>
        <v/>
      </c>
      <c r="O111" s="55">
        <f>IF($B111="","",SUM(C111:N111))</f>
        <v/>
      </c>
      <c r="P111" s="79">
        <f>IF(OR($B111="",N($O$124)=0),"",O111/$O$124)</f>
        <v/>
      </c>
      <c r="Q111" s="86">
        <f>IF(OR($B111="",N(O111)&lt;=0),"",COUNTIF($O$109:$O$123,"&gt;"&amp;O111)+COUNTIF($O$109:O111,O111))</f>
        <v/>
      </c>
    </row>
    <row r="112">
      <c r="B112" s="60">
        <f>IF(Setup!$F$9="","",Setup!$F$9)</f>
        <v/>
      </c>
      <c r="C112" s="78">
        <f>IF($B112="","",SUMIFS(Transaction!$E:$E,Transaction!$C:$C,"เงินออม",Transaction!$D:$D,$B112,Transaction!$B:$B,"&gt;="&amp;DATE($P$3,MATCH(C$108,Setup!$J$6:$J$17,0),1),Transaction!$B:$B,"&lt;"&amp;DATE($P$3,MATCH(C$108,Setup!$J$6:$J$17,0)+1,1)))</f>
        <v/>
      </c>
      <c r="D112" s="78">
        <f>IF($B112="","",SUMIFS(Transaction!$E:$E,Transaction!$C:$C,"เงินออม",Transaction!$D:$D,$B112,Transaction!$B:$B,"&gt;="&amp;DATE($P$3,MATCH(D$108,Setup!$J$6:$J$17,0),1),Transaction!$B:$B,"&lt;"&amp;DATE($P$3,MATCH(D$108,Setup!$J$6:$J$17,0)+1,1)))</f>
        <v/>
      </c>
      <c r="E112" s="78">
        <f>IF($B112="","",SUMIFS(Transaction!$E:$E,Transaction!$C:$C,"เงินออม",Transaction!$D:$D,$B112,Transaction!$B:$B,"&gt;="&amp;DATE($P$3,MATCH(E$108,Setup!$J$6:$J$17,0),1),Transaction!$B:$B,"&lt;"&amp;DATE($P$3,MATCH(E$108,Setup!$J$6:$J$17,0)+1,1)))</f>
        <v/>
      </c>
      <c r="F112" s="78">
        <f>IF($B112="","",SUMIFS(Transaction!$E:$E,Transaction!$C:$C,"เงินออม",Transaction!$D:$D,$B112,Transaction!$B:$B,"&gt;="&amp;DATE($P$3,MATCH(F$108,Setup!$J$6:$J$17,0),1),Transaction!$B:$B,"&lt;"&amp;DATE($P$3,MATCH(F$108,Setup!$J$6:$J$17,0)+1,1)))</f>
        <v/>
      </c>
      <c r="G112" s="78">
        <f>IF($B112="","",SUMIFS(Transaction!$E:$E,Transaction!$C:$C,"เงินออม",Transaction!$D:$D,$B112,Transaction!$B:$B,"&gt;="&amp;DATE($P$3,MATCH(G$108,Setup!$J$6:$J$17,0),1),Transaction!$B:$B,"&lt;"&amp;DATE($P$3,MATCH(G$108,Setup!$J$6:$J$17,0)+1,1)))</f>
        <v/>
      </c>
      <c r="H112" s="78">
        <f>IF($B112="","",SUMIFS(Transaction!$E:$E,Transaction!$C:$C,"เงินออม",Transaction!$D:$D,$B112,Transaction!$B:$B,"&gt;="&amp;DATE($P$3,MATCH(H$108,Setup!$J$6:$J$17,0),1),Transaction!$B:$B,"&lt;"&amp;DATE($P$3,MATCH(H$108,Setup!$J$6:$J$17,0)+1,1)))</f>
        <v/>
      </c>
      <c r="I112" s="78">
        <f>IF($B112="","",SUMIFS(Transaction!$E:$E,Transaction!$C:$C,"เงินออม",Transaction!$D:$D,$B112,Transaction!$B:$B,"&gt;="&amp;DATE($P$3,MATCH(I$108,Setup!$J$6:$J$17,0),1),Transaction!$B:$B,"&lt;"&amp;DATE($P$3,MATCH(I$108,Setup!$J$6:$J$17,0)+1,1)))</f>
        <v/>
      </c>
      <c r="J112" s="78">
        <f>IF($B112="","",SUMIFS(Transaction!$E:$E,Transaction!$C:$C,"เงินออม",Transaction!$D:$D,$B112,Transaction!$B:$B,"&gt;="&amp;DATE($P$3,MATCH(J$108,Setup!$J$6:$J$17,0),1),Transaction!$B:$B,"&lt;"&amp;DATE($P$3,MATCH(J$108,Setup!$J$6:$J$17,0)+1,1)))</f>
        <v/>
      </c>
      <c r="K112" s="78">
        <f>IF($B112="","",SUMIFS(Transaction!$E:$E,Transaction!$C:$C,"เงินออม",Transaction!$D:$D,$B112,Transaction!$B:$B,"&gt;="&amp;DATE($P$3,MATCH(K$108,Setup!$J$6:$J$17,0),1),Transaction!$B:$B,"&lt;"&amp;DATE($P$3,MATCH(K$108,Setup!$J$6:$J$17,0)+1,1)))</f>
        <v/>
      </c>
      <c r="L112" s="78">
        <f>IF($B112="","",SUMIFS(Transaction!$E:$E,Transaction!$C:$C,"เงินออม",Transaction!$D:$D,$B112,Transaction!$B:$B,"&gt;="&amp;DATE($P$3,MATCH(L$108,Setup!$J$6:$J$17,0),1),Transaction!$B:$B,"&lt;"&amp;DATE($P$3,MATCH(L$108,Setup!$J$6:$J$17,0)+1,1)))</f>
        <v/>
      </c>
      <c r="M112" s="78">
        <f>IF($B112="","",SUMIFS(Transaction!$E:$E,Transaction!$C:$C,"เงินออม",Transaction!$D:$D,$B112,Transaction!$B:$B,"&gt;="&amp;DATE($P$3,MATCH(M$108,Setup!$J$6:$J$17,0),1),Transaction!$B:$B,"&lt;"&amp;DATE($P$3,MATCH(M$108,Setup!$J$6:$J$17,0)+1,1)))</f>
        <v/>
      </c>
      <c r="N112" s="78">
        <f>IF($B112="","",SUMIFS(Transaction!$E:$E,Transaction!$C:$C,"เงินออม",Transaction!$D:$D,$B112,Transaction!$B:$B,"&gt;="&amp;DATE($P$3,MATCH(N$108,Setup!$J$6:$J$17,0),1),Transaction!$B:$B,"&lt;"&amp;DATE($P$3,MATCH(N$108,Setup!$J$6:$J$17,0)+1,1)))</f>
        <v/>
      </c>
      <c r="O112" s="55">
        <f>IF($B112="","",SUM(C112:N112))</f>
        <v/>
      </c>
      <c r="P112" s="79">
        <f>IF(OR($B112="",N($O$124)=0),"",O112/$O$124)</f>
        <v/>
      </c>
      <c r="Q112" s="86">
        <f>IF(OR($B112="",N(O112)&lt;=0),"",COUNTIF($O$109:$O$123,"&gt;"&amp;O112)+COUNTIF($O$109:O112,O112))</f>
        <v/>
      </c>
    </row>
    <row r="113">
      <c r="B113" s="60">
        <f>IF(Setup!$F$10="","",Setup!$F$10)</f>
        <v/>
      </c>
      <c r="C113" s="78">
        <f>IF($B113="","",SUMIFS(Transaction!$E:$E,Transaction!$C:$C,"เงินออม",Transaction!$D:$D,$B113,Transaction!$B:$B,"&gt;="&amp;DATE($P$3,MATCH(C$108,Setup!$J$6:$J$17,0),1),Transaction!$B:$B,"&lt;"&amp;DATE($P$3,MATCH(C$108,Setup!$J$6:$J$17,0)+1,1)))</f>
        <v/>
      </c>
      <c r="D113" s="78">
        <f>IF($B113="","",SUMIFS(Transaction!$E:$E,Transaction!$C:$C,"เงินออม",Transaction!$D:$D,$B113,Transaction!$B:$B,"&gt;="&amp;DATE($P$3,MATCH(D$108,Setup!$J$6:$J$17,0),1),Transaction!$B:$B,"&lt;"&amp;DATE($P$3,MATCH(D$108,Setup!$J$6:$J$17,0)+1,1)))</f>
        <v/>
      </c>
      <c r="E113" s="78">
        <f>IF($B113="","",SUMIFS(Transaction!$E:$E,Transaction!$C:$C,"เงินออม",Transaction!$D:$D,$B113,Transaction!$B:$B,"&gt;="&amp;DATE($P$3,MATCH(E$108,Setup!$J$6:$J$17,0),1),Transaction!$B:$B,"&lt;"&amp;DATE($P$3,MATCH(E$108,Setup!$J$6:$J$17,0)+1,1)))</f>
        <v/>
      </c>
      <c r="F113" s="78">
        <f>IF($B113="","",SUMIFS(Transaction!$E:$E,Transaction!$C:$C,"เงินออม",Transaction!$D:$D,$B113,Transaction!$B:$B,"&gt;="&amp;DATE($P$3,MATCH(F$108,Setup!$J$6:$J$17,0),1),Transaction!$B:$B,"&lt;"&amp;DATE($P$3,MATCH(F$108,Setup!$J$6:$J$17,0)+1,1)))</f>
        <v/>
      </c>
      <c r="G113" s="78">
        <f>IF($B113="","",SUMIFS(Transaction!$E:$E,Transaction!$C:$C,"เงินออม",Transaction!$D:$D,$B113,Transaction!$B:$B,"&gt;="&amp;DATE($P$3,MATCH(G$108,Setup!$J$6:$J$17,0),1),Transaction!$B:$B,"&lt;"&amp;DATE($P$3,MATCH(G$108,Setup!$J$6:$J$17,0)+1,1)))</f>
        <v/>
      </c>
      <c r="H113" s="78">
        <f>IF($B113="","",SUMIFS(Transaction!$E:$E,Transaction!$C:$C,"เงินออม",Transaction!$D:$D,$B113,Transaction!$B:$B,"&gt;="&amp;DATE($P$3,MATCH(H$108,Setup!$J$6:$J$17,0),1),Transaction!$B:$B,"&lt;"&amp;DATE($P$3,MATCH(H$108,Setup!$J$6:$J$17,0)+1,1)))</f>
        <v/>
      </c>
      <c r="I113" s="78">
        <f>IF($B113="","",SUMIFS(Transaction!$E:$E,Transaction!$C:$C,"เงินออม",Transaction!$D:$D,$B113,Transaction!$B:$B,"&gt;="&amp;DATE($P$3,MATCH(I$108,Setup!$J$6:$J$17,0),1),Transaction!$B:$B,"&lt;"&amp;DATE($P$3,MATCH(I$108,Setup!$J$6:$J$17,0)+1,1)))</f>
        <v/>
      </c>
      <c r="J113" s="78">
        <f>IF($B113="","",SUMIFS(Transaction!$E:$E,Transaction!$C:$C,"เงินออม",Transaction!$D:$D,$B113,Transaction!$B:$B,"&gt;="&amp;DATE($P$3,MATCH(J$108,Setup!$J$6:$J$17,0),1),Transaction!$B:$B,"&lt;"&amp;DATE($P$3,MATCH(J$108,Setup!$J$6:$J$17,0)+1,1)))</f>
        <v/>
      </c>
      <c r="K113" s="78">
        <f>IF($B113="","",SUMIFS(Transaction!$E:$E,Transaction!$C:$C,"เงินออม",Transaction!$D:$D,$B113,Transaction!$B:$B,"&gt;="&amp;DATE($P$3,MATCH(K$108,Setup!$J$6:$J$17,0),1),Transaction!$B:$B,"&lt;"&amp;DATE($P$3,MATCH(K$108,Setup!$J$6:$J$17,0)+1,1)))</f>
        <v/>
      </c>
      <c r="L113" s="78">
        <f>IF($B113="","",SUMIFS(Transaction!$E:$E,Transaction!$C:$C,"เงินออม",Transaction!$D:$D,$B113,Transaction!$B:$B,"&gt;="&amp;DATE($P$3,MATCH(L$108,Setup!$J$6:$J$17,0),1),Transaction!$B:$B,"&lt;"&amp;DATE($P$3,MATCH(L$108,Setup!$J$6:$J$17,0)+1,1)))</f>
        <v/>
      </c>
      <c r="M113" s="78">
        <f>IF($B113="","",SUMIFS(Transaction!$E:$E,Transaction!$C:$C,"เงินออม",Transaction!$D:$D,$B113,Transaction!$B:$B,"&gt;="&amp;DATE($P$3,MATCH(M$108,Setup!$J$6:$J$17,0),1),Transaction!$B:$B,"&lt;"&amp;DATE($P$3,MATCH(M$108,Setup!$J$6:$J$17,0)+1,1)))</f>
        <v/>
      </c>
      <c r="N113" s="78">
        <f>IF($B113="","",SUMIFS(Transaction!$E:$E,Transaction!$C:$C,"เงินออม",Transaction!$D:$D,$B113,Transaction!$B:$B,"&gt;="&amp;DATE($P$3,MATCH(N$108,Setup!$J$6:$J$17,0),1),Transaction!$B:$B,"&lt;"&amp;DATE($P$3,MATCH(N$108,Setup!$J$6:$J$17,0)+1,1)))</f>
        <v/>
      </c>
      <c r="O113" s="55">
        <f>IF($B113="","",SUM(C113:N113))</f>
        <v/>
      </c>
      <c r="P113" s="79">
        <f>IF(OR($B113="",N($O$124)=0),"",O113/$O$124)</f>
        <v/>
      </c>
      <c r="Q113" s="86">
        <f>IF(OR($B113="",N(O113)&lt;=0),"",COUNTIF($O$109:$O$123,"&gt;"&amp;O113)+COUNTIF($O$109:O113,O113))</f>
        <v/>
      </c>
    </row>
    <row r="114">
      <c r="B114" s="60">
        <f>IF(Setup!$F$11="","",Setup!$F$11)</f>
        <v/>
      </c>
      <c r="C114" s="78">
        <f>IF($B114="","",SUMIFS(Transaction!$E:$E,Transaction!$C:$C,"เงินออม",Transaction!$D:$D,$B114,Transaction!$B:$B,"&gt;="&amp;DATE($P$3,MATCH(C$108,Setup!$J$6:$J$17,0),1),Transaction!$B:$B,"&lt;"&amp;DATE($P$3,MATCH(C$108,Setup!$J$6:$J$17,0)+1,1)))</f>
        <v/>
      </c>
      <c r="D114" s="78">
        <f>IF($B114="","",SUMIFS(Transaction!$E:$E,Transaction!$C:$C,"เงินออม",Transaction!$D:$D,$B114,Transaction!$B:$B,"&gt;="&amp;DATE($P$3,MATCH(D$108,Setup!$J$6:$J$17,0),1),Transaction!$B:$B,"&lt;"&amp;DATE($P$3,MATCH(D$108,Setup!$J$6:$J$17,0)+1,1)))</f>
        <v/>
      </c>
      <c r="E114" s="78">
        <f>IF($B114="","",SUMIFS(Transaction!$E:$E,Transaction!$C:$C,"เงินออม",Transaction!$D:$D,$B114,Transaction!$B:$B,"&gt;="&amp;DATE($P$3,MATCH(E$108,Setup!$J$6:$J$17,0),1),Transaction!$B:$B,"&lt;"&amp;DATE($P$3,MATCH(E$108,Setup!$J$6:$J$17,0)+1,1)))</f>
        <v/>
      </c>
      <c r="F114" s="78">
        <f>IF($B114="","",SUMIFS(Transaction!$E:$E,Transaction!$C:$C,"เงินออม",Transaction!$D:$D,$B114,Transaction!$B:$B,"&gt;="&amp;DATE($P$3,MATCH(F$108,Setup!$J$6:$J$17,0),1),Transaction!$B:$B,"&lt;"&amp;DATE($P$3,MATCH(F$108,Setup!$J$6:$J$17,0)+1,1)))</f>
        <v/>
      </c>
      <c r="G114" s="78">
        <f>IF($B114="","",SUMIFS(Transaction!$E:$E,Transaction!$C:$C,"เงินออม",Transaction!$D:$D,$B114,Transaction!$B:$B,"&gt;="&amp;DATE($P$3,MATCH(G$108,Setup!$J$6:$J$17,0),1),Transaction!$B:$B,"&lt;"&amp;DATE($P$3,MATCH(G$108,Setup!$J$6:$J$17,0)+1,1)))</f>
        <v/>
      </c>
      <c r="H114" s="78">
        <f>IF($B114="","",SUMIFS(Transaction!$E:$E,Transaction!$C:$C,"เงินออม",Transaction!$D:$D,$B114,Transaction!$B:$B,"&gt;="&amp;DATE($P$3,MATCH(H$108,Setup!$J$6:$J$17,0),1),Transaction!$B:$B,"&lt;"&amp;DATE($P$3,MATCH(H$108,Setup!$J$6:$J$17,0)+1,1)))</f>
        <v/>
      </c>
      <c r="I114" s="78">
        <f>IF($B114="","",SUMIFS(Transaction!$E:$E,Transaction!$C:$C,"เงินออม",Transaction!$D:$D,$B114,Transaction!$B:$B,"&gt;="&amp;DATE($P$3,MATCH(I$108,Setup!$J$6:$J$17,0),1),Transaction!$B:$B,"&lt;"&amp;DATE($P$3,MATCH(I$108,Setup!$J$6:$J$17,0)+1,1)))</f>
        <v/>
      </c>
      <c r="J114" s="78">
        <f>IF($B114="","",SUMIFS(Transaction!$E:$E,Transaction!$C:$C,"เงินออม",Transaction!$D:$D,$B114,Transaction!$B:$B,"&gt;="&amp;DATE($P$3,MATCH(J$108,Setup!$J$6:$J$17,0),1),Transaction!$B:$B,"&lt;"&amp;DATE($P$3,MATCH(J$108,Setup!$J$6:$J$17,0)+1,1)))</f>
        <v/>
      </c>
      <c r="K114" s="78">
        <f>IF($B114="","",SUMIFS(Transaction!$E:$E,Transaction!$C:$C,"เงินออม",Transaction!$D:$D,$B114,Transaction!$B:$B,"&gt;="&amp;DATE($P$3,MATCH(K$108,Setup!$J$6:$J$17,0),1),Transaction!$B:$B,"&lt;"&amp;DATE($P$3,MATCH(K$108,Setup!$J$6:$J$17,0)+1,1)))</f>
        <v/>
      </c>
      <c r="L114" s="78">
        <f>IF($B114="","",SUMIFS(Transaction!$E:$E,Transaction!$C:$C,"เงินออม",Transaction!$D:$D,$B114,Transaction!$B:$B,"&gt;="&amp;DATE($P$3,MATCH(L$108,Setup!$J$6:$J$17,0),1),Transaction!$B:$B,"&lt;"&amp;DATE($P$3,MATCH(L$108,Setup!$J$6:$J$17,0)+1,1)))</f>
        <v/>
      </c>
      <c r="M114" s="78">
        <f>IF($B114="","",SUMIFS(Transaction!$E:$E,Transaction!$C:$C,"เงินออม",Transaction!$D:$D,$B114,Transaction!$B:$B,"&gt;="&amp;DATE($P$3,MATCH(M$108,Setup!$J$6:$J$17,0),1),Transaction!$B:$B,"&lt;"&amp;DATE($P$3,MATCH(M$108,Setup!$J$6:$J$17,0)+1,1)))</f>
        <v/>
      </c>
      <c r="N114" s="78">
        <f>IF($B114="","",SUMIFS(Transaction!$E:$E,Transaction!$C:$C,"เงินออม",Transaction!$D:$D,$B114,Transaction!$B:$B,"&gt;="&amp;DATE($P$3,MATCH(N$108,Setup!$J$6:$J$17,0),1),Transaction!$B:$B,"&lt;"&amp;DATE($P$3,MATCH(N$108,Setup!$J$6:$J$17,0)+1,1)))</f>
        <v/>
      </c>
      <c r="O114" s="55">
        <f>IF($B114="","",SUM(C114:N114))</f>
        <v/>
      </c>
      <c r="P114" s="79">
        <f>IF(OR($B114="",N($O$124)=0),"",O114/$O$124)</f>
        <v/>
      </c>
      <c r="Q114" s="86">
        <f>IF(OR($B114="",N(O114)&lt;=0),"",COUNTIF($O$109:$O$123,"&gt;"&amp;O114)+COUNTIF($O$109:O114,O114))</f>
        <v/>
      </c>
    </row>
    <row r="115">
      <c r="B115" s="60">
        <f>IF(Setup!$F$12="","",Setup!$F$12)</f>
        <v/>
      </c>
      <c r="C115" s="78">
        <f>IF($B115="","",SUMIFS(Transaction!$E:$E,Transaction!$C:$C,"เงินออม",Transaction!$D:$D,$B115,Transaction!$B:$B,"&gt;="&amp;DATE($P$3,MATCH(C$108,Setup!$J$6:$J$17,0),1),Transaction!$B:$B,"&lt;"&amp;DATE($P$3,MATCH(C$108,Setup!$J$6:$J$17,0)+1,1)))</f>
        <v/>
      </c>
      <c r="D115" s="78">
        <f>IF($B115="","",SUMIFS(Transaction!$E:$E,Transaction!$C:$C,"เงินออม",Transaction!$D:$D,$B115,Transaction!$B:$B,"&gt;="&amp;DATE($P$3,MATCH(D$108,Setup!$J$6:$J$17,0),1),Transaction!$B:$B,"&lt;"&amp;DATE($P$3,MATCH(D$108,Setup!$J$6:$J$17,0)+1,1)))</f>
        <v/>
      </c>
      <c r="E115" s="78">
        <f>IF($B115="","",SUMIFS(Transaction!$E:$E,Transaction!$C:$C,"เงินออม",Transaction!$D:$D,$B115,Transaction!$B:$B,"&gt;="&amp;DATE($P$3,MATCH(E$108,Setup!$J$6:$J$17,0),1),Transaction!$B:$B,"&lt;"&amp;DATE($P$3,MATCH(E$108,Setup!$J$6:$J$17,0)+1,1)))</f>
        <v/>
      </c>
      <c r="F115" s="78">
        <f>IF($B115="","",SUMIFS(Transaction!$E:$E,Transaction!$C:$C,"เงินออม",Transaction!$D:$D,$B115,Transaction!$B:$B,"&gt;="&amp;DATE($P$3,MATCH(F$108,Setup!$J$6:$J$17,0),1),Transaction!$B:$B,"&lt;"&amp;DATE($P$3,MATCH(F$108,Setup!$J$6:$J$17,0)+1,1)))</f>
        <v/>
      </c>
      <c r="G115" s="78">
        <f>IF($B115="","",SUMIFS(Transaction!$E:$E,Transaction!$C:$C,"เงินออม",Transaction!$D:$D,$B115,Transaction!$B:$B,"&gt;="&amp;DATE($P$3,MATCH(G$108,Setup!$J$6:$J$17,0),1),Transaction!$B:$B,"&lt;"&amp;DATE($P$3,MATCH(G$108,Setup!$J$6:$J$17,0)+1,1)))</f>
        <v/>
      </c>
      <c r="H115" s="78">
        <f>IF($B115="","",SUMIFS(Transaction!$E:$E,Transaction!$C:$C,"เงินออม",Transaction!$D:$D,$B115,Transaction!$B:$B,"&gt;="&amp;DATE($P$3,MATCH(H$108,Setup!$J$6:$J$17,0),1),Transaction!$B:$B,"&lt;"&amp;DATE($P$3,MATCH(H$108,Setup!$J$6:$J$17,0)+1,1)))</f>
        <v/>
      </c>
      <c r="I115" s="78">
        <f>IF($B115="","",SUMIFS(Transaction!$E:$E,Transaction!$C:$C,"เงินออม",Transaction!$D:$D,$B115,Transaction!$B:$B,"&gt;="&amp;DATE($P$3,MATCH(I$108,Setup!$J$6:$J$17,0),1),Transaction!$B:$B,"&lt;"&amp;DATE($P$3,MATCH(I$108,Setup!$J$6:$J$17,0)+1,1)))</f>
        <v/>
      </c>
      <c r="J115" s="78">
        <f>IF($B115="","",SUMIFS(Transaction!$E:$E,Transaction!$C:$C,"เงินออม",Transaction!$D:$D,$B115,Transaction!$B:$B,"&gt;="&amp;DATE($P$3,MATCH(J$108,Setup!$J$6:$J$17,0),1),Transaction!$B:$B,"&lt;"&amp;DATE($P$3,MATCH(J$108,Setup!$J$6:$J$17,0)+1,1)))</f>
        <v/>
      </c>
      <c r="K115" s="78">
        <f>IF($B115="","",SUMIFS(Transaction!$E:$E,Transaction!$C:$C,"เงินออม",Transaction!$D:$D,$B115,Transaction!$B:$B,"&gt;="&amp;DATE($P$3,MATCH(K$108,Setup!$J$6:$J$17,0),1),Transaction!$B:$B,"&lt;"&amp;DATE($P$3,MATCH(K$108,Setup!$J$6:$J$17,0)+1,1)))</f>
        <v/>
      </c>
      <c r="L115" s="78">
        <f>IF($B115="","",SUMIFS(Transaction!$E:$E,Transaction!$C:$C,"เงินออม",Transaction!$D:$D,$B115,Transaction!$B:$B,"&gt;="&amp;DATE($P$3,MATCH(L$108,Setup!$J$6:$J$17,0),1),Transaction!$B:$B,"&lt;"&amp;DATE($P$3,MATCH(L$108,Setup!$J$6:$J$17,0)+1,1)))</f>
        <v/>
      </c>
      <c r="M115" s="78">
        <f>IF($B115="","",SUMIFS(Transaction!$E:$E,Transaction!$C:$C,"เงินออม",Transaction!$D:$D,$B115,Transaction!$B:$B,"&gt;="&amp;DATE($P$3,MATCH(M$108,Setup!$J$6:$J$17,0),1),Transaction!$B:$B,"&lt;"&amp;DATE($P$3,MATCH(M$108,Setup!$J$6:$J$17,0)+1,1)))</f>
        <v/>
      </c>
      <c r="N115" s="78">
        <f>IF($B115="","",SUMIFS(Transaction!$E:$E,Transaction!$C:$C,"เงินออม",Transaction!$D:$D,$B115,Transaction!$B:$B,"&gt;="&amp;DATE($P$3,MATCH(N$108,Setup!$J$6:$J$17,0),1),Transaction!$B:$B,"&lt;"&amp;DATE($P$3,MATCH(N$108,Setup!$J$6:$J$17,0)+1,1)))</f>
        <v/>
      </c>
      <c r="O115" s="55">
        <f>IF($B115="","",SUM(C115:N115))</f>
        <v/>
      </c>
      <c r="P115" s="79">
        <f>IF(OR($B115="",N($O$124)=0),"",O115/$O$124)</f>
        <v/>
      </c>
      <c r="Q115" s="86">
        <f>IF(OR($B115="",N(O115)&lt;=0),"",COUNTIF($O$109:$O$123,"&gt;"&amp;O115)+COUNTIF($O$109:O115,O115))</f>
        <v/>
      </c>
    </row>
    <row r="116">
      <c r="B116" s="60">
        <f>IF(Setup!$F$13="","",Setup!$F$13)</f>
        <v/>
      </c>
      <c r="C116" s="78">
        <f>IF($B116="","",SUMIFS(Transaction!$E:$E,Transaction!$C:$C,"เงินออม",Transaction!$D:$D,$B116,Transaction!$B:$B,"&gt;="&amp;DATE($P$3,MATCH(C$108,Setup!$J$6:$J$17,0),1),Transaction!$B:$B,"&lt;"&amp;DATE($P$3,MATCH(C$108,Setup!$J$6:$J$17,0)+1,1)))</f>
        <v/>
      </c>
      <c r="D116" s="78">
        <f>IF($B116="","",SUMIFS(Transaction!$E:$E,Transaction!$C:$C,"เงินออม",Transaction!$D:$D,$B116,Transaction!$B:$B,"&gt;="&amp;DATE($P$3,MATCH(D$108,Setup!$J$6:$J$17,0),1),Transaction!$B:$B,"&lt;"&amp;DATE($P$3,MATCH(D$108,Setup!$J$6:$J$17,0)+1,1)))</f>
        <v/>
      </c>
      <c r="E116" s="78">
        <f>IF($B116="","",SUMIFS(Transaction!$E:$E,Transaction!$C:$C,"เงินออม",Transaction!$D:$D,$B116,Transaction!$B:$B,"&gt;="&amp;DATE($P$3,MATCH(E$108,Setup!$J$6:$J$17,0),1),Transaction!$B:$B,"&lt;"&amp;DATE($P$3,MATCH(E$108,Setup!$J$6:$J$17,0)+1,1)))</f>
        <v/>
      </c>
      <c r="F116" s="78">
        <f>IF($B116="","",SUMIFS(Transaction!$E:$E,Transaction!$C:$C,"เงินออม",Transaction!$D:$D,$B116,Transaction!$B:$B,"&gt;="&amp;DATE($P$3,MATCH(F$108,Setup!$J$6:$J$17,0),1),Transaction!$B:$B,"&lt;"&amp;DATE($P$3,MATCH(F$108,Setup!$J$6:$J$17,0)+1,1)))</f>
        <v/>
      </c>
      <c r="G116" s="78">
        <f>IF($B116="","",SUMIFS(Transaction!$E:$E,Transaction!$C:$C,"เงินออม",Transaction!$D:$D,$B116,Transaction!$B:$B,"&gt;="&amp;DATE($P$3,MATCH(G$108,Setup!$J$6:$J$17,0),1),Transaction!$B:$B,"&lt;"&amp;DATE($P$3,MATCH(G$108,Setup!$J$6:$J$17,0)+1,1)))</f>
        <v/>
      </c>
      <c r="H116" s="78">
        <f>IF($B116="","",SUMIFS(Transaction!$E:$E,Transaction!$C:$C,"เงินออม",Transaction!$D:$D,$B116,Transaction!$B:$B,"&gt;="&amp;DATE($P$3,MATCH(H$108,Setup!$J$6:$J$17,0),1),Transaction!$B:$B,"&lt;"&amp;DATE($P$3,MATCH(H$108,Setup!$J$6:$J$17,0)+1,1)))</f>
        <v/>
      </c>
      <c r="I116" s="78">
        <f>IF($B116="","",SUMIFS(Transaction!$E:$E,Transaction!$C:$C,"เงินออม",Transaction!$D:$D,$B116,Transaction!$B:$B,"&gt;="&amp;DATE($P$3,MATCH(I$108,Setup!$J$6:$J$17,0),1),Transaction!$B:$B,"&lt;"&amp;DATE($P$3,MATCH(I$108,Setup!$J$6:$J$17,0)+1,1)))</f>
        <v/>
      </c>
      <c r="J116" s="78">
        <f>IF($B116="","",SUMIFS(Transaction!$E:$E,Transaction!$C:$C,"เงินออม",Transaction!$D:$D,$B116,Transaction!$B:$B,"&gt;="&amp;DATE($P$3,MATCH(J$108,Setup!$J$6:$J$17,0),1),Transaction!$B:$B,"&lt;"&amp;DATE($P$3,MATCH(J$108,Setup!$J$6:$J$17,0)+1,1)))</f>
        <v/>
      </c>
      <c r="K116" s="78">
        <f>IF($B116="","",SUMIFS(Transaction!$E:$E,Transaction!$C:$C,"เงินออม",Transaction!$D:$D,$B116,Transaction!$B:$B,"&gt;="&amp;DATE($P$3,MATCH(K$108,Setup!$J$6:$J$17,0),1),Transaction!$B:$B,"&lt;"&amp;DATE($P$3,MATCH(K$108,Setup!$J$6:$J$17,0)+1,1)))</f>
        <v/>
      </c>
      <c r="L116" s="78">
        <f>IF($B116="","",SUMIFS(Transaction!$E:$E,Transaction!$C:$C,"เงินออม",Transaction!$D:$D,$B116,Transaction!$B:$B,"&gt;="&amp;DATE($P$3,MATCH(L$108,Setup!$J$6:$J$17,0),1),Transaction!$B:$B,"&lt;"&amp;DATE($P$3,MATCH(L$108,Setup!$J$6:$J$17,0)+1,1)))</f>
        <v/>
      </c>
      <c r="M116" s="78">
        <f>IF($B116="","",SUMIFS(Transaction!$E:$E,Transaction!$C:$C,"เงินออม",Transaction!$D:$D,$B116,Transaction!$B:$B,"&gt;="&amp;DATE($P$3,MATCH(M$108,Setup!$J$6:$J$17,0),1),Transaction!$B:$B,"&lt;"&amp;DATE($P$3,MATCH(M$108,Setup!$J$6:$J$17,0)+1,1)))</f>
        <v/>
      </c>
      <c r="N116" s="78">
        <f>IF($B116="","",SUMIFS(Transaction!$E:$E,Transaction!$C:$C,"เงินออม",Transaction!$D:$D,$B116,Transaction!$B:$B,"&gt;="&amp;DATE($P$3,MATCH(N$108,Setup!$J$6:$J$17,0),1),Transaction!$B:$B,"&lt;"&amp;DATE($P$3,MATCH(N$108,Setup!$J$6:$J$17,0)+1,1)))</f>
        <v/>
      </c>
      <c r="O116" s="55">
        <f>IF($B116="","",SUM(C116:N116))</f>
        <v/>
      </c>
      <c r="P116" s="79">
        <f>IF(OR($B116="",N($O$124)=0),"",O116/$O$124)</f>
        <v/>
      </c>
      <c r="Q116" s="86">
        <f>IF(OR($B116="",N(O116)&lt;=0),"",COUNTIF($O$109:$O$123,"&gt;"&amp;O116)+COUNTIF($O$109:O116,O116))</f>
        <v/>
      </c>
    </row>
    <row r="117">
      <c r="B117" s="60">
        <f>IF(Setup!$F$14="","",Setup!$F$14)</f>
        <v/>
      </c>
      <c r="C117" s="78">
        <f>IF($B117="","",SUMIFS(Transaction!$E:$E,Transaction!$C:$C,"เงินออม",Transaction!$D:$D,$B117,Transaction!$B:$B,"&gt;="&amp;DATE($P$3,MATCH(C$108,Setup!$J$6:$J$17,0),1),Transaction!$B:$B,"&lt;"&amp;DATE($P$3,MATCH(C$108,Setup!$J$6:$J$17,0)+1,1)))</f>
        <v/>
      </c>
      <c r="D117" s="78">
        <f>IF($B117="","",SUMIFS(Transaction!$E:$E,Transaction!$C:$C,"เงินออม",Transaction!$D:$D,$B117,Transaction!$B:$B,"&gt;="&amp;DATE($P$3,MATCH(D$108,Setup!$J$6:$J$17,0),1),Transaction!$B:$B,"&lt;"&amp;DATE($P$3,MATCH(D$108,Setup!$J$6:$J$17,0)+1,1)))</f>
        <v/>
      </c>
      <c r="E117" s="78">
        <f>IF($B117="","",SUMIFS(Transaction!$E:$E,Transaction!$C:$C,"เงินออม",Transaction!$D:$D,$B117,Transaction!$B:$B,"&gt;="&amp;DATE($P$3,MATCH(E$108,Setup!$J$6:$J$17,0),1),Transaction!$B:$B,"&lt;"&amp;DATE($P$3,MATCH(E$108,Setup!$J$6:$J$17,0)+1,1)))</f>
        <v/>
      </c>
      <c r="F117" s="78">
        <f>IF($B117="","",SUMIFS(Transaction!$E:$E,Transaction!$C:$C,"เงินออม",Transaction!$D:$D,$B117,Transaction!$B:$B,"&gt;="&amp;DATE($P$3,MATCH(F$108,Setup!$J$6:$J$17,0),1),Transaction!$B:$B,"&lt;"&amp;DATE($P$3,MATCH(F$108,Setup!$J$6:$J$17,0)+1,1)))</f>
        <v/>
      </c>
      <c r="G117" s="78">
        <f>IF($B117="","",SUMIFS(Transaction!$E:$E,Transaction!$C:$C,"เงินออม",Transaction!$D:$D,$B117,Transaction!$B:$B,"&gt;="&amp;DATE($P$3,MATCH(G$108,Setup!$J$6:$J$17,0),1),Transaction!$B:$B,"&lt;"&amp;DATE($P$3,MATCH(G$108,Setup!$J$6:$J$17,0)+1,1)))</f>
        <v/>
      </c>
      <c r="H117" s="78">
        <f>IF($B117="","",SUMIFS(Transaction!$E:$E,Transaction!$C:$C,"เงินออม",Transaction!$D:$D,$B117,Transaction!$B:$B,"&gt;="&amp;DATE($P$3,MATCH(H$108,Setup!$J$6:$J$17,0),1),Transaction!$B:$B,"&lt;"&amp;DATE($P$3,MATCH(H$108,Setup!$J$6:$J$17,0)+1,1)))</f>
        <v/>
      </c>
      <c r="I117" s="78">
        <f>IF($B117="","",SUMIFS(Transaction!$E:$E,Transaction!$C:$C,"เงินออม",Transaction!$D:$D,$B117,Transaction!$B:$B,"&gt;="&amp;DATE($P$3,MATCH(I$108,Setup!$J$6:$J$17,0),1),Transaction!$B:$B,"&lt;"&amp;DATE($P$3,MATCH(I$108,Setup!$J$6:$J$17,0)+1,1)))</f>
        <v/>
      </c>
      <c r="J117" s="78">
        <f>IF($B117="","",SUMIFS(Transaction!$E:$E,Transaction!$C:$C,"เงินออม",Transaction!$D:$D,$B117,Transaction!$B:$B,"&gt;="&amp;DATE($P$3,MATCH(J$108,Setup!$J$6:$J$17,0),1),Transaction!$B:$B,"&lt;"&amp;DATE($P$3,MATCH(J$108,Setup!$J$6:$J$17,0)+1,1)))</f>
        <v/>
      </c>
      <c r="K117" s="78">
        <f>IF($B117="","",SUMIFS(Transaction!$E:$E,Transaction!$C:$C,"เงินออม",Transaction!$D:$D,$B117,Transaction!$B:$B,"&gt;="&amp;DATE($P$3,MATCH(K$108,Setup!$J$6:$J$17,0),1),Transaction!$B:$B,"&lt;"&amp;DATE($P$3,MATCH(K$108,Setup!$J$6:$J$17,0)+1,1)))</f>
        <v/>
      </c>
      <c r="L117" s="78">
        <f>IF($B117="","",SUMIFS(Transaction!$E:$E,Transaction!$C:$C,"เงินออม",Transaction!$D:$D,$B117,Transaction!$B:$B,"&gt;="&amp;DATE($P$3,MATCH(L$108,Setup!$J$6:$J$17,0),1),Transaction!$B:$B,"&lt;"&amp;DATE($P$3,MATCH(L$108,Setup!$J$6:$J$17,0)+1,1)))</f>
        <v/>
      </c>
      <c r="M117" s="78">
        <f>IF($B117="","",SUMIFS(Transaction!$E:$E,Transaction!$C:$C,"เงินออม",Transaction!$D:$D,$B117,Transaction!$B:$B,"&gt;="&amp;DATE($P$3,MATCH(M$108,Setup!$J$6:$J$17,0),1),Transaction!$B:$B,"&lt;"&amp;DATE($P$3,MATCH(M$108,Setup!$J$6:$J$17,0)+1,1)))</f>
        <v/>
      </c>
      <c r="N117" s="78">
        <f>IF($B117="","",SUMIFS(Transaction!$E:$E,Transaction!$C:$C,"เงินออม",Transaction!$D:$D,$B117,Transaction!$B:$B,"&gt;="&amp;DATE($P$3,MATCH(N$108,Setup!$J$6:$J$17,0),1),Transaction!$B:$B,"&lt;"&amp;DATE($P$3,MATCH(N$108,Setup!$J$6:$J$17,0)+1,1)))</f>
        <v/>
      </c>
      <c r="O117" s="55">
        <f>IF($B117="","",SUM(C117:N117))</f>
        <v/>
      </c>
      <c r="P117" s="79">
        <f>IF(OR($B117="",N($O$124)=0),"",O117/$O$124)</f>
        <v/>
      </c>
      <c r="Q117" s="86">
        <f>IF(OR($B117="",N(O117)&lt;=0),"",COUNTIF($O$109:$O$123,"&gt;"&amp;O117)+COUNTIF($O$109:O117,O117))</f>
        <v/>
      </c>
    </row>
    <row r="118">
      <c r="B118" s="60">
        <f>IF(Setup!$F$15="","",Setup!$F$15)</f>
        <v/>
      </c>
      <c r="C118" s="78">
        <f>IF($B118="","",SUMIFS(Transaction!$E:$E,Transaction!$C:$C,"เงินออม",Transaction!$D:$D,$B118,Transaction!$B:$B,"&gt;="&amp;DATE($P$3,MATCH(C$108,Setup!$J$6:$J$17,0),1),Transaction!$B:$B,"&lt;"&amp;DATE($P$3,MATCH(C$108,Setup!$J$6:$J$17,0)+1,1)))</f>
        <v/>
      </c>
      <c r="D118" s="78">
        <f>IF($B118="","",SUMIFS(Transaction!$E:$E,Transaction!$C:$C,"เงินออม",Transaction!$D:$D,$B118,Transaction!$B:$B,"&gt;="&amp;DATE($P$3,MATCH(D$108,Setup!$J$6:$J$17,0),1),Transaction!$B:$B,"&lt;"&amp;DATE($P$3,MATCH(D$108,Setup!$J$6:$J$17,0)+1,1)))</f>
        <v/>
      </c>
      <c r="E118" s="78">
        <f>IF($B118="","",SUMIFS(Transaction!$E:$E,Transaction!$C:$C,"เงินออม",Transaction!$D:$D,$B118,Transaction!$B:$B,"&gt;="&amp;DATE($P$3,MATCH(E$108,Setup!$J$6:$J$17,0),1),Transaction!$B:$B,"&lt;"&amp;DATE($P$3,MATCH(E$108,Setup!$J$6:$J$17,0)+1,1)))</f>
        <v/>
      </c>
      <c r="F118" s="78">
        <f>IF($B118="","",SUMIFS(Transaction!$E:$E,Transaction!$C:$C,"เงินออม",Transaction!$D:$D,$B118,Transaction!$B:$B,"&gt;="&amp;DATE($P$3,MATCH(F$108,Setup!$J$6:$J$17,0),1),Transaction!$B:$B,"&lt;"&amp;DATE($P$3,MATCH(F$108,Setup!$J$6:$J$17,0)+1,1)))</f>
        <v/>
      </c>
      <c r="G118" s="78">
        <f>IF($B118="","",SUMIFS(Transaction!$E:$E,Transaction!$C:$C,"เงินออม",Transaction!$D:$D,$B118,Transaction!$B:$B,"&gt;="&amp;DATE($P$3,MATCH(G$108,Setup!$J$6:$J$17,0),1),Transaction!$B:$B,"&lt;"&amp;DATE($P$3,MATCH(G$108,Setup!$J$6:$J$17,0)+1,1)))</f>
        <v/>
      </c>
      <c r="H118" s="78">
        <f>IF($B118="","",SUMIFS(Transaction!$E:$E,Transaction!$C:$C,"เงินออม",Transaction!$D:$D,$B118,Transaction!$B:$B,"&gt;="&amp;DATE($P$3,MATCH(H$108,Setup!$J$6:$J$17,0),1),Transaction!$B:$B,"&lt;"&amp;DATE($P$3,MATCH(H$108,Setup!$J$6:$J$17,0)+1,1)))</f>
        <v/>
      </c>
      <c r="I118" s="78">
        <f>IF($B118="","",SUMIFS(Transaction!$E:$E,Transaction!$C:$C,"เงินออม",Transaction!$D:$D,$B118,Transaction!$B:$B,"&gt;="&amp;DATE($P$3,MATCH(I$108,Setup!$J$6:$J$17,0),1),Transaction!$B:$B,"&lt;"&amp;DATE($P$3,MATCH(I$108,Setup!$J$6:$J$17,0)+1,1)))</f>
        <v/>
      </c>
      <c r="J118" s="78">
        <f>IF($B118="","",SUMIFS(Transaction!$E:$E,Transaction!$C:$C,"เงินออม",Transaction!$D:$D,$B118,Transaction!$B:$B,"&gt;="&amp;DATE($P$3,MATCH(J$108,Setup!$J$6:$J$17,0),1),Transaction!$B:$B,"&lt;"&amp;DATE($P$3,MATCH(J$108,Setup!$J$6:$J$17,0)+1,1)))</f>
        <v/>
      </c>
      <c r="K118" s="78">
        <f>IF($B118="","",SUMIFS(Transaction!$E:$E,Transaction!$C:$C,"เงินออม",Transaction!$D:$D,$B118,Transaction!$B:$B,"&gt;="&amp;DATE($P$3,MATCH(K$108,Setup!$J$6:$J$17,0),1),Transaction!$B:$B,"&lt;"&amp;DATE($P$3,MATCH(K$108,Setup!$J$6:$J$17,0)+1,1)))</f>
        <v/>
      </c>
      <c r="L118" s="78">
        <f>IF($B118="","",SUMIFS(Transaction!$E:$E,Transaction!$C:$C,"เงินออม",Transaction!$D:$D,$B118,Transaction!$B:$B,"&gt;="&amp;DATE($P$3,MATCH(L$108,Setup!$J$6:$J$17,0),1),Transaction!$B:$B,"&lt;"&amp;DATE($P$3,MATCH(L$108,Setup!$J$6:$J$17,0)+1,1)))</f>
        <v/>
      </c>
      <c r="M118" s="78">
        <f>IF($B118="","",SUMIFS(Transaction!$E:$E,Transaction!$C:$C,"เงินออม",Transaction!$D:$D,$B118,Transaction!$B:$B,"&gt;="&amp;DATE($P$3,MATCH(M$108,Setup!$J$6:$J$17,0),1),Transaction!$B:$B,"&lt;"&amp;DATE($P$3,MATCH(M$108,Setup!$J$6:$J$17,0)+1,1)))</f>
        <v/>
      </c>
      <c r="N118" s="78">
        <f>IF($B118="","",SUMIFS(Transaction!$E:$E,Transaction!$C:$C,"เงินออม",Transaction!$D:$D,$B118,Transaction!$B:$B,"&gt;="&amp;DATE($P$3,MATCH(N$108,Setup!$J$6:$J$17,0),1),Transaction!$B:$B,"&lt;"&amp;DATE($P$3,MATCH(N$108,Setup!$J$6:$J$17,0)+1,1)))</f>
        <v/>
      </c>
      <c r="O118" s="55">
        <f>IF($B118="","",SUM(C118:N118))</f>
        <v/>
      </c>
      <c r="P118" s="79">
        <f>IF(OR($B118="",N($O$124)=0),"",O118/$O$124)</f>
        <v/>
      </c>
      <c r="Q118" s="86">
        <f>IF(OR($B118="",N(O118)&lt;=0),"",COUNTIF($O$109:$O$123,"&gt;"&amp;O118)+COUNTIF($O$109:O118,O118))</f>
        <v/>
      </c>
    </row>
    <row r="119">
      <c r="B119" s="60">
        <f>IF(Setup!$F$16="","",Setup!$F$16)</f>
        <v/>
      </c>
      <c r="C119" s="78">
        <f>IF($B119="","",SUMIFS(Transaction!$E:$E,Transaction!$C:$C,"เงินออม",Transaction!$D:$D,$B119,Transaction!$B:$B,"&gt;="&amp;DATE($P$3,MATCH(C$108,Setup!$J$6:$J$17,0),1),Transaction!$B:$B,"&lt;"&amp;DATE($P$3,MATCH(C$108,Setup!$J$6:$J$17,0)+1,1)))</f>
        <v/>
      </c>
      <c r="D119" s="78">
        <f>IF($B119="","",SUMIFS(Transaction!$E:$E,Transaction!$C:$C,"เงินออม",Transaction!$D:$D,$B119,Transaction!$B:$B,"&gt;="&amp;DATE($P$3,MATCH(D$108,Setup!$J$6:$J$17,0),1),Transaction!$B:$B,"&lt;"&amp;DATE($P$3,MATCH(D$108,Setup!$J$6:$J$17,0)+1,1)))</f>
        <v/>
      </c>
      <c r="E119" s="78">
        <f>IF($B119="","",SUMIFS(Transaction!$E:$E,Transaction!$C:$C,"เงินออม",Transaction!$D:$D,$B119,Transaction!$B:$B,"&gt;="&amp;DATE($P$3,MATCH(E$108,Setup!$J$6:$J$17,0),1),Transaction!$B:$B,"&lt;"&amp;DATE($P$3,MATCH(E$108,Setup!$J$6:$J$17,0)+1,1)))</f>
        <v/>
      </c>
      <c r="F119" s="78">
        <f>IF($B119="","",SUMIFS(Transaction!$E:$E,Transaction!$C:$C,"เงินออม",Transaction!$D:$D,$B119,Transaction!$B:$B,"&gt;="&amp;DATE($P$3,MATCH(F$108,Setup!$J$6:$J$17,0),1),Transaction!$B:$B,"&lt;"&amp;DATE($P$3,MATCH(F$108,Setup!$J$6:$J$17,0)+1,1)))</f>
        <v/>
      </c>
      <c r="G119" s="78">
        <f>IF($B119="","",SUMIFS(Transaction!$E:$E,Transaction!$C:$C,"เงินออม",Transaction!$D:$D,$B119,Transaction!$B:$B,"&gt;="&amp;DATE($P$3,MATCH(G$108,Setup!$J$6:$J$17,0),1),Transaction!$B:$B,"&lt;"&amp;DATE($P$3,MATCH(G$108,Setup!$J$6:$J$17,0)+1,1)))</f>
        <v/>
      </c>
      <c r="H119" s="78">
        <f>IF($B119="","",SUMIFS(Transaction!$E:$E,Transaction!$C:$C,"เงินออม",Transaction!$D:$D,$B119,Transaction!$B:$B,"&gt;="&amp;DATE($P$3,MATCH(H$108,Setup!$J$6:$J$17,0),1),Transaction!$B:$B,"&lt;"&amp;DATE($P$3,MATCH(H$108,Setup!$J$6:$J$17,0)+1,1)))</f>
        <v/>
      </c>
      <c r="I119" s="78">
        <f>IF($B119="","",SUMIFS(Transaction!$E:$E,Transaction!$C:$C,"เงินออม",Transaction!$D:$D,$B119,Transaction!$B:$B,"&gt;="&amp;DATE($P$3,MATCH(I$108,Setup!$J$6:$J$17,0),1),Transaction!$B:$B,"&lt;"&amp;DATE($P$3,MATCH(I$108,Setup!$J$6:$J$17,0)+1,1)))</f>
        <v/>
      </c>
      <c r="J119" s="78">
        <f>IF($B119="","",SUMIFS(Transaction!$E:$E,Transaction!$C:$C,"เงินออม",Transaction!$D:$D,$B119,Transaction!$B:$B,"&gt;="&amp;DATE($P$3,MATCH(J$108,Setup!$J$6:$J$17,0),1),Transaction!$B:$B,"&lt;"&amp;DATE($P$3,MATCH(J$108,Setup!$J$6:$J$17,0)+1,1)))</f>
        <v/>
      </c>
      <c r="K119" s="78">
        <f>IF($B119="","",SUMIFS(Transaction!$E:$E,Transaction!$C:$C,"เงินออม",Transaction!$D:$D,$B119,Transaction!$B:$B,"&gt;="&amp;DATE($P$3,MATCH(K$108,Setup!$J$6:$J$17,0),1),Transaction!$B:$B,"&lt;"&amp;DATE($P$3,MATCH(K$108,Setup!$J$6:$J$17,0)+1,1)))</f>
        <v/>
      </c>
      <c r="L119" s="78">
        <f>IF($B119="","",SUMIFS(Transaction!$E:$E,Transaction!$C:$C,"เงินออม",Transaction!$D:$D,$B119,Transaction!$B:$B,"&gt;="&amp;DATE($P$3,MATCH(L$108,Setup!$J$6:$J$17,0),1),Transaction!$B:$B,"&lt;"&amp;DATE($P$3,MATCH(L$108,Setup!$J$6:$J$17,0)+1,1)))</f>
        <v/>
      </c>
      <c r="M119" s="78">
        <f>IF($B119="","",SUMIFS(Transaction!$E:$E,Transaction!$C:$C,"เงินออม",Transaction!$D:$D,$B119,Transaction!$B:$B,"&gt;="&amp;DATE($P$3,MATCH(M$108,Setup!$J$6:$J$17,0),1),Transaction!$B:$B,"&lt;"&amp;DATE($P$3,MATCH(M$108,Setup!$J$6:$J$17,0)+1,1)))</f>
        <v/>
      </c>
      <c r="N119" s="78">
        <f>IF($B119="","",SUMIFS(Transaction!$E:$E,Transaction!$C:$C,"เงินออม",Transaction!$D:$D,$B119,Transaction!$B:$B,"&gt;="&amp;DATE($P$3,MATCH(N$108,Setup!$J$6:$J$17,0),1),Transaction!$B:$B,"&lt;"&amp;DATE($P$3,MATCH(N$108,Setup!$J$6:$J$17,0)+1,1)))</f>
        <v/>
      </c>
      <c r="O119" s="55">
        <f>IF($B119="","",SUM(C119:N119))</f>
        <v/>
      </c>
      <c r="P119" s="79">
        <f>IF(OR($B119="",N($O$124)=0),"",O119/$O$124)</f>
        <v/>
      </c>
      <c r="Q119" s="86">
        <f>IF(OR($B119="",N(O119)&lt;=0),"",COUNTIF($O$109:$O$123,"&gt;"&amp;O119)+COUNTIF($O$109:O119,O119))</f>
        <v/>
      </c>
    </row>
    <row r="120">
      <c r="B120" s="60">
        <f>IF(Setup!$F$17="","",Setup!$F$17)</f>
        <v/>
      </c>
      <c r="C120" s="78">
        <f>IF($B120="","",SUMIFS(Transaction!$E:$E,Transaction!$C:$C,"เงินออม",Transaction!$D:$D,$B120,Transaction!$B:$B,"&gt;="&amp;DATE($P$3,MATCH(C$108,Setup!$J$6:$J$17,0),1),Transaction!$B:$B,"&lt;"&amp;DATE($P$3,MATCH(C$108,Setup!$J$6:$J$17,0)+1,1)))</f>
        <v/>
      </c>
      <c r="D120" s="78">
        <f>IF($B120="","",SUMIFS(Transaction!$E:$E,Transaction!$C:$C,"เงินออม",Transaction!$D:$D,$B120,Transaction!$B:$B,"&gt;="&amp;DATE($P$3,MATCH(D$108,Setup!$J$6:$J$17,0),1),Transaction!$B:$B,"&lt;"&amp;DATE($P$3,MATCH(D$108,Setup!$J$6:$J$17,0)+1,1)))</f>
        <v/>
      </c>
      <c r="E120" s="78">
        <f>IF($B120="","",SUMIFS(Transaction!$E:$E,Transaction!$C:$C,"เงินออม",Transaction!$D:$D,$B120,Transaction!$B:$B,"&gt;="&amp;DATE($P$3,MATCH(E$108,Setup!$J$6:$J$17,0),1),Transaction!$B:$B,"&lt;"&amp;DATE($P$3,MATCH(E$108,Setup!$J$6:$J$17,0)+1,1)))</f>
        <v/>
      </c>
      <c r="F120" s="78">
        <f>IF($B120="","",SUMIFS(Transaction!$E:$E,Transaction!$C:$C,"เงินออม",Transaction!$D:$D,$B120,Transaction!$B:$B,"&gt;="&amp;DATE($P$3,MATCH(F$108,Setup!$J$6:$J$17,0),1),Transaction!$B:$B,"&lt;"&amp;DATE($P$3,MATCH(F$108,Setup!$J$6:$J$17,0)+1,1)))</f>
        <v/>
      </c>
      <c r="G120" s="78">
        <f>IF($B120="","",SUMIFS(Transaction!$E:$E,Transaction!$C:$C,"เงินออม",Transaction!$D:$D,$B120,Transaction!$B:$B,"&gt;="&amp;DATE($P$3,MATCH(G$108,Setup!$J$6:$J$17,0),1),Transaction!$B:$B,"&lt;"&amp;DATE($P$3,MATCH(G$108,Setup!$J$6:$J$17,0)+1,1)))</f>
        <v/>
      </c>
      <c r="H120" s="78">
        <f>IF($B120="","",SUMIFS(Transaction!$E:$E,Transaction!$C:$C,"เงินออม",Transaction!$D:$D,$B120,Transaction!$B:$B,"&gt;="&amp;DATE($P$3,MATCH(H$108,Setup!$J$6:$J$17,0),1),Transaction!$B:$B,"&lt;"&amp;DATE($P$3,MATCH(H$108,Setup!$J$6:$J$17,0)+1,1)))</f>
        <v/>
      </c>
      <c r="I120" s="78">
        <f>IF($B120="","",SUMIFS(Transaction!$E:$E,Transaction!$C:$C,"เงินออม",Transaction!$D:$D,$B120,Transaction!$B:$B,"&gt;="&amp;DATE($P$3,MATCH(I$108,Setup!$J$6:$J$17,0),1),Transaction!$B:$B,"&lt;"&amp;DATE($P$3,MATCH(I$108,Setup!$J$6:$J$17,0)+1,1)))</f>
        <v/>
      </c>
      <c r="J120" s="78">
        <f>IF($B120="","",SUMIFS(Transaction!$E:$E,Transaction!$C:$C,"เงินออม",Transaction!$D:$D,$B120,Transaction!$B:$B,"&gt;="&amp;DATE($P$3,MATCH(J$108,Setup!$J$6:$J$17,0),1),Transaction!$B:$B,"&lt;"&amp;DATE($P$3,MATCH(J$108,Setup!$J$6:$J$17,0)+1,1)))</f>
        <v/>
      </c>
      <c r="K120" s="78">
        <f>IF($B120="","",SUMIFS(Transaction!$E:$E,Transaction!$C:$C,"เงินออม",Transaction!$D:$D,$B120,Transaction!$B:$B,"&gt;="&amp;DATE($P$3,MATCH(K$108,Setup!$J$6:$J$17,0),1),Transaction!$B:$B,"&lt;"&amp;DATE($P$3,MATCH(K$108,Setup!$J$6:$J$17,0)+1,1)))</f>
        <v/>
      </c>
      <c r="L120" s="78">
        <f>IF($B120="","",SUMIFS(Transaction!$E:$E,Transaction!$C:$C,"เงินออม",Transaction!$D:$D,$B120,Transaction!$B:$B,"&gt;="&amp;DATE($P$3,MATCH(L$108,Setup!$J$6:$J$17,0),1),Transaction!$B:$B,"&lt;"&amp;DATE($P$3,MATCH(L$108,Setup!$J$6:$J$17,0)+1,1)))</f>
        <v/>
      </c>
      <c r="M120" s="78">
        <f>IF($B120="","",SUMIFS(Transaction!$E:$E,Transaction!$C:$C,"เงินออม",Transaction!$D:$D,$B120,Transaction!$B:$B,"&gt;="&amp;DATE($P$3,MATCH(M$108,Setup!$J$6:$J$17,0),1),Transaction!$B:$B,"&lt;"&amp;DATE($P$3,MATCH(M$108,Setup!$J$6:$J$17,0)+1,1)))</f>
        <v/>
      </c>
      <c r="N120" s="78">
        <f>IF($B120="","",SUMIFS(Transaction!$E:$E,Transaction!$C:$C,"เงินออม",Transaction!$D:$D,$B120,Transaction!$B:$B,"&gt;="&amp;DATE($P$3,MATCH(N$108,Setup!$J$6:$J$17,0),1),Transaction!$B:$B,"&lt;"&amp;DATE($P$3,MATCH(N$108,Setup!$J$6:$J$17,0)+1,1)))</f>
        <v/>
      </c>
      <c r="O120" s="55">
        <f>IF($B120="","",SUM(C120:N120))</f>
        <v/>
      </c>
      <c r="P120" s="79">
        <f>IF(OR($B120="",N($O$124)=0),"",O120/$O$124)</f>
        <v/>
      </c>
      <c r="Q120" s="86">
        <f>IF(OR($B120="",N(O120)&lt;=0),"",COUNTIF($O$109:$O$123,"&gt;"&amp;O120)+COUNTIF($O$109:O120,O120))</f>
        <v/>
      </c>
    </row>
    <row r="121">
      <c r="B121" s="60">
        <f>IF(Setup!$F$18="","",Setup!$F$18)</f>
        <v/>
      </c>
      <c r="C121" s="78">
        <f>IF($B121="","",SUMIFS(Transaction!$E:$E,Transaction!$C:$C,"เงินออม",Transaction!$D:$D,$B121,Transaction!$B:$B,"&gt;="&amp;DATE($P$3,MATCH(C$108,Setup!$J$6:$J$17,0),1),Transaction!$B:$B,"&lt;"&amp;DATE($P$3,MATCH(C$108,Setup!$J$6:$J$17,0)+1,1)))</f>
        <v/>
      </c>
      <c r="D121" s="78">
        <f>IF($B121="","",SUMIFS(Transaction!$E:$E,Transaction!$C:$C,"เงินออม",Transaction!$D:$D,$B121,Transaction!$B:$B,"&gt;="&amp;DATE($P$3,MATCH(D$108,Setup!$J$6:$J$17,0),1),Transaction!$B:$B,"&lt;"&amp;DATE($P$3,MATCH(D$108,Setup!$J$6:$J$17,0)+1,1)))</f>
        <v/>
      </c>
      <c r="E121" s="78">
        <f>IF($B121="","",SUMIFS(Transaction!$E:$E,Transaction!$C:$C,"เงินออม",Transaction!$D:$D,$B121,Transaction!$B:$B,"&gt;="&amp;DATE($P$3,MATCH(E$108,Setup!$J$6:$J$17,0),1),Transaction!$B:$B,"&lt;"&amp;DATE($P$3,MATCH(E$108,Setup!$J$6:$J$17,0)+1,1)))</f>
        <v/>
      </c>
      <c r="F121" s="78">
        <f>IF($B121="","",SUMIFS(Transaction!$E:$E,Transaction!$C:$C,"เงินออม",Transaction!$D:$D,$B121,Transaction!$B:$B,"&gt;="&amp;DATE($P$3,MATCH(F$108,Setup!$J$6:$J$17,0),1),Transaction!$B:$B,"&lt;"&amp;DATE($P$3,MATCH(F$108,Setup!$J$6:$J$17,0)+1,1)))</f>
        <v/>
      </c>
      <c r="G121" s="78">
        <f>IF($B121="","",SUMIFS(Transaction!$E:$E,Transaction!$C:$C,"เงินออม",Transaction!$D:$D,$B121,Transaction!$B:$B,"&gt;="&amp;DATE($P$3,MATCH(G$108,Setup!$J$6:$J$17,0),1),Transaction!$B:$B,"&lt;"&amp;DATE($P$3,MATCH(G$108,Setup!$J$6:$J$17,0)+1,1)))</f>
        <v/>
      </c>
      <c r="H121" s="78">
        <f>IF($B121="","",SUMIFS(Transaction!$E:$E,Transaction!$C:$C,"เงินออม",Transaction!$D:$D,$B121,Transaction!$B:$B,"&gt;="&amp;DATE($P$3,MATCH(H$108,Setup!$J$6:$J$17,0),1),Transaction!$B:$B,"&lt;"&amp;DATE($P$3,MATCH(H$108,Setup!$J$6:$J$17,0)+1,1)))</f>
        <v/>
      </c>
      <c r="I121" s="78">
        <f>IF($B121="","",SUMIFS(Transaction!$E:$E,Transaction!$C:$C,"เงินออม",Transaction!$D:$D,$B121,Transaction!$B:$B,"&gt;="&amp;DATE($P$3,MATCH(I$108,Setup!$J$6:$J$17,0),1),Transaction!$B:$B,"&lt;"&amp;DATE($P$3,MATCH(I$108,Setup!$J$6:$J$17,0)+1,1)))</f>
        <v/>
      </c>
      <c r="J121" s="78">
        <f>IF($B121="","",SUMIFS(Transaction!$E:$E,Transaction!$C:$C,"เงินออม",Transaction!$D:$D,$B121,Transaction!$B:$B,"&gt;="&amp;DATE($P$3,MATCH(J$108,Setup!$J$6:$J$17,0),1),Transaction!$B:$B,"&lt;"&amp;DATE($P$3,MATCH(J$108,Setup!$J$6:$J$17,0)+1,1)))</f>
        <v/>
      </c>
      <c r="K121" s="78">
        <f>IF($B121="","",SUMIFS(Transaction!$E:$E,Transaction!$C:$C,"เงินออม",Transaction!$D:$D,$B121,Transaction!$B:$B,"&gt;="&amp;DATE($P$3,MATCH(K$108,Setup!$J$6:$J$17,0),1),Transaction!$B:$B,"&lt;"&amp;DATE($P$3,MATCH(K$108,Setup!$J$6:$J$17,0)+1,1)))</f>
        <v/>
      </c>
      <c r="L121" s="78">
        <f>IF($B121="","",SUMIFS(Transaction!$E:$E,Transaction!$C:$C,"เงินออม",Transaction!$D:$D,$B121,Transaction!$B:$B,"&gt;="&amp;DATE($P$3,MATCH(L$108,Setup!$J$6:$J$17,0),1),Transaction!$B:$B,"&lt;"&amp;DATE($P$3,MATCH(L$108,Setup!$J$6:$J$17,0)+1,1)))</f>
        <v/>
      </c>
      <c r="M121" s="78">
        <f>IF($B121="","",SUMIFS(Transaction!$E:$E,Transaction!$C:$C,"เงินออม",Transaction!$D:$D,$B121,Transaction!$B:$B,"&gt;="&amp;DATE($P$3,MATCH(M$108,Setup!$J$6:$J$17,0),1),Transaction!$B:$B,"&lt;"&amp;DATE($P$3,MATCH(M$108,Setup!$J$6:$J$17,0)+1,1)))</f>
        <v/>
      </c>
      <c r="N121" s="78">
        <f>IF($B121="","",SUMIFS(Transaction!$E:$E,Transaction!$C:$C,"เงินออม",Transaction!$D:$D,$B121,Transaction!$B:$B,"&gt;="&amp;DATE($P$3,MATCH(N$108,Setup!$J$6:$J$17,0),1),Transaction!$B:$B,"&lt;"&amp;DATE($P$3,MATCH(N$108,Setup!$J$6:$J$17,0)+1,1)))</f>
        <v/>
      </c>
      <c r="O121" s="55">
        <f>IF($B121="","",SUM(C121:N121))</f>
        <v/>
      </c>
      <c r="P121" s="79">
        <f>IF(OR($B121="",N($O$124)=0),"",O121/$O$124)</f>
        <v/>
      </c>
      <c r="Q121" s="86">
        <f>IF(OR($B121="",N(O121)&lt;=0),"",COUNTIF($O$109:$O$123,"&gt;"&amp;O121)+COUNTIF($O$109:O121,O121))</f>
        <v/>
      </c>
    </row>
    <row r="122">
      <c r="B122" s="60">
        <f>IF(Setup!$F$19="","",Setup!$F$19)</f>
        <v/>
      </c>
      <c r="C122" s="78">
        <f>IF($B122="","",SUMIFS(Transaction!$E:$E,Transaction!$C:$C,"เงินออม",Transaction!$D:$D,$B122,Transaction!$B:$B,"&gt;="&amp;DATE($P$3,MATCH(C$108,Setup!$J$6:$J$17,0),1),Transaction!$B:$B,"&lt;"&amp;DATE($P$3,MATCH(C$108,Setup!$J$6:$J$17,0)+1,1)))</f>
        <v/>
      </c>
      <c r="D122" s="78">
        <f>IF($B122="","",SUMIFS(Transaction!$E:$E,Transaction!$C:$C,"เงินออม",Transaction!$D:$D,$B122,Transaction!$B:$B,"&gt;="&amp;DATE($P$3,MATCH(D$108,Setup!$J$6:$J$17,0),1),Transaction!$B:$B,"&lt;"&amp;DATE($P$3,MATCH(D$108,Setup!$J$6:$J$17,0)+1,1)))</f>
        <v/>
      </c>
      <c r="E122" s="78">
        <f>IF($B122="","",SUMIFS(Transaction!$E:$E,Transaction!$C:$C,"เงินออม",Transaction!$D:$D,$B122,Transaction!$B:$B,"&gt;="&amp;DATE($P$3,MATCH(E$108,Setup!$J$6:$J$17,0),1),Transaction!$B:$B,"&lt;"&amp;DATE($P$3,MATCH(E$108,Setup!$J$6:$J$17,0)+1,1)))</f>
        <v/>
      </c>
      <c r="F122" s="78">
        <f>IF($B122="","",SUMIFS(Transaction!$E:$E,Transaction!$C:$C,"เงินออม",Transaction!$D:$D,$B122,Transaction!$B:$B,"&gt;="&amp;DATE($P$3,MATCH(F$108,Setup!$J$6:$J$17,0),1),Transaction!$B:$B,"&lt;"&amp;DATE($P$3,MATCH(F$108,Setup!$J$6:$J$17,0)+1,1)))</f>
        <v/>
      </c>
      <c r="G122" s="78">
        <f>IF($B122="","",SUMIFS(Transaction!$E:$E,Transaction!$C:$C,"เงินออม",Transaction!$D:$D,$B122,Transaction!$B:$B,"&gt;="&amp;DATE($P$3,MATCH(G$108,Setup!$J$6:$J$17,0),1),Transaction!$B:$B,"&lt;"&amp;DATE($P$3,MATCH(G$108,Setup!$J$6:$J$17,0)+1,1)))</f>
        <v/>
      </c>
      <c r="H122" s="78">
        <f>IF($B122="","",SUMIFS(Transaction!$E:$E,Transaction!$C:$C,"เงินออม",Transaction!$D:$D,$B122,Transaction!$B:$B,"&gt;="&amp;DATE($P$3,MATCH(H$108,Setup!$J$6:$J$17,0),1),Transaction!$B:$B,"&lt;"&amp;DATE($P$3,MATCH(H$108,Setup!$J$6:$J$17,0)+1,1)))</f>
        <v/>
      </c>
      <c r="I122" s="78">
        <f>IF($B122="","",SUMIFS(Transaction!$E:$E,Transaction!$C:$C,"เงินออม",Transaction!$D:$D,$B122,Transaction!$B:$B,"&gt;="&amp;DATE($P$3,MATCH(I$108,Setup!$J$6:$J$17,0),1),Transaction!$B:$B,"&lt;"&amp;DATE($P$3,MATCH(I$108,Setup!$J$6:$J$17,0)+1,1)))</f>
        <v/>
      </c>
      <c r="J122" s="78">
        <f>IF($B122="","",SUMIFS(Transaction!$E:$E,Transaction!$C:$C,"เงินออม",Transaction!$D:$D,$B122,Transaction!$B:$B,"&gt;="&amp;DATE($P$3,MATCH(J$108,Setup!$J$6:$J$17,0),1),Transaction!$B:$B,"&lt;"&amp;DATE($P$3,MATCH(J$108,Setup!$J$6:$J$17,0)+1,1)))</f>
        <v/>
      </c>
      <c r="K122" s="78">
        <f>IF($B122="","",SUMIFS(Transaction!$E:$E,Transaction!$C:$C,"เงินออม",Transaction!$D:$D,$B122,Transaction!$B:$B,"&gt;="&amp;DATE($P$3,MATCH(K$108,Setup!$J$6:$J$17,0),1),Transaction!$B:$B,"&lt;"&amp;DATE($P$3,MATCH(K$108,Setup!$J$6:$J$17,0)+1,1)))</f>
        <v/>
      </c>
      <c r="L122" s="78">
        <f>IF($B122="","",SUMIFS(Transaction!$E:$E,Transaction!$C:$C,"เงินออม",Transaction!$D:$D,$B122,Transaction!$B:$B,"&gt;="&amp;DATE($P$3,MATCH(L$108,Setup!$J$6:$J$17,0),1),Transaction!$B:$B,"&lt;"&amp;DATE($P$3,MATCH(L$108,Setup!$J$6:$J$17,0)+1,1)))</f>
        <v/>
      </c>
      <c r="M122" s="78">
        <f>IF($B122="","",SUMIFS(Transaction!$E:$E,Transaction!$C:$C,"เงินออม",Transaction!$D:$D,$B122,Transaction!$B:$B,"&gt;="&amp;DATE($P$3,MATCH(M$108,Setup!$J$6:$J$17,0),1),Transaction!$B:$B,"&lt;"&amp;DATE($P$3,MATCH(M$108,Setup!$J$6:$J$17,0)+1,1)))</f>
        <v/>
      </c>
      <c r="N122" s="78">
        <f>IF($B122="","",SUMIFS(Transaction!$E:$E,Transaction!$C:$C,"เงินออม",Transaction!$D:$D,$B122,Transaction!$B:$B,"&gt;="&amp;DATE($P$3,MATCH(N$108,Setup!$J$6:$J$17,0),1),Transaction!$B:$B,"&lt;"&amp;DATE($P$3,MATCH(N$108,Setup!$J$6:$J$17,0)+1,1)))</f>
        <v/>
      </c>
      <c r="O122" s="55">
        <f>IF($B122="","",SUM(C122:N122))</f>
        <v/>
      </c>
      <c r="P122" s="79">
        <f>IF(OR($B122="",N($O$124)=0),"",O122/$O$124)</f>
        <v/>
      </c>
      <c r="Q122" s="86">
        <f>IF(OR($B122="",N(O122)&lt;=0),"",COUNTIF($O$109:$O$123,"&gt;"&amp;O122)+COUNTIF($O$109:O122,O122))</f>
        <v/>
      </c>
    </row>
    <row r="123">
      <c r="B123" s="60">
        <f>IF(Setup!$F$20="","",Setup!$F$20)</f>
        <v/>
      </c>
      <c r="C123" s="78">
        <f>IF($B123="","",SUMIFS(Transaction!$E:$E,Transaction!$C:$C,"เงินออม",Transaction!$D:$D,$B123,Transaction!$B:$B,"&gt;="&amp;DATE($P$3,MATCH(C$108,Setup!$J$6:$J$17,0),1),Transaction!$B:$B,"&lt;"&amp;DATE($P$3,MATCH(C$108,Setup!$J$6:$J$17,0)+1,1)))</f>
        <v/>
      </c>
      <c r="D123" s="78">
        <f>IF($B123="","",SUMIFS(Transaction!$E:$E,Transaction!$C:$C,"เงินออม",Transaction!$D:$D,$B123,Transaction!$B:$B,"&gt;="&amp;DATE($P$3,MATCH(D$108,Setup!$J$6:$J$17,0),1),Transaction!$B:$B,"&lt;"&amp;DATE($P$3,MATCH(D$108,Setup!$J$6:$J$17,0)+1,1)))</f>
        <v/>
      </c>
      <c r="E123" s="78">
        <f>IF($B123="","",SUMIFS(Transaction!$E:$E,Transaction!$C:$C,"เงินออม",Transaction!$D:$D,$B123,Transaction!$B:$B,"&gt;="&amp;DATE($P$3,MATCH(E$108,Setup!$J$6:$J$17,0),1),Transaction!$B:$B,"&lt;"&amp;DATE($P$3,MATCH(E$108,Setup!$J$6:$J$17,0)+1,1)))</f>
        <v/>
      </c>
      <c r="F123" s="78">
        <f>IF($B123="","",SUMIFS(Transaction!$E:$E,Transaction!$C:$C,"เงินออม",Transaction!$D:$D,$B123,Transaction!$B:$B,"&gt;="&amp;DATE($P$3,MATCH(F$108,Setup!$J$6:$J$17,0),1),Transaction!$B:$B,"&lt;"&amp;DATE($P$3,MATCH(F$108,Setup!$J$6:$J$17,0)+1,1)))</f>
        <v/>
      </c>
      <c r="G123" s="78">
        <f>IF($B123="","",SUMIFS(Transaction!$E:$E,Transaction!$C:$C,"เงินออม",Transaction!$D:$D,$B123,Transaction!$B:$B,"&gt;="&amp;DATE($P$3,MATCH(G$108,Setup!$J$6:$J$17,0),1),Transaction!$B:$B,"&lt;"&amp;DATE($P$3,MATCH(G$108,Setup!$J$6:$J$17,0)+1,1)))</f>
        <v/>
      </c>
      <c r="H123" s="78">
        <f>IF($B123="","",SUMIFS(Transaction!$E:$E,Transaction!$C:$C,"เงินออม",Transaction!$D:$D,$B123,Transaction!$B:$B,"&gt;="&amp;DATE($P$3,MATCH(H$108,Setup!$J$6:$J$17,0),1),Transaction!$B:$B,"&lt;"&amp;DATE($P$3,MATCH(H$108,Setup!$J$6:$J$17,0)+1,1)))</f>
        <v/>
      </c>
      <c r="I123" s="78">
        <f>IF($B123="","",SUMIFS(Transaction!$E:$E,Transaction!$C:$C,"เงินออม",Transaction!$D:$D,$B123,Transaction!$B:$B,"&gt;="&amp;DATE($P$3,MATCH(I$108,Setup!$J$6:$J$17,0),1),Transaction!$B:$B,"&lt;"&amp;DATE($P$3,MATCH(I$108,Setup!$J$6:$J$17,0)+1,1)))</f>
        <v/>
      </c>
      <c r="J123" s="78">
        <f>IF($B123="","",SUMIFS(Transaction!$E:$E,Transaction!$C:$C,"เงินออม",Transaction!$D:$D,$B123,Transaction!$B:$B,"&gt;="&amp;DATE($P$3,MATCH(J$108,Setup!$J$6:$J$17,0),1),Transaction!$B:$B,"&lt;"&amp;DATE($P$3,MATCH(J$108,Setup!$J$6:$J$17,0)+1,1)))</f>
        <v/>
      </c>
      <c r="K123" s="78">
        <f>IF($B123="","",SUMIFS(Transaction!$E:$E,Transaction!$C:$C,"เงินออม",Transaction!$D:$D,$B123,Transaction!$B:$B,"&gt;="&amp;DATE($P$3,MATCH(K$108,Setup!$J$6:$J$17,0),1),Transaction!$B:$B,"&lt;"&amp;DATE($P$3,MATCH(K$108,Setup!$J$6:$J$17,0)+1,1)))</f>
        <v/>
      </c>
      <c r="L123" s="78">
        <f>IF($B123="","",SUMIFS(Transaction!$E:$E,Transaction!$C:$C,"เงินออม",Transaction!$D:$D,$B123,Transaction!$B:$B,"&gt;="&amp;DATE($P$3,MATCH(L$108,Setup!$J$6:$J$17,0),1),Transaction!$B:$B,"&lt;"&amp;DATE($P$3,MATCH(L$108,Setup!$J$6:$J$17,0)+1,1)))</f>
        <v/>
      </c>
      <c r="M123" s="78">
        <f>IF($B123="","",SUMIFS(Transaction!$E:$E,Transaction!$C:$C,"เงินออม",Transaction!$D:$D,$B123,Transaction!$B:$B,"&gt;="&amp;DATE($P$3,MATCH(M$108,Setup!$J$6:$J$17,0),1),Transaction!$B:$B,"&lt;"&amp;DATE($P$3,MATCH(M$108,Setup!$J$6:$J$17,0)+1,1)))</f>
        <v/>
      </c>
      <c r="N123" s="78">
        <f>IF($B123="","",SUMIFS(Transaction!$E:$E,Transaction!$C:$C,"เงินออม",Transaction!$D:$D,$B123,Transaction!$B:$B,"&gt;="&amp;DATE($P$3,MATCH(N$108,Setup!$J$6:$J$17,0),1),Transaction!$B:$B,"&lt;"&amp;DATE($P$3,MATCH(N$108,Setup!$J$6:$J$17,0)+1,1)))</f>
        <v/>
      </c>
      <c r="O123" s="55">
        <f>IF($B123="","",SUM(C123:N123))</f>
        <v/>
      </c>
      <c r="P123" s="79">
        <f>IF(OR($B123="",N($O$124)=0),"",O123/$O$124)</f>
        <v/>
      </c>
      <c r="Q123" s="86">
        <f>IF(OR($B123="",N(O123)&lt;=0),"",COUNTIF($O$109:$O$123,"&gt;"&amp;O123)+COUNTIF($O$109:O123,O123))</f>
        <v/>
      </c>
    </row>
    <row r="124">
      <c r="B124" s="72" t="inlineStr">
        <is>
          <t>รวมเงินออม</t>
        </is>
      </c>
      <c r="C124" s="87">
        <f>SUM(C109:C123)</f>
        <v/>
      </c>
      <c r="D124" s="87">
        <f>SUM(D109:D123)</f>
        <v/>
      </c>
      <c r="E124" s="87">
        <f>SUM(E109:E123)</f>
        <v/>
      </c>
      <c r="F124" s="87">
        <f>SUM(F109:F123)</f>
        <v/>
      </c>
      <c r="G124" s="87">
        <f>SUM(G109:G123)</f>
        <v/>
      </c>
      <c r="H124" s="87">
        <f>SUM(H109:H123)</f>
        <v/>
      </c>
      <c r="I124" s="87">
        <f>SUM(I109:I123)</f>
        <v/>
      </c>
      <c r="J124" s="87">
        <f>SUM(J109:J123)</f>
        <v/>
      </c>
      <c r="K124" s="87">
        <f>SUM(K109:K123)</f>
        <v/>
      </c>
      <c r="L124" s="87">
        <f>SUM(L109:L123)</f>
        <v/>
      </c>
      <c r="M124" s="87">
        <f>SUM(M109:M123)</f>
        <v/>
      </c>
      <c r="N124" s="87">
        <f>SUM(N109:N123)</f>
        <v/>
      </c>
      <c r="O124" s="73">
        <f>SUM(O109:O123)</f>
        <v/>
      </c>
      <c r="P124" s="74">
        <f>IF(N(O124)=0,"",1)</f>
        <v/>
      </c>
      <c r="Q124" s="75" t="n"/>
    </row>
    <row r="126" ht="24" customHeight="1">
      <c r="B126" s="88" t="inlineStr">
        <is>
          <t>💵 คงเหลือสุทธิ</t>
        </is>
      </c>
      <c r="C126" s="89">
        <f>C78-C106-C124</f>
        <v/>
      </c>
      <c r="D126" s="89">
        <f>D78-D106-D124</f>
        <v/>
      </c>
      <c r="E126" s="89">
        <f>E78-E106-E124</f>
        <v/>
      </c>
      <c r="F126" s="89">
        <f>F78-F106-F124</f>
        <v/>
      </c>
      <c r="G126" s="89">
        <f>G78-G106-G124</f>
        <v/>
      </c>
      <c r="H126" s="89">
        <f>H78-H106-H124</f>
        <v/>
      </c>
      <c r="I126" s="89">
        <f>I78-I106-I124</f>
        <v/>
      </c>
      <c r="J126" s="89">
        <f>J78-J106-J124</f>
        <v/>
      </c>
      <c r="K126" s="89">
        <f>K78-K106-K124</f>
        <v/>
      </c>
      <c r="L126" s="89">
        <f>L78-L106-L124</f>
        <v/>
      </c>
      <c r="M126" s="89">
        <f>M78-M106-M124</f>
        <v/>
      </c>
      <c r="N126" s="89">
        <f>N78-N106-N124</f>
        <v/>
      </c>
      <c r="O126" s="90">
        <f>O78-O106-O124</f>
        <v/>
      </c>
      <c r="P126" s="91" t="n"/>
      <c r="Q126" s="91" t="n"/>
    </row>
  </sheetData>
  <mergeCells count="57">
    <mergeCell ref="J6:L6"/>
    <mergeCell ref="B9:H9"/>
    <mergeCell ref="B7:C7"/>
    <mergeCell ref="G6:I6"/>
    <mergeCell ref="G52:H52"/>
    <mergeCell ref="M55:N55"/>
    <mergeCell ref="B3:L3"/>
    <mergeCell ref="M52:N52"/>
    <mergeCell ref="M7:O7"/>
    <mergeCell ref="M49:N49"/>
    <mergeCell ref="D7:F7"/>
    <mergeCell ref="S27:Z27"/>
    <mergeCell ref="M6:O6"/>
    <mergeCell ref="G48:H48"/>
    <mergeCell ref="M48:N48"/>
    <mergeCell ref="J7:L7"/>
    <mergeCell ref="B45:E45"/>
    <mergeCell ref="M51:N51"/>
    <mergeCell ref="G5:I5"/>
    <mergeCell ref="P6:Q6"/>
    <mergeCell ref="M54:N54"/>
    <mergeCell ref="M3:O3"/>
    <mergeCell ref="G57:H57"/>
    <mergeCell ref="M58:N58"/>
    <mergeCell ref="G53:H53"/>
    <mergeCell ref="B25:H25"/>
    <mergeCell ref="G49:H49"/>
    <mergeCell ref="D5:F5"/>
    <mergeCell ref="P7:Q7"/>
    <mergeCell ref="B27:Q27"/>
    <mergeCell ref="M46:N46"/>
    <mergeCell ref="G58:H58"/>
    <mergeCell ref="B2:Q2"/>
    <mergeCell ref="G45:K45"/>
    <mergeCell ref="M45:Q45"/>
    <mergeCell ref="G55:H55"/>
    <mergeCell ref="J5:L5"/>
    <mergeCell ref="B6:C6"/>
    <mergeCell ref="P3:Q3"/>
    <mergeCell ref="G51:H51"/>
    <mergeCell ref="M57:N57"/>
    <mergeCell ref="B60:Q60"/>
    <mergeCell ref="G47:H47"/>
    <mergeCell ref="G54:H54"/>
    <mergeCell ref="M47:N47"/>
    <mergeCell ref="B5:C5"/>
    <mergeCell ref="B61:Q61"/>
    <mergeCell ref="M5:O5"/>
    <mergeCell ref="D6:F6"/>
    <mergeCell ref="G50:H50"/>
    <mergeCell ref="M50:N50"/>
    <mergeCell ref="G46:H46"/>
    <mergeCell ref="P5:Q5"/>
    <mergeCell ref="M53:N53"/>
    <mergeCell ref="G7:I7"/>
    <mergeCell ref="G56:H56"/>
    <mergeCell ref="M56:N56"/>
  </mergeCells>
  <conditionalFormatting sqref="C63:N77">
    <cfRule type="colorScale" priority="1">
      <colorScale>
        <cfvo type="num" val="0"/>
        <cfvo type="max"/>
        <color rgb="00FFFFFF"/>
        <color rgb="001BAF7A"/>
      </colorScale>
    </cfRule>
  </conditionalFormatting>
  <conditionalFormatting sqref="C81:N105">
    <cfRule type="colorScale" priority="2">
      <colorScale>
        <cfvo type="num" val="0"/>
        <cfvo type="max"/>
        <color rgb="00FFFFFF"/>
        <color rgb="00EB6834"/>
      </colorScale>
    </cfRule>
  </conditionalFormatting>
  <conditionalFormatting sqref="C109:N123">
    <cfRule type="colorScale" priority="3">
      <colorScale>
        <cfvo type="num" val="0"/>
        <cfvo type="max"/>
        <color rgb="00FFFFFF"/>
        <color rgb="002A78D6"/>
      </colorScale>
    </cfRule>
  </conditionalFormatting>
  <dataValidations count="1">
    <dataValidation sqref="P3" showDropDown="0" showInputMessage="0" showErrorMessage="1" allowBlank="0" error="เลือกปีจาก Drop-down" type="list">
      <formula1>Setup!$H$6:$H$17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AF7A"/>
    <outlinePr summaryBelow="1" summaryRight="1"/>
    <pageSetUpPr fitToPage="1"/>
  </sheetPr>
  <dimension ref="B2:AC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8" customHeight="1"/>
  <cols>
    <col width="2" customWidth="1" min="1" max="1"/>
    <col width="26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4" customWidth="1" min="18" max="18"/>
    <col width="20" customWidth="1" min="19" max="19"/>
    <col width="12" customWidth="1" min="20" max="20"/>
    <col width="8" customWidth="1" min="21" max="21"/>
    <col width="3" customWidth="1" min="22" max="22"/>
    <col width="20" customWidth="1" min="23" max="23"/>
    <col width="12" customWidth="1" min="24" max="24"/>
    <col width="8" customWidth="1" min="25" max="25"/>
    <col width="3" customWidth="1" min="26" max="26"/>
    <col width="20" customWidth="1" min="27" max="27"/>
    <col width="12" customWidth="1" min="28" max="28"/>
    <col width="8" customWidth="1" min="29" max="29"/>
  </cols>
  <sheetData>
    <row r="1" ht="8" customHeight="1"/>
    <row r="2" ht="38" customHeight="1">
      <c r="B2" s="1" t="inlineStr">
        <is>
          <t>📈 Monthly Overview — สรุปรายเดือน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S2" s="43" t="inlineStr">
        <is>
          <t>⚙️ ส่วนคำนวณของระบบ (ไม่ต้องแก้ไข)</t>
        </is>
      </c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</row>
    <row r="3" ht="26" customHeight="1">
      <c r="B3" s="2">
        <f>"ข้อมูลเดือน "&amp;$O$3&amp;" "&amp;$L$3&amp;" (พ.ศ. "&amp;($L$3+543)&amp;")   ·   เปรียบเทียบกับเดือนก่อนอัตโนมัติ"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3" t="inlineStr">
        <is>
          <t>ปี ค.ศ. ▸</t>
        </is>
      </c>
      <c r="L3" s="92" t="n">
        <v>2026</v>
      </c>
      <c r="M3" s="3" t="inlineStr">
        <is>
          <t>เดือน ▸</t>
        </is>
      </c>
      <c r="N3" s="3" t="n"/>
      <c r="O3" s="93" t="inlineStr">
        <is>
          <t>กันยายน</t>
        </is>
      </c>
      <c r="P3" s="93" t="n"/>
      <c r="Q3" s="93" t="n"/>
      <c r="S3" s="46" t="inlineStr">
        <is>
          <t>เดือนที่ (ตัวเลข)</t>
        </is>
      </c>
      <c r="T3" s="94">
        <f>MATCH($O$3,Setup!$I$6:$I$17,0)</f>
        <v/>
      </c>
    </row>
    <row r="4" ht="8" customHeight="1">
      <c r="S4" s="46" t="inlineStr">
        <is>
          <t>วันแรกของเดือน</t>
        </is>
      </c>
      <c r="T4" s="95">
        <f>DATE($L$3,$T$3,1)</f>
        <v/>
      </c>
    </row>
    <row r="5" ht="24" customHeight="1">
      <c r="B5" s="5" t="inlineStr">
        <is>
          <t>💰 รายรับ</t>
        </is>
      </c>
      <c r="C5" s="5" t="n"/>
      <c r="D5" s="6" t="inlineStr">
        <is>
          <t>💸 รายจ่าย</t>
        </is>
      </c>
      <c r="E5" s="6" t="n"/>
      <c r="F5" s="6" t="n"/>
      <c r="G5" s="7" t="inlineStr">
        <is>
          <t>🏦 เงินออม</t>
        </is>
      </c>
      <c r="H5" s="7" t="n"/>
      <c r="I5" s="7" t="n"/>
      <c r="J5" s="8" t="inlineStr">
        <is>
          <t>💵 คงเหลือ (Cash Flow)</t>
        </is>
      </c>
      <c r="K5" s="8" t="n"/>
      <c r="L5" s="8" t="n"/>
      <c r="M5" s="9" t="inlineStr">
        <is>
          <t>📈 อัตราการออม</t>
        </is>
      </c>
      <c r="N5" s="9" t="n"/>
      <c r="O5" s="9" t="n"/>
      <c r="P5" s="10" t="inlineStr">
        <is>
          <t>🧾 จำนวนรายการ</t>
        </is>
      </c>
      <c r="Q5" s="10" t="n"/>
      <c r="S5" s="46" t="inlineStr">
        <is>
          <t>วันแรกเดือนถัดไป</t>
        </is>
      </c>
      <c r="T5" s="95">
        <f>DATE($L$3,$T$3+1,1)</f>
        <v/>
      </c>
    </row>
    <row r="6" ht="38" customHeight="1">
      <c r="B6" s="11">
        <f>$C$11</f>
        <v/>
      </c>
      <c r="C6" s="11" t="n"/>
      <c r="D6" s="12">
        <f>$C$12</f>
        <v/>
      </c>
      <c r="E6" s="12" t="n"/>
      <c r="F6" s="12" t="n"/>
      <c r="G6" s="13">
        <f>$C$13</f>
        <v/>
      </c>
      <c r="H6" s="13" t="n"/>
      <c r="I6" s="13" t="n"/>
      <c r="J6" s="14">
        <f>$C$14</f>
        <v/>
      </c>
      <c r="K6" s="14" t="n"/>
      <c r="L6" s="14" t="n"/>
      <c r="M6" s="15">
        <f>IF($C$11=0,0,$C$13/$C$11)</f>
        <v/>
      </c>
      <c r="N6" s="15" t="n"/>
      <c r="O6" s="15" t="n"/>
      <c r="P6" s="96">
        <f>COUNTIFS(Transaction!$B:$B,"&gt;="&amp;$T$4,Transaction!$B:$B,"&lt;"&amp;$T$5)</f>
        <v/>
      </c>
      <c r="Q6" s="96" t="n"/>
      <c r="S6" s="46" t="inlineStr">
        <is>
          <t>วันแรกเดือนก่อน</t>
        </is>
      </c>
      <c r="T6" s="95">
        <f>DATE($L$3,$T$3-1,1)</f>
        <v/>
      </c>
    </row>
    <row r="7" ht="22" customHeight="1">
      <c r="B7" s="97">
        <f>IF($D$11=0,"ไม่มีข้อมูลเดือนก่อน",IF($C$11&gt;=$D$11,"▲ ","▼ ")&amp;TEXT(ABS(($C$11-$D$11)/$D$11),"0.0%")&amp;" จากเดือนก่อน")</f>
        <v/>
      </c>
      <c r="C7" s="97" t="n"/>
      <c r="D7" s="98">
        <f>IF($D$12=0,"ไม่มีข้อมูลเดือนก่อน",IF($C$12&gt;=$D$12,"▲ ","▼ ")&amp;TEXT(ABS(($C$12-$D$12)/$D$12),"0.0%")&amp;" จากเดือนก่อน")</f>
        <v/>
      </c>
      <c r="E7" s="98" t="n"/>
      <c r="F7" s="98" t="n"/>
      <c r="G7" s="99">
        <f>IF($D$13=0,"ไม่มีข้อมูลเดือนก่อน",IF($C$13&gt;=$D$13,"▲ ","▼ ")&amp;TEXT(ABS(($C$13-$D$13)/$D$13),"0.0%")&amp;" จากเดือนก่อน")</f>
        <v/>
      </c>
      <c r="H7" s="99" t="n"/>
      <c r="I7" s="99" t="n"/>
      <c r="J7" s="100">
        <f>IF($C$11=0,"","คิดเป็น "&amp;TEXT($C$14/$C$11,"0%")&amp;" ของรายรับ")</f>
        <v/>
      </c>
      <c r="K7" s="100" t="n"/>
      <c r="L7" s="100" t="n"/>
      <c r="M7" s="21">
        <f>"เดือนก่อน "&amp;TEXT(IF($D$11=0,0,$D$13/$D$11),"0.0%")</f>
        <v/>
      </c>
      <c r="N7" s="21" t="n"/>
      <c r="O7" s="21" t="n"/>
      <c r="P7" s="22" t="inlineStr">
        <is>
          <t>บันทึกในเดือนนี้</t>
        </is>
      </c>
      <c r="Q7" s="22" t="n"/>
      <c r="S7" s="46" t="inlineStr">
        <is>
          <t>จำนวนวันในเดือน</t>
        </is>
      </c>
      <c r="T7" s="94">
        <f>DAY($T$5-1)</f>
        <v/>
      </c>
    </row>
    <row r="8" ht="14" customHeight="1"/>
    <row r="9" ht="26" customHeight="1">
      <c r="B9" s="23" t="inlineStr">
        <is>
          <t>📊 ภาพรวมเดือนนี้ เทียบกับเดือนก่อน</t>
        </is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</row>
    <row r="10" ht="24" customHeight="1">
      <c r="B10" s="24" t="inlineStr">
        <is>
          <t>รายการ</t>
        </is>
      </c>
      <c r="C10" s="24" t="inlineStr">
        <is>
          <t>เดือนนี้</t>
        </is>
      </c>
      <c r="D10" s="24" t="inlineStr">
        <is>
          <t>เดือนก่อน</t>
        </is>
      </c>
      <c r="E10" s="24" t="inlineStr">
        <is>
          <t>เปลี่ยนแปลง</t>
        </is>
      </c>
      <c r="F10" s="24" t="inlineStr">
        <is>
          <t>%</t>
        </is>
      </c>
      <c r="S10" s="101" t="inlineStr">
        <is>
          <t>หมวดรายรับ</t>
        </is>
      </c>
      <c r="T10" s="101" t="inlineStr">
        <is>
          <t>ยอดเดือนนี้</t>
        </is>
      </c>
      <c r="U10" s="101" t="inlineStr">
        <is>
          <t>อันดับ</t>
        </is>
      </c>
      <c r="W10" s="101" t="inlineStr">
        <is>
          <t>หมวดรายจ่าย</t>
        </is>
      </c>
      <c r="X10" s="101" t="inlineStr">
        <is>
          <t>ยอดเดือนนี้</t>
        </is>
      </c>
      <c r="Y10" s="101" t="inlineStr">
        <is>
          <t>อันดับ</t>
        </is>
      </c>
      <c r="AA10" s="101" t="inlineStr">
        <is>
          <t>หมวดเงินออม</t>
        </is>
      </c>
      <c r="AB10" s="101" t="inlineStr">
        <is>
          <t>ยอดเดือนนี้</t>
        </is>
      </c>
      <c r="AC10" s="101" t="inlineStr">
        <is>
          <t>อันดับ</t>
        </is>
      </c>
    </row>
    <row r="11">
      <c r="B11" s="64" t="inlineStr">
        <is>
          <t>รายรับ</t>
        </is>
      </c>
      <c r="C11" s="55">
        <f>SUMIFS(Transaction!$E:$E,Transaction!$C:$C,"รายรับ",Transaction!$B:$B,"&gt;="&amp;$T$4,Transaction!$B:$B,"&lt;"&amp;$T$5)</f>
        <v/>
      </c>
      <c r="D11" s="33">
        <f>SUMIFS(Transaction!$E:$E,Transaction!$C:$C,"รายรับ",Transaction!$B:$B,"&gt;="&amp;$T$6,Transaction!$B:$B,"&lt;"&amp;$T$4)</f>
        <v/>
      </c>
      <c r="E11" s="102">
        <f>C11-D11</f>
        <v/>
      </c>
      <c r="F11" s="103">
        <f>IF(D11=0,"",(C11-D11)/ABS(D11))</f>
        <v/>
      </c>
      <c r="S11" s="46">
        <f>IF(Setup!$B$6="","",Setup!$B$6)</f>
        <v/>
      </c>
      <c r="T11" s="47">
        <f>IF(S11="","",SUMIFS(Transaction!$E:$E,Transaction!$C:$C,"รายรับ",Transaction!$D:$D,S11,Transaction!$B:$B,"&gt;="&amp;$T$4,Transaction!$B:$B,"&lt;"&amp;$T$5))</f>
        <v/>
      </c>
      <c r="U11" s="94">
        <f>IF(OR(S11="",N(T11)&lt;=0),"",COUNTIF($T$11:$T$25,"&gt;"&amp;T11)+COUNTIF($T$11:T11,T11))</f>
        <v/>
      </c>
      <c r="W11" s="46">
        <f>IF(Setup!$D$6="","",Setup!$D$6)</f>
        <v/>
      </c>
      <c r="X11" s="47">
        <f>IF(W11="","",SUMIFS(Transaction!$E:$E,Transaction!$C:$C,"รายจ่าย",Transaction!$D:$D,W11,Transaction!$B:$B,"&gt;="&amp;$T$4,Transaction!$B:$B,"&lt;"&amp;$T$5))</f>
        <v/>
      </c>
      <c r="Y11" s="94">
        <f>IF(OR(W11="",N(X11)&lt;=0),"",COUNTIF($X$11:$X$35,"&gt;"&amp;X11)+COUNTIF($X$11:X11,X11))</f>
        <v/>
      </c>
      <c r="AA11" s="46">
        <f>IF(Setup!$F$6="","",Setup!$F$6)</f>
        <v/>
      </c>
      <c r="AB11" s="47">
        <f>IF(AA11="","",SUMIFS(Transaction!$E:$E,Transaction!$C:$C,"เงินออม",Transaction!$D:$D,AA11,Transaction!$B:$B,"&gt;="&amp;$T$4,Transaction!$B:$B,"&lt;"&amp;$T$5))</f>
        <v/>
      </c>
      <c r="AC11" s="94">
        <f>IF(OR(AA11="",N(AB11)&lt;=0),"",COUNTIF($AB$11:$AB$25,"&gt;"&amp;AB11)+COUNTIF($AB$11:AB11,AB11))</f>
        <v/>
      </c>
    </row>
    <row r="12">
      <c r="B12" s="68" t="inlineStr">
        <is>
          <t>รายจ่าย</t>
        </is>
      </c>
      <c r="C12" s="55">
        <f>SUMIFS(Transaction!$E:$E,Transaction!$C:$C,"รายจ่าย",Transaction!$B:$B,"&gt;="&amp;$T$4,Transaction!$B:$B,"&lt;"&amp;$T$5)</f>
        <v/>
      </c>
      <c r="D12" s="33">
        <f>SUMIFS(Transaction!$E:$E,Transaction!$C:$C,"รายจ่าย",Transaction!$B:$B,"&gt;="&amp;$T$6,Transaction!$B:$B,"&lt;"&amp;$T$4)</f>
        <v/>
      </c>
      <c r="E12" s="102">
        <f>C12-D12</f>
        <v/>
      </c>
      <c r="F12" s="103">
        <f>IF(D12=0,"",(C12-D12)/ABS(D12))</f>
        <v/>
      </c>
      <c r="S12" s="46">
        <f>IF(Setup!$B$7="","",Setup!$B$7)</f>
        <v/>
      </c>
      <c r="T12" s="47">
        <f>IF(S12="","",SUMIFS(Transaction!$E:$E,Transaction!$C:$C,"รายรับ",Transaction!$D:$D,S12,Transaction!$B:$B,"&gt;="&amp;$T$4,Transaction!$B:$B,"&lt;"&amp;$T$5))</f>
        <v/>
      </c>
      <c r="U12" s="94">
        <f>IF(OR(S12="",N(T12)&lt;=0),"",COUNTIF($T$11:$T$25,"&gt;"&amp;T12)+COUNTIF($T$11:T12,T12))</f>
        <v/>
      </c>
      <c r="W12" s="46">
        <f>IF(Setup!$D$7="","",Setup!$D$7)</f>
        <v/>
      </c>
      <c r="X12" s="47">
        <f>IF(W12="","",SUMIFS(Transaction!$E:$E,Transaction!$C:$C,"รายจ่าย",Transaction!$D:$D,W12,Transaction!$B:$B,"&gt;="&amp;$T$4,Transaction!$B:$B,"&lt;"&amp;$T$5))</f>
        <v/>
      </c>
      <c r="Y12" s="94">
        <f>IF(OR(W12="",N(X12)&lt;=0),"",COUNTIF($X$11:$X$35,"&gt;"&amp;X12)+COUNTIF($X$11:X12,X12))</f>
        <v/>
      </c>
      <c r="AA12" s="46">
        <f>IF(Setup!$F$7="","",Setup!$F$7)</f>
        <v/>
      </c>
      <c r="AB12" s="47">
        <f>IF(AA12="","",SUMIFS(Transaction!$E:$E,Transaction!$C:$C,"เงินออม",Transaction!$D:$D,AA12,Transaction!$B:$B,"&gt;="&amp;$T$4,Transaction!$B:$B,"&lt;"&amp;$T$5))</f>
        <v/>
      </c>
      <c r="AC12" s="94">
        <f>IF(OR(AA12="",N(AB12)&lt;=0),"",COUNTIF($AB$11:$AB$25,"&gt;"&amp;AB12)+COUNTIF($AB$11:AB12,AB12))</f>
        <v/>
      </c>
    </row>
    <row r="13">
      <c r="B13" s="72" t="inlineStr">
        <is>
          <t>เงินออม</t>
        </is>
      </c>
      <c r="C13" s="55">
        <f>SUMIFS(Transaction!$E:$E,Transaction!$C:$C,"เงินออม",Transaction!$B:$B,"&gt;="&amp;$T$4,Transaction!$B:$B,"&lt;"&amp;$T$5)</f>
        <v/>
      </c>
      <c r="D13" s="33">
        <f>SUMIFS(Transaction!$E:$E,Transaction!$C:$C,"เงินออม",Transaction!$B:$B,"&gt;="&amp;$T$6,Transaction!$B:$B,"&lt;"&amp;$T$4)</f>
        <v/>
      </c>
      <c r="E13" s="102">
        <f>C13-D13</f>
        <v/>
      </c>
      <c r="F13" s="103">
        <f>IF(D13=0,"",(C13-D13)/ABS(D13))</f>
        <v/>
      </c>
      <c r="S13" s="46">
        <f>IF(Setup!$B$8="","",Setup!$B$8)</f>
        <v/>
      </c>
      <c r="T13" s="47">
        <f>IF(S13="","",SUMIFS(Transaction!$E:$E,Transaction!$C:$C,"รายรับ",Transaction!$D:$D,S13,Transaction!$B:$B,"&gt;="&amp;$T$4,Transaction!$B:$B,"&lt;"&amp;$T$5))</f>
        <v/>
      </c>
      <c r="U13" s="94">
        <f>IF(OR(S13="",N(T13)&lt;=0),"",COUNTIF($T$11:$T$25,"&gt;"&amp;T13)+COUNTIF($T$11:T13,T13))</f>
        <v/>
      </c>
      <c r="W13" s="46">
        <f>IF(Setup!$D$8="","",Setup!$D$8)</f>
        <v/>
      </c>
      <c r="X13" s="47">
        <f>IF(W13="","",SUMIFS(Transaction!$E:$E,Transaction!$C:$C,"รายจ่าย",Transaction!$D:$D,W13,Transaction!$B:$B,"&gt;="&amp;$T$4,Transaction!$B:$B,"&lt;"&amp;$T$5))</f>
        <v/>
      </c>
      <c r="Y13" s="94">
        <f>IF(OR(W13="",N(X13)&lt;=0),"",COUNTIF($X$11:$X$35,"&gt;"&amp;X13)+COUNTIF($X$11:X13,X13))</f>
        <v/>
      </c>
      <c r="AA13" s="46">
        <f>IF(Setup!$F$8="","",Setup!$F$8)</f>
        <v/>
      </c>
      <c r="AB13" s="47">
        <f>IF(AA13="","",SUMIFS(Transaction!$E:$E,Transaction!$C:$C,"เงินออม",Transaction!$D:$D,AA13,Transaction!$B:$B,"&gt;="&amp;$T$4,Transaction!$B:$B,"&lt;"&amp;$T$5))</f>
        <v/>
      </c>
      <c r="AC13" s="94">
        <f>IF(OR(AA13="",N(AB13)&lt;=0),"",COUNTIF($AB$11:$AB$25,"&gt;"&amp;AB13)+COUNTIF($AB$11:AB13,AB13))</f>
        <v/>
      </c>
    </row>
    <row r="14">
      <c r="B14" s="104" t="inlineStr">
        <is>
          <t>คงเหลือ</t>
        </is>
      </c>
      <c r="C14" s="55">
        <f>C11-C12-C13</f>
        <v/>
      </c>
      <c r="D14" s="33">
        <f>D11-D12-D13</f>
        <v/>
      </c>
      <c r="E14" s="102">
        <f>C14-D14</f>
        <v/>
      </c>
      <c r="F14" s="103">
        <f>IF(D14=0,"",(C14-D14)/ABS(D14))</f>
        <v/>
      </c>
      <c r="S14" s="46">
        <f>IF(Setup!$B$9="","",Setup!$B$9)</f>
        <v/>
      </c>
      <c r="T14" s="47">
        <f>IF(S14="","",SUMIFS(Transaction!$E:$E,Transaction!$C:$C,"รายรับ",Transaction!$D:$D,S14,Transaction!$B:$B,"&gt;="&amp;$T$4,Transaction!$B:$B,"&lt;"&amp;$T$5))</f>
        <v/>
      </c>
      <c r="U14" s="94">
        <f>IF(OR(S14="",N(T14)&lt;=0),"",COUNTIF($T$11:$T$25,"&gt;"&amp;T14)+COUNTIF($T$11:T14,T14))</f>
        <v/>
      </c>
      <c r="W14" s="46">
        <f>IF(Setup!$D$9="","",Setup!$D$9)</f>
        <v/>
      </c>
      <c r="X14" s="47">
        <f>IF(W14="","",SUMIFS(Transaction!$E:$E,Transaction!$C:$C,"รายจ่าย",Transaction!$D:$D,W14,Transaction!$B:$B,"&gt;="&amp;$T$4,Transaction!$B:$B,"&lt;"&amp;$T$5))</f>
        <v/>
      </c>
      <c r="Y14" s="94">
        <f>IF(OR(W14="",N(X14)&lt;=0),"",COUNTIF($X$11:$X$35,"&gt;"&amp;X14)+COUNTIF($X$11:X14,X14))</f>
        <v/>
      </c>
      <c r="AA14" s="46">
        <f>IF(Setup!$F$9="","",Setup!$F$9)</f>
        <v/>
      </c>
      <c r="AB14" s="47">
        <f>IF(AA14="","",SUMIFS(Transaction!$E:$E,Transaction!$C:$C,"เงินออม",Transaction!$D:$D,AA14,Transaction!$B:$B,"&gt;="&amp;$T$4,Transaction!$B:$B,"&lt;"&amp;$T$5))</f>
        <v/>
      </c>
      <c r="AC14" s="94">
        <f>IF(OR(AA14="",N(AB14)&lt;=0),"",COUNTIF($AB$11:$AB$25,"&gt;"&amp;AB14)+COUNTIF($AB$11:AB14,AB14))</f>
        <v/>
      </c>
    </row>
    <row r="15" ht="8" customHeight="1">
      <c r="S15" s="46">
        <f>IF(Setup!$B$10="","",Setup!$B$10)</f>
        <v/>
      </c>
      <c r="T15" s="47">
        <f>IF(S15="","",SUMIFS(Transaction!$E:$E,Transaction!$C:$C,"รายรับ",Transaction!$D:$D,S15,Transaction!$B:$B,"&gt;="&amp;$T$4,Transaction!$B:$B,"&lt;"&amp;$T$5))</f>
        <v/>
      </c>
      <c r="U15" s="94">
        <f>IF(OR(S15="",N(T15)&lt;=0),"",COUNTIF($T$11:$T$25,"&gt;"&amp;T15)+COUNTIF($T$11:T15,T15))</f>
        <v/>
      </c>
      <c r="W15" s="46">
        <f>IF(Setup!$D$10="","",Setup!$D$10)</f>
        <v/>
      </c>
      <c r="X15" s="47">
        <f>IF(W15="","",SUMIFS(Transaction!$E:$E,Transaction!$C:$C,"รายจ่าย",Transaction!$D:$D,W15,Transaction!$B:$B,"&gt;="&amp;$T$4,Transaction!$B:$B,"&lt;"&amp;$T$5))</f>
        <v/>
      </c>
      <c r="Y15" s="94">
        <f>IF(OR(W15="",N(X15)&lt;=0),"",COUNTIF($X$11:$X$35,"&gt;"&amp;X15)+COUNTIF($X$11:X15,X15))</f>
        <v/>
      </c>
      <c r="AA15" s="46">
        <f>IF(Setup!$F$10="","",Setup!$F$10)</f>
        <v/>
      </c>
      <c r="AB15" s="47">
        <f>IF(AA15="","",SUMIFS(Transaction!$E:$E,Transaction!$C:$C,"เงินออม",Transaction!$D:$D,AA15,Transaction!$B:$B,"&gt;="&amp;$T$4,Transaction!$B:$B,"&lt;"&amp;$T$5))</f>
        <v/>
      </c>
      <c r="AC15" s="94">
        <f>IF(OR(AA15="",N(AB15)&lt;=0),"",COUNTIF($AB$11:$AB$25,"&gt;"&amp;AB15)+COUNTIF($AB$11:AB15,AB15))</f>
        <v/>
      </c>
    </row>
    <row r="16" ht="24" customHeight="1">
      <c r="B16" s="24" t="inlineStr">
        <is>
          <t>การใช้รายรับเดือนนี้</t>
        </is>
      </c>
      <c r="C16" s="24" t="inlineStr">
        <is>
          <t>จำนวนเงิน</t>
        </is>
      </c>
      <c r="D16" s="24" t="inlineStr">
        <is>
          <t>สัดส่วน</t>
        </is>
      </c>
      <c r="S16" s="46">
        <f>IF(Setup!$B$11="","",Setup!$B$11)</f>
        <v/>
      </c>
      <c r="T16" s="47">
        <f>IF(S16="","",SUMIFS(Transaction!$E:$E,Transaction!$C:$C,"รายรับ",Transaction!$D:$D,S16,Transaction!$B:$B,"&gt;="&amp;$T$4,Transaction!$B:$B,"&lt;"&amp;$T$5))</f>
        <v/>
      </c>
      <c r="U16" s="94">
        <f>IF(OR(S16="",N(T16)&lt;=0),"",COUNTIF($T$11:$T$25,"&gt;"&amp;T16)+COUNTIF($T$11:T16,T16))</f>
        <v/>
      </c>
      <c r="W16" s="46">
        <f>IF(Setup!$D$11="","",Setup!$D$11)</f>
        <v/>
      </c>
      <c r="X16" s="47">
        <f>IF(W16="","",SUMIFS(Transaction!$E:$E,Transaction!$C:$C,"รายจ่าย",Transaction!$D:$D,W16,Transaction!$B:$B,"&gt;="&amp;$T$4,Transaction!$B:$B,"&lt;"&amp;$T$5))</f>
        <v/>
      </c>
      <c r="Y16" s="94">
        <f>IF(OR(W16="",N(X16)&lt;=0),"",COUNTIF($X$11:$X$35,"&gt;"&amp;X16)+COUNTIF($X$11:X16,X16))</f>
        <v/>
      </c>
      <c r="AA16" s="46">
        <f>IF(Setup!$F$11="","",Setup!$F$11)</f>
        <v/>
      </c>
      <c r="AB16" s="47">
        <f>IF(AA16="","",SUMIFS(Transaction!$E:$E,Transaction!$C:$C,"เงินออม",Transaction!$D:$D,AA16,Transaction!$B:$B,"&gt;="&amp;$T$4,Transaction!$B:$B,"&lt;"&amp;$T$5))</f>
        <v/>
      </c>
      <c r="AC16" s="94">
        <f>IF(OR(AA16="",N(AB16)&lt;=0),"",COUNTIF($AB$11:$AB$25,"&gt;"&amp;AB16)+COUNTIF($AB$11:AB16,AB16))</f>
        <v/>
      </c>
    </row>
    <row r="17">
      <c r="B17" s="68" t="inlineStr">
        <is>
          <t>รายจ่าย</t>
        </is>
      </c>
      <c r="C17" s="30">
        <f>C12</f>
        <v/>
      </c>
      <c r="D17" s="32">
        <f>IF($C$11=0,"",C17/$C$11)</f>
        <v/>
      </c>
      <c r="S17" s="46">
        <f>IF(Setup!$B$12="","",Setup!$B$12)</f>
        <v/>
      </c>
      <c r="T17" s="47">
        <f>IF(S17="","",SUMIFS(Transaction!$E:$E,Transaction!$C:$C,"รายรับ",Transaction!$D:$D,S17,Transaction!$B:$B,"&gt;="&amp;$T$4,Transaction!$B:$B,"&lt;"&amp;$T$5))</f>
        <v/>
      </c>
      <c r="U17" s="94">
        <f>IF(OR(S17="",N(T17)&lt;=0),"",COUNTIF($T$11:$T$25,"&gt;"&amp;T17)+COUNTIF($T$11:T17,T17))</f>
        <v/>
      </c>
      <c r="W17" s="46">
        <f>IF(Setup!$D$12="","",Setup!$D$12)</f>
        <v/>
      </c>
      <c r="X17" s="47">
        <f>IF(W17="","",SUMIFS(Transaction!$E:$E,Transaction!$C:$C,"รายจ่าย",Transaction!$D:$D,W17,Transaction!$B:$B,"&gt;="&amp;$T$4,Transaction!$B:$B,"&lt;"&amp;$T$5))</f>
        <v/>
      </c>
      <c r="Y17" s="94">
        <f>IF(OR(W17="",N(X17)&lt;=0),"",COUNTIF($X$11:$X$35,"&gt;"&amp;X17)+COUNTIF($X$11:X17,X17))</f>
        <v/>
      </c>
      <c r="AA17" s="46">
        <f>IF(Setup!$F$12="","",Setup!$F$12)</f>
        <v/>
      </c>
      <c r="AB17" s="47">
        <f>IF(AA17="","",SUMIFS(Transaction!$E:$E,Transaction!$C:$C,"เงินออม",Transaction!$D:$D,AA17,Transaction!$B:$B,"&gt;="&amp;$T$4,Transaction!$B:$B,"&lt;"&amp;$T$5))</f>
        <v/>
      </c>
      <c r="AC17" s="94">
        <f>IF(OR(AA17="",N(AB17)&lt;=0),"",COUNTIF($AB$11:$AB$25,"&gt;"&amp;AB17)+COUNTIF($AB$11:AB17,AB17))</f>
        <v/>
      </c>
    </row>
    <row r="18">
      <c r="B18" s="72" t="inlineStr">
        <is>
          <t>เงินออม</t>
        </is>
      </c>
      <c r="C18" s="30">
        <f>C13</f>
        <v/>
      </c>
      <c r="D18" s="32">
        <f>IF($C$11=0,"",C18/$C$11)</f>
        <v/>
      </c>
      <c r="S18" s="46">
        <f>IF(Setup!$B$13="","",Setup!$B$13)</f>
        <v/>
      </c>
      <c r="T18" s="47">
        <f>IF(S18="","",SUMIFS(Transaction!$E:$E,Transaction!$C:$C,"รายรับ",Transaction!$D:$D,S18,Transaction!$B:$B,"&gt;="&amp;$T$4,Transaction!$B:$B,"&lt;"&amp;$T$5))</f>
        <v/>
      </c>
      <c r="U18" s="94">
        <f>IF(OR(S18="",N(T18)&lt;=0),"",COUNTIF($T$11:$T$25,"&gt;"&amp;T18)+COUNTIF($T$11:T18,T18))</f>
        <v/>
      </c>
      <c r="W18" s="46">
        <f>IF(Setup!$D$13="","",Setup!$D$13)</f>
        <v/>
      </c>
      <c r="X18" s="47">
        <f>IF(W18="","",SUMIFS(Transaction!$E:$E,Transaction!$C:$C,"รายจ่าย",Transaction!$D:$D,W18,Transaction!$B:$B,"&gt;="&amp;$T$4,Transaction!$B:$B,"&lt;"&amp;$T$5))</f>
        <v/>
      </c>
      <c r="Y18" s="94">
        <f>IF(OR(W18="",N(X18)&lt;=0),"",COUNTIF($X$11:$X$35,"&gt;"&amp;X18)+COUNTIF($X$11:X18,X18))</f>
        <v/>
      </c>
      <c r="AA18" s="46">
        <f>IF(Setup!$F$13="","",Setup!$F$13)</f>
        <v/>
      </c>
      <c r="AB18" s="47">
        <f>IF(AA18="","",SUMIFS(Transaction!$E:$E,Transaction!$C:$C,"เงินออม",Transaction!$D:$D,AA18,Transaction!$B:$B,"&gt;="&amp;$T$4,Transaction!$B:$B,"&lt;"&amp;$T$5))</f>
        <v/>
      </c>
      <c r="AC18" s="94">
        <f>IF(OR(AA18="",N(AB18)&lt;=0),"",COUNTIF($AB$11:$AB$25,"&gt;"&amp;AB18)+COUNTIF($AB$11:AB18,AB18))</f>
        <v/>
      </c>
    </row>
    <row r="19">
      <c r="B19" s="104" t="inlineStr">
        <is>
          <t>คงเหลือ</t>
        </is>
      </c>
      <c r="C19" s="30">
        <f>MAX(0,C14)</f>
        <v/>
      </c>
      <c r="D19" s="32">
        <f>IF($C$11=0,"",C19/$C$11)</f>
        <v/>
      </c>
      <c r="S19" s="46">
        <f>IF(Setup!$B$14="","",Setup!$B$14)</f>
        <v/>
      </c>
      <c r="T19" s="47">
        <f>IF(S19="","",SUMIFS(Transaction!$E:$E,Transaction!$C:$C,"รายรับ",Transaction!$D:$D,S19,Transaction!$B:$B,"&gt;="&amp;$T$4,Transaction!$B:$B,"&lt;"&amp;$T$5))</f>
        <v/>
      </c>
      <c r="U19" s="94">
        <f>IF(OR(S19="",N(T19)&lt;=0),"",COUNTIF($T$11:$T$25,"&gt;"&amp;T19)+COUNTIF($T$11:T19,T19))</f>
        <v/>
      </c>
      <c r="W19" s="46">
        <f>IF(Setup!$D$14="","",Setup!$D$14)</f>
        <v/>
      </c>
      <c r="X19" s="47">
        <f>IF(W19="","",SUMIFS(Transaction!$E:$E,Transaction!$C:$C,"รายจ่าย",Transaction!$D:$D,W19,Transaction!$B:$B,"&gt;="&amp;$T$4,Transaction!$B:$B,"&lt;"&amp;$T$5))</f>
        <v/>
      </c>
      <c r="Y19" s="94">
        <f>IF(OR(W19="",N(X19)&lt;=0),"",COUNTIF($X$11:$X$35,"&gt;"&amp;X19)+COUNTIF($X$11:X19,X19))</f>
        <v/>
      </c>
      <c r="AA19" s="46">
        <f>IF(Setup!$F$14="","",Setup!$F$14)</f>
        <v/>
      </c>
      <c r="AB19" s="47">
        <f>IF(AA19="","",SUMIFS(Transaction!$E:$E,Transaction!$C:$C,"เงินออม",Transaction!$D:$D,AA19,Transaction!$B:$B,"&gt;="&amp;$T$4,Transaction!$B:$B,"&lt;"&amp;$T$5))</f>
        <v/>
      </c>
      <c r="AC19" s="94">
        <f>IF(OR(AA19="",N(AB19)&lt;=0),"",COUNTIF($AB$11:$AB$25,"&gt;"&amp;AB19)+COUNTIF($AB$11:AB19,AB19))</f>
        <v/>
      </c>
    </row>
    <row r="20">
      <c r="B20" s="105">
        <f>IF(C11+C12+C13=0,"ยังไม่มีข้อมูลในเดือนนี้",IF(C14&lt;0,"⚠ เดือนนี้ใช้เงินเกินรายรับ ฿"&amp;TEXT(-C14,"#,##0"),"✅ เดือนนี้มีเงินเหลือ ฿"&amp;TEXT(C14,"#,##0")))</f>
        <v/>
      </c>
      <c r="C20" s="105" t="n"/>
      <c r="D20" s="105" t="n"/>
      <c r="E20" s="105" t="n"/>
      <c r="F20" s="105" t="n"/>
      <c r="S20" s="46">
        <f>IF(Setup!$B$15="","",Setup!$B$15)</f>
        <v/>
      </c>
      <c r="T20" s="47">
        <f>IF(S20="","",SUMIFS(Transaction!$E:$E,Transaction!$C:$C,"รายรับ",Transaction!$D:$D,S20,Transaction!$B:$B,"&gt;="&amp;$T$4,Transaction!$B:$B,"&lt;"&amp;$T$5))</f>
        <v/>
      </c>
      <c r="U20" s="94">
        <f>IF(OR(S20="",N(T20)&lt;=0),"",COUNTIF($T$11:$T$25,"&gt;"&amp;T20)+COUNTIF($T$11:T20,T20))</f>
        <v/>
      </c>
      <c r="W20" s="46">
        <f>IF(Setup!$D$15="","",Setup!$D$15)</f>
        <v/>
      </c>
      <c r="X20" s="47">
        <f>IF(W20="","",SUMIFS(Transaction!$E:$E,Transaction!$C:$C,"รายจ่าย",Transaction!$D:$D,W20,Transaction!$B:$B,"&gt;="&amp;$T$4,Transaction!$B:$B,"&lt;"&amp;$T$5))</f>
        <v/>
      </c>
      <c r="Y20" s="94">
        <f>IF(OR(W20="",N(X20)&lt;=0),"",COUNTIF($X$11:$X$35,"&gt;"&amp;X20)+COUNTIF($X$11:X20,X20))</f>
        <v/>
      </c>
      <c r="AA20" s="46">
        <f>IF(Setup!$F$15="","",Setup!$F$15)</f>
        <v/>
      </c>
      <c r="AB20" s="47">
        <f>IF(AA20="","",SUMIFS(Transaction!$E:$E,Transaction!$C:$C,"เงินออม",Transaction!$D:$D,AA20,Transaction!$B:$B,"&gt;="&amp;$T$4,Transaction!$B:$B,"&lt;"&amp;$T$5))</f>
        <v/>
      </c>
      <c r="AC20" s="94">
        <f>IF(OR(AA20="",N(AB20)&lt;=0),"",COUNTIF($AB$11:$AB$25,"&gt;"&amp;AB20)+COUNTIF($AB$11:AB20,AB20))</f>
        <v/>
      </c>
    </row>
    <row r="21" ht="8" customHeight="1">
      <c r="S21" s="46">
        <f>IF(Setup!$B$16="","",Setup!$B$16)</f>
        <v/>
      </c>
      <c r="T21" s="47">
        <f>IF(S21="","",SUMIFS(Transaction!$E:$E,Transaction!$C:$C,"รายรับ",Transaction!$D:$D,S21,Transaction!$B:$B,"&gt;="&amp;$T$4,Transaction!$B:$B,"&lt;"&amp;$T$5))</f>
        <v/>
      </c>
      <c r="U21" s="94">
        <f>IF(OR(S21="",N(T21)&lt;=0),"",COUNTIF($T$11:$T$25,"&gt;"&amp;T21)+COUNTIF($T$11:T21,T21))</f>
        <v/>
      </c>
      <c r="W21" s="46">
        <f>IF(Setup!$D$16="","",Setup!$D$16)</f>
        <v/>
      </c>
      <c r="X21" s="47">
        <f>IF(W21="","",SUMIFS(Transaction!$E:$E,Transaction!$C:$C,"รายจ่าย",Transaction!$D:$D,W21,Transaction!$B:$B,"&gt;="&amp;$T$4,Transaction!$B:$B,"&lt;"&amp;$T$5))</f>
        <v/>
      </c>
      <c r="Y21" s="94">
        <f>IF(OR(W21="",N(X21)&lt;=0),"",COUNTIF($X$11:$X$35,"&gt;"&amp;X21)+COUNTIF($X$11:X21,X21))</f>
        <v/>
      </c>
      <c r="AA21" s="46">
        <f>IF(Setup!$F$16="","",Setup!$F$16)</f>
        <v/>
      </c>
      <c r="AB21" s="47">
        <f>IF(AA21="","",SUMIFS(Transaction!$E:$E,Transaction!$C:$C,"เงินออม",Transaction!$D:$D,AA21,Transaction!$B:$B,"&gt;="&amp;$T$4,Transaction!$B:$B,"&lt;"&amp;$T$5))</f>
        <v/>
      </c>
      <c r="AC21" s="94">
        <f>IF(OR(AA21="",N(AB21)&lt;=0),"",COUNTIF($AB$11:$AB$25,"&gt;"&amp;AB21)+COUNTIF($AB$11:AB21,AB21))</f>
        <v/>
      </c>
    </row>
    <row r="22" ht="22" customHeight="1">
      <c r="B22" s="106" t="inlineStr">
        <is>
          <t>📌 ข้อมูลน่ารู้</t>
        </is>
      </c>
      <c r="C22" s="106" t="n"/>
      <c r="D22" s="106" t="n"/>
      <c r="E22" s="106" t="n"/>
      <c r="F22" s="106" t="n"/>
      <c r="S22" s="46">
        <f>IF(Setup!$B$17="","",Setup!$B$17)</f>
        <v/>
      </c>
      <c r="T22" s="47">
        <f>IF(S22="","",SUMIFS(Transaction!$E:$E,Transaction!$C:$C,"รายรับ",Transaction!$D:$D,S22,Transaction!$B:$B,"&gt;="&amp;$T$4,Transaction!$B:$B,"&lt;"&amp;$T$5))</f>
        <v/>
      </c>
      <c r="U22" s="94">
        <f>IF(OR(S22="",N(T22)&lt;=0),"",COUNTIF($T$11:$T$25,"&gt;"&amp;T22)+COUNTIF($T$11:T22,T22))</f>
        <v/>
      </c>
      <c r="W22" s="46">
        <f>IF(Setup!$D$17="","",Setup!$D$17)</f>
        <v/>
      </c>
      <c r="X22" s="47">
        <f>IF(W22="","",SUMIFS(Transaction!$E:$E,Transaction!$C:$C,"รายจ่าย",Transaction!$D:$D,W22,Transaction!$B:$B,"&gt;="&amp;$T$4,Transaction!$B:$B,"&lt;"&amp;$T$5))</f>
        <v/>
      </c>
      <c r="Y22" s="94">
        <f>IF(OR(W22="",N(X22)&lt;=0),"",COUNTIF($X$11:$X$35,"&gt;"&amp;X22)+COUNTIF($X$11:X22,X22))</f>
        <v/>
      </c>
      <c r="AA22" s="46">
        <f>IF(Setup!$F$17="","",Setup!$F$17)</f>
        <v/>
      </c>
      <c r="AB22" s="47">
        <f>IF(AA22="","",SUMIFS(Transaction!$E:$E,Transaction!$C:$C,"เงินออม",Transaction!$D:$D,AA22,Transaction!$B:$B,"&gt;="&amp;$T$4,Transaction!$B:$B,"&lt;"&amp;$T$5))</f>
        <v/>
      </c>
      <c r="AC22" s="94">
        <f>IF(OR(AA22="",N(AB22)&lt;=0),"",COUNTIF($AB$11:$AB$25,"&gt;"&amp;AB22)+COUNTIF($AB$11:AB22,AB22))</f>
        <v/>
      </c>
    </row>
    <row r="23">
      <c r="B23" s="107" t="inlineStr">
        <is>
          <t>รายจ่ายเฉลี่ยต่อวัน</t>
        </is>
      </c>
      <c r="C23" s="108">
        <f>IF(N($T$7)=0,0,$C$12/$T$7)</f>
        <v/>
      </c>
      <c r="D23" s="108" t="n"/>
      <c r="E23" s="108" t="n"/>
      <c r="F23" s="108" t="n"/>
      <c r="S23" s="46">
        <f>IF(Setup!$B$18="","",Setup!$B$18)</f>
        <v/>
      </c>
      <c r="T23" s="47">
        <f>IF(S23="","",SUMIFS(Transaction!$E:$E,Transaction!$C:$C,"รายรับ",Transaction!$D:$D,S23,Transaction!$B:$B,"&gt;="&amp;$T$4,Transaction!$B:$B,"&lt;"&amp;$T$5))</f>
        <v/>
      </c>
      <c r="U23" s="94">
        <f>IF(OR(S23="",N(T23)&lt;=0),"",COUNTIF($T$11:$T$25,"&gt;"&amp;T23)+COUNTIF($T$11:T23,T23))</f>
        <v/>
      </c>
      <c r="W23" s="46">
        <f>IF(Setup!$D$18="","",Setup!$D$18)</f>
        <v/>
      </c>
      <c r="X23" s="47">
        <f>IF(W23="","",SUMIFS(Transaction!$E:$E,Transaction!$C:$C,"รายจ่าย",Transaction!$D:$D,W23,Transaction!$B:$B,"&gt;="&amp;$T$4,Transaction!$B:$B,"&lt;"&amp;$T$5))</f>
        <v/>
      </c>
      <c r="Y23" s="94">
        <f>IF(OR(W23="",N(X23)&lt;=0),"",COUNTIF($X$11:$X$35,"&gt;"&amp;X23)+COUNTIF($X$11:X23,X23))</f>
        <v/>
      </c>
      <c r="AA23" s="46">
        <f>IF(Setup!$F$18="","",Setup!$F$18)</f>
        <v/>
      </c>
      <c r="AB23" s="47">
        <f>IF(AA23="","",SUMIFS(Transaction!$E:$E,Transaction!$C:$C,"เงินออม",Transaction!$D:$D,AA23,Transaction!$B:$B,"&gt;="&amp;$T$4,Transaction!$B:$B,"&lt;"&amp;$T$5))</f>
        <v/>
      </c>
      <c r="AC23" s="94">
        <f>IF(OR(AA23="",N(AB23)&lt;=0),"",COUNTIF($AB$11:$AB$25,"&gt;"&amp;AB23)+COUNTIF($AB$11:AB23,AB23))</f>
        <v/>
      </c>
    </row>
    <row r="24">
      <c r="B24" s="107" t="inlineStr">
        <is>
          <t>รายจ่ายก้อนใหญ่สุดของเดือน</t>
        </is>
      </c>
      <c r="C24" s="108">
        <f>_xlfn.MAXIFS(Transaction!$E:$E,Transaction!$C:$C,"รายจ่าย",Transaction!$B:$B,"&gt;="&amp;$T$4,Transaction!$B:$B,"&lt;"&amp;$T$5)</f>
        <v/>
      </c>
      <c r="D24" s="108" t="n"/>
      <c r="E24" s="108" t="n"/>
      <c r="F24" s="108" t="n"/>
      <c r="S24" s="46">
        <f>IF(Setup!$B$19="","",Setup!$B$19)</f>
        <v/>
      </c>
      <c r="T24" s="47">
        <f>IF(S24="","",SUMIFS(Transaction!$E:$E,Transaction!$C:$C,"รายรับ",Transaction!$D:$D,S24,Transaction!$B:$B,"&gt;="&amp;$T$4,Transaction!$B:$B,"&lt;"&amp;$T$5))</f>
        <v/>
      </c>
      <c r="U24" s="94">
        <f>IF(OR(S24="",N(T24)&lt;=0),"",COUNTIF($T$11:$T$25,"&gt;"&amp;T24)+COUNTIF($T$11:T24,T24))</f>
        <v/>
      </c>
      <c r="W24" s="46">
        <f>IF(Setup!$D$19="","",Setup!$D$19)</f>
        <v/>
      </c>
      <c r="X24" s="47">
        <f>IF(W24="","",SUMIFS(Transaction!$E:$E,Transaction!$C:$C,"รายจ่าย",Transaction!$D:$D,W24,Transaction!$B:$B,"&gt;="&amp;$T$4,Transaction!$B:$B,"&lt;"&amp;$T$5))</f>
        <v/>
      </c>
      <c r="Y24" s="94">
        <f>IF(OR(W24="",N(X24)&lt;=0),"",COUNTIF($X$11:$X$35,"&gt;"&amp;X24)+COUNTIF($X$11:X24,X24))</f>
        <v/>
      </c>
      <c r="AA24" s="46">
        <f>IF(Setup!$F$19="","",Setup!$F$19)</f>
        <v/>
      </c>
      <c r="AB24" s="47">
        <f>IF(AA24="","",SUMIFS(Transaction!$E:$E,Transaction!$C:$C,"เงินออม",Transaction!$D:$D,AA24,Transaction!$B:$B,"&gt;="&amp;$T$4,Transaction!$B:$B,"&lt;"&amp;$T$5))</f>
        <v/>
      </c>
      <c r="AC24" s="94">
        <f>IF(OR(AA24="",N(AB24)&lt;=0),"",COUNTIF($AB$11:$AB$25,"&gt;"&amp;AB24)+COUNTIF($AB$11:AB24,AB24))</f>
        <v/>
      </c>
    </row>
    <row r="25">
      <c r="B25" s="107" t="inlineStr">
        <is>
          <t>หมวดที่ใช้จ่ายมากที่สุด</t>
        </is>
      </c>
      <c r="C25" s="54">
        <f>IFERROR(INDEX($W$11:$W$35,MATCH(1,$Y$11:$Y$35,0)),"-")</f>
        <v/>
      </c>
      <c r="D25" s="54" t="n"/>
      <c r="E25" s="54" t="n"/>
      <c r="F25" s="54" t="n"/>
      <c r="S25" s="46">
        <f>IF(Setup!$B$20="","",Setup!$B$20)</f>
        <v/>
      </c>
      <c r="T25" s="47">
        <f>IF(S25="","",SUMIFS(Transaction!$E:$E,Transaction!$C:$C,"รายรับ",Transaction!$D:$D,S25,Transaction!$B:$B,"&gt;="&amp;$T$4,Transaction!$B:$B,"&lt;"&amp;$T$5))</f>
        <v/>
      </c>
      <c r="U25" s="94">
        <f>IF(OR(S25="",N(T25)&lt;=0),"",COUNTIF($T$11:$T$25,"&gt;"&amp;T25)+COUNTIF($T$11:T25,T25))</f>
        <v/>
      </c>
      <c r="W25" s="46">
        <f>IF(Setup!$D$20="","",Setup!$D$20)</f>
        <v/>
      </c>
      <c r="X25" s="47">
        <f>IF(W25="","",SUMIFS(Transaction!$E:$E,Transaction!$C:$C,"รายจ่าย",Transaction!$D:$D,W25,Transaction!$B:$B,"&gt;="&amp;$T$4,Transaction!$B:$B,"&lt;"&amp;$T$5))</f>
        <v/>
      </c>
      <c r="Y25" s="94">
        <f>IF(OR(W25="",N(X25)&lt;=0),"",COUNTIF($X$11:$X$35,"&gt;"&amp;X25)+COUNTIF($X$11:X25,X25))</f>
        <v/>
      </c>
      <c r="AA25" s="46">
        <f>IF(Setup!$F$20="","",Setup!$F$20)</f>
        <v/>
      </c>
      <c r="AB25" s="47">
        <f>IF(AA25="","",SUMIFS(Transaction!$E:$E,Transaction!$C:$C,"เงินออม",Transaction!$D:$D,AA25,Transaction!$B:$B,"&gt;="&amp;$T$4,Transaction!$B:$B,"&lt;"&amp;$T$5))</f>
        <v/>
      </c>
      <c r="AC25" s="94">
        <f>IF(OR(AA25="",N(AB25)&lt;=0),"",COUNTIF($AB$11:$AB$25,"&gt;"&amp;AB25)+COUNTIF($AB$11:AB25,AB25))</f>
        <v/>
      </c>
    </row>
    <row r="26" ht="10" customHeight="1">
      <c r="S26" s="44" t="inlineStr">
        <is>
          <t>รวม</t>
        </is>
      </c>
      <c r="T26" s="109">
        <f>SUM(T11:T25)</f>
        <v/>
      </c>
      <c r="U26" s="41" t="n"/>
      <c r="W26" s="46">
        <f>IF(Setup!$D$21="","",Setup!$D$21)</f>
        <v/>
      </c>
      <c r="X26" s="47">
        <f>IF(W26="","",SUMIFS(Transaction!$E:$E,Transaction!$C:$C,"รายจ่าย",Transaction!$D:$D,W26,Transaction!$B:$B,"&gt;="&amp;$T$4,Transaction!$B:$B,"&lt;"&amp;$T$5))</f>
        <v/>
      </c>
      <c r="Y26" s="94">
        <f>IF(OR(W26="",N(X26)&lt;=0),"",COUNTIF($X$11:$X$35,"&gt;"&amp;X26)+COUNTIF($X$11:X26,X26))</f>
        <v/>
      </c>
      <c r="AA26" s="44" t="inlineStr">
        <is>
          <t>รวม</t>
        </is>
      </c>
      <c r="AB26" s="109">
        <f>SUM(AB11:AB25)</f>
        <v/>
      </c>
      <c r="AC26" s="41" t="n"/>
    </row>
    <row r="27" ht="10" customHeight="1">
      <c r="W27" s="46">
        <f>IF(Setup!$D$22="","",Setup!$D$22)</f>
        <v/>
      </c>
      <c r="X27" s="47">
        <f>IF(W27="","",SUMIFS(Transaction!$E:$E,Transaction!$C:$C,"รายจ่าย",Transaction!$D:$D,W27,Transaction!$B:$B,"&gt;="&amp;$T$4,Transaction!$B:$B,"&lt;"&amp;$T$5))</f>
        <v/>
      </c>
      <c r="Y27" s="94">
        <f>IF(OR(W27="",N(X27)&lt;=0),"",COUNTIF($X$11:$X$35,"&gt;"&amp;X27)+COUNTIF($X$11:X27,X27))</f>
        <v/>
      </c>
    </row>
    <row r="28" ht="26" customHeight="1">
      <c r="B28" s="23" t="inlineStr">
        <is>
          <t>🥧 สัดส่วนตามหมวดหมู่ &amp; Top 10 ของเดือนนี้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W28" s="46">
        <f>IF(Setup!$D$23="","",Setup!$D$23)</f>
        <v/>
      </c>
      <c r="X28" s="47">
        <f>IF(W28="","",SUMIFS(Transaction!$E:$E,Transaction!$C:$C,"รายจ่าย",Transaction!$D:$D,W28,Transaction!$B:$B,"&gt;="&amp;$T$4,Transaction!$B:$B,"&lt;"&amp;$T$5))</f>
        <v/>
      </c>
      <c r="Y28" s="94">
        <f>IF(OR(W28="",N(X28)&lt;=0),"",COUNTIF($X$11:$X$35,"&gt;"&amp;X28)+COUNTIF($X$11:X28,X28))</f>
        <v/>
      </c>
    </row>
    <row r="29">
      <c r="W29" s="46">
        <f>IF(Setup!$D$24="","",Setup!$D$24)</f>
        <v/>
      </c>
      <c r="X29" s="47">
        <f>IF(W29="","",SUMIFS(Transaction!$E:$E,Transaction!$C:$C,"รายจ่าย",Transaction!$D:$D,W29,Transaction!$B:$B,"&gt;="&amp;$T$4,Transaction!$B:$B,"&lt;"&amp;$T$5))</f>
        <v/>
      </c>
      <c r="Y29" s="94">
        <f>IF(OR(W29="",N(X29)&lt;=0),"",COUNTIF($X$11:$X$35,"&gt;"&amp;X29)+COUNTIF($X$11:X29,X29))</f>
        <v/>
      </c>
    </row>
    <row r="30">
      <c r="W30" s="46">
        <f>IF(Setup!$D$25="","",Setup!$D$25)</f>
        <v/>
      </c>
      <c r="X30" s="47">
        <f>IF(W30="","",SUMIFS(Transaction!$E:$E,Transaction!$C:$C,"รายจ่าย",Transaction!$D:$D,W30,Transaction!$B:$B,"&gt;="&amp;$T$4,Transaction!$B:$B,"&lt;"&amp;$T$5))</f>
        <v/>
      </c>
      <c r="Y30" s="94">
        <f>IF(OR(W30="",N(X30)&lt;=0),"",COUNTIF($X$11:$X$35,"&gt;"&amp;X30)+COUNTIF($X$11:X30,X30))</f>
        <v/>
      </c>
    </row>
    <row r="31">
      <c r="W31" s="46">
        <f>IF(Setup!$D$26="","",Setup!$D$26)</f>
        <v/>
      </c>
      <c r="X31" s="47">
        <f>IF(W31="","",SUMIFS(Transaction!$E:$E,Transaction!$C:$C,"รายจ่าย",Transaction!$D:$D,W31,Transaction!$B:$B,"&gt;="&amp;$T$4,Transaction!$B:$B,"&lt;"&amp;$T$5))</f>
        <v/>
      </c>
      <c r="Y31" s="94">
        <f>IF(OR(W31="",N(X31)&lt;=0),"",COUNTIF($X$11:$X$35,"&gt;"&amp;X31)+COUNTIF($X$11:X31,X31))</f>
        <v/>
      </c>
    </row>
    <row r="32">
      <c r="W32" s="46">
        <f>IF(Setup!$D$27="","",Setup!$D$27)</f>
        <v/>
      </c>
      <c r="X32" s="47">
        <f>IF(W32="","",SUMIFS(Transaction!$E:$E,Transaction!$C:$C,"รายจ่าย",Transaction!$D:$D,W32,Transaction!$B:$B,"&gt;="&amp;$T$4,Transaction!$B:$B,"&lt;"&amp;$T$5))</f>
        <v/>
      </c>
      <c r="Y32" s="94">
        <f>IF(OR(W32="",N(X32)&lt;=0),"",COUNTIF($X$11:$X$35,"&gt;"&amp;X32)+COUNTIF($X$11:X32,X32))</f>
        <v/>
      </c>
    </row>
    <row r="33">
      <c r="W33" s="46">
        <f>IF(Setup!$D$28="","",Setup!$D$28)</f>
        <v/>
      </c>
      <c r="X33" s="47">
        <f>IF(W33="","",SUMIFS(Transaction!$E:$E,Transaction!$C:$C,"รายจ่าย",Transaction!$D:$D,W33,Transaction!$B:$B,"&gt;="&amp;$T$4,Transaction!$B:$B,"&lt;"&amp;$T$5))</f>
        <v/>
      </c>
      <c r="Y33" s="94">
        <f>IF(OR(W33="",N(X33)&lt;=0),"",COUNTIF($X$11:$X$35,"&gt;"&amp;X33)+COUNTIF($X$11:X33,X33))</f>
        <v/>
      </c>
    </row>
    <row r="34">
      <c r="W34" s="46">
        <f>IF(Setup!$D$29="","",Setup!$D$29)</f>
        <v/>
      </c>
      <c r="X34" s="47">
        <f>IF(W34="","",SUMIFS(Transaction!$E:$E,Transaction!$C:$C,"รายจ่าย",Transaction!$D:$D,W34,Transaction!$B:$B,"&gt;="&amp;$T$4,Transaction!$B:$B,"&lt;"&amp;$T$5))</f>
        <v/>
      </c>
      <c r="Y34" s="94">
        <f>IF(OR(W34="",N(X34)&lt;=0),"",COUNTIF($X$11:$X$35,"&gt;"&amp;X34)+COUNTIF($X$11:X34,X34))</f>
        <v/>
      </c>
    </row>
    <row r="35">
      <c r="W35" s="46">
        <f>IF(Setup!$D$30="","",Setup!$D$30)</f>
        <v/>
      </c>
      <c r="X35" s="47">
        <f>IF(W35="","",SUMIFS(Transaction!$E:$E,Transaction!$C:$C,"รายจ่าย",Transaction!$D:$D,W35,Transaction!$B:$B,"&gt;="&amp;$T$4,Transaction!$B:$B,"&lt;"&amp;$T$5))</f>
        <v/>
      </c>
      <c r="Y35" s="94">
        <f>IF(OR(W35="",N(X35)&lt;=0),"",COUNTIF($X$11:$X$35,"&gt;"&amp;X35)+COUNTIF($X$11:X35,X35))</f>
        <v/>
      </c>
    </row>
    <row r="36">
      <c r="W36" s="44" t="inlineStr">
        <is>
          <t>รวม</t>
        </is>
      </c>
      <c r="X36" s="109">
        <f>SUM(X11:X35)</f>
        <v/>
      </c>
      <c r="Y36" s="41" t="n"/>
    </row>
    <row r="39">
      <c r="S39" s="43" t="inlineStr">
        <is>
          <t>ข้อมูลประกอบกราฟ</t>
        </is>
      </c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</row>
    <row r="40">
      <c r="S40" s="44" t="inlineStr">
        <is>
          <t>กราฟ: รายรับ</t>
        </is>
      </c>
      <c r="T40" s="45" t="inlineStr">
        <is>
          <t>จำนวนเงิน</t>
        </is>
      </c>
      <c r="W40" s="44" t="inlineStr">
        <is>
          <t>กราฟ: รายจ่าย</t>
        </is>
      </c>
      <c r="X40" s="45" t="inlineStr">
        <is>
          <t>จำนวนเงิน</t>
        </is>
      </c>
      <c r="AA40" s="44" t="inlineStr">
        <is>
          <t>กราฟ: เงินออม</t>
        </is>
      </c>
      <c r="AB40" s="45" t="inlineStr">
        <is>
          <t>จำนวนเงิน</t>
        </is>
      </c>
    </row>
    <row r="41">
      <c r="S41" s="46">
        <f>IFERROR(INDEX($S$11:$S$25,MATCH(1,$U$11:$U$25,0)),"")</f>
        <v/>
      </c>
      <c r="T41" s="47">
        <f>IFERROR(INDEX($T$11:$T$25,MATCH(1,$U$11:$U$25,0)),"")</f>
        <v/>
      </c>
      <c r="W41" s="46">
        <f>IFERROR(INDEX($W$11:$W$35,MATCH(1,$Y$11:$Y$35,0)),"")</f>
        <v/>
      </c>
      <c r="X41" s="47">
        <f>IFERROR(INDEX($X$11:$X$35,MATCH(1,$Y$11:$Y$35,0)),"")</f>
        <v/>
      </c>
      <c r="AA41" s="46">
        <f>IFERROR(INDEX($AA$11:$AA$25,MATCH(1,$AC$11:$AC$25,0)),"")</f>
        <v/>
      </c>
      <c r="AB41" s="47">
        <f>IFERROR(INDEX($AB$11:$AB$25,MATCH(1,$AC$11:$AC$25,0)),"")</f>
        <v/>
      </c>
    </row>
    <row r="42">
      <c r="S42" s="46">
        <f>IFERROR(INDEX($S$11:$S$25,MATCH(2,$U$11:$U$25,0)),"")</f>
        <v/>
      </c>
      <c r="T42" s="47">
        <f>IFERROR(INDEX($T$11:$T$25,MATCH(2,$U$11:$U$25,0)),"")</f>
        <v/>
      </c>
      <c r="W42" s="46">
        <f>IFERROR(INDEX($W$11:$W$35,MATCH(2,$Y$11:$Y$35,0)),"")</f>
        <v/>
      </c>
      <c r="X42" s="47">
        <f>IFERROR(INDEX($X$11:$X$35,MATCH(2,$Y$11:$Y$35,0)),"")</f>
        <v/>
      </c>
      <c r="AA42" s="46">
        <f>IFERROR(INDEX($AA$11:$AA$25,MATCH(2,$AC$11:$AC$25,0)),"")</f>
        <v/>
      </c>
      <c r="AB42" s="47">
        <f>IFERROR(INDEX($AB$11:$AB$25,MATCH(2,$AC$11:$AC$25,0)),"")</f>
        <v/>
      </c>
    </row>
    <row r="43">
      <c r="S43" s="46">
        <f>IFERROR(INDEX($S$11:$S$25,MATCH(3,$U$11:$U$25,0)),"")</f>
        <v/>
      </c>
      <c r="T43" s="47">
        <f>IFERROR(INDEX($T$11:$T$25,MATCH(3,$U$11:$U$25,0)),"")</f>
        <v/>
      </c>
      <c r="W43" s="46">
        <f>IFERROR(INDEX($W$11:$W$35,MATCH(3,$Y$11:$Y$35,0)),"")</f>
        <v/>
      </c>
      <c r="X43" s="47">
        <f>IFERROR(INDEX($X$11:$X$35,MATCH(3,$Y$11:$Y$35,0)),"")</f>
        <v/>
      </c>
      <c r="AA43" s="46">
        <f>IFERROR(INDEX($AA$11:$AA$25,MATCH(3,$AC$11:$AC$25,0)),"")</f>
        <v/>
      </c>
      <c r="AB43" s="47">
        <f>IFERROR(INDEX($AB$11:$AB$25,MATCH(3,$AC$11:$AC$25,0)),"")</f>
        <v/>
      </c>
    </row>
    <row r="44">
      <c r="S44" s="46">
        <f>IFERROR(INDEX($S$11:$S$25,MATCH(4,$U$11:$U$25,0)),"")</f>
        <v/>
      </c>
      <c r="T44" s="47">
        <f>IFERROR(INDEX($T$11:$T$25,MATCH(4,$U$11:$U$25,0)),"")</f>
        <v/>
      </c>
      <c r="W44" s="46">
        <f>IFERROR(INDEX($W$11:$W$35,MATCH(4,$Y$11:$Y$35,0)),"")</f>
        <v/>
      </c>
      <c r="X44" s="47">
        <f>IFERROR(INDEX($X$11:$X$35,MATCH(4,$Y$11:$Y$35,0)),"")</f>
        <v/>
      </c>
      <c r="AA44" s="46">
        <f>IFERROR(INDEX($AA$11:$AA$25,MATCH(4,$AC$11:$AC$25,0)),"")</f>
        <v/>
      </c>
      <c r="AB44" s="47">
        <f>IFERROR(INDEX($AB$11:$AB$25,MATCH(4,$AC$11:$AC$25,0)),"")</f>
        <v/>
      </c>
    </row>
    <row r="45" ht="10" customHeight="1">
      <c r="S45" s="46">
        <f>IFERROR(INDEX($S$11:$S$25,MATCH(5,$U$11:$U$25,0)),"")</f>
        <v/>
      </c>
      <c r="T45" s="47">
        <f>IFERROR(INDEX($T$11:$T$25,MATCH(5,$U$11:$U$25,0)),"")</f>
        <v/>
      </c>
      <c r="W45" s="46">
        <f>IFERROR(INDEX($W$11:$W$35,MATCH(5,$Y$11:$Y$35,0)),"")</f>
        <v/>
      </c>
      <c r="X45" s="47">
        <f>IFERROR(INDEX($X$11:$X$35,MATCH(5,$Y$11:$Y$35,0)),"")</f>
        <v/>
      </c>
      <c r="AA45" s="46">
        <f>IFERROR(INDEX($AA$11:$AA$25,MATCH(5,$AC$11:$AC$25,0)),"")</f>
        <v/>
      </c>
      <c r="AB45" s="47">
        <f>IFERROR(INDEX($AB$11:$AB$25,MATCH(5,$AC$11:$AC$25,0)),"")</f>
        <v/>
      </c>
    </row>
    <row r="46" ht="24" customHeight="1">
      <c r="B46" s="48" t="inlineStr">
        <is>
          <t>🏆 Top 10 รายรับ (เดือนนี้)</t>
        </is>
      </c>
      <c r="C46" s="48" t="n"/>
      <c r="D46" s="48" t="n"/>
      <c r="E46" s="48" t="n"/>
      <c r="G46" s="49" t="inlineStr">
        <is>
          <t>🏆 Top 10 รายจ่าย (เดือนนี้)</t>
        </is>
      </c>
      <c r="H46" s="49" t="n"/>
      <c r="I46" s="49" t="n"/>
      <c r="J46" s="49" t="n"/>
      <c r="K46" s="49" t="n"/>
      <c r="M46" s="50" t="inlineStr">
        <is>
          <t>🏆 Top 10 เงินออม (เดือนนี้)</t>
        </is>
      </c>
      <c r="N46" s="50" t="n"/>
      <c r="O46" s="50" t="n"/>
      <c r="P46" s="50" t="n"/>
      <c r="Q46" s="50" t="n"/>
      <c r="S46" s="46">
        <f>IFERROR(INDEX($S$11:$S$25,MATCH(6,$U$11:$U$25,0)),"")</f>
        <v/>
      </c>
      <c r="T46" s="47">
        <f>IFERROR(INDEX($T$11:$T$25,MATCH(6,$U$11:$U$25,0)),"")</f>
        <v/>
      </c>
      <c r="W46" s="46">
        <f>IFERROR(INDEX($W$11:$W$35,MATCH(6,$Y$11:$Y$35,0)),"")</f>
        <v/>
      </c>
      <c r="X46" s="47">
        <f>IFERROR(INDEX($X$11:$X$35,MATCH(6,$Y$11:$Y$35,0)),"")</f>
        <v/>
      </c>
      <c r="AA46" s="46">
        <f>IFERROR(INDEX($AA$11:$AA$25,MATCH(6,$AC$11:$AC$25,0)),"")</f>
        <v/>
      </c>
      <c r="AB46" s="47">
        <f>IFERROR(INDEX($AB$11:$AB$25,MATCH(6,$AC$11:$AC$25,0)),"")</f>
        <v/>
      </c>
    </row>
    <row r="47" ht="22" customHeight="1">
      <c r="B47" s="51" t="inlineStr">
        <is>
          <t>หมวดหมู่</t>
        </is>
      </c>
      <c r="C47" s="51" t="inlineStr">
        <is>
          <t>จำนวนเงิน</t>
        </is>
      </c>
      <c r="D47" s="51" t="inlineStr">
        <is>
          <t>%</t>
        </is>
      </c>
      <c r="E47" s="51" t="inlineStr">
        <is>
          <t>สัดส่วน</t>
        </is>
      </c>
      <c r="G47" s="52" t="inlineStr">
        <is>
          <t>หมวดหมู่</t>
        </is>
      </c>
      <c r="H47" s="52" t="n"/>
      <c r="I47" s="52" t="inlineStr">
        <is>
          <t>จำนวนเงิน</t>
        </is>
      </c>
      <c r="J47" s="52" t="inlineStr">
        <is>
          <t>%</t>
        </is>
      </c>
      <c r="K47" s="52" t="inlineStr">
        <is>
          <t>สัดส่วน</t>
        </is>
      </c>
      <c r="M47" s="53" t="inlineStr">
        <is>
          <t>หมวดหมู่</t>
        </is>
      </c>
      <c r="N47" s="53" t="n"/>
      <c r="O47" s="53" t="inlineStr">
        <is>
          <t>จำนวนเงิน</t>
        </is>
      </c>
      <c r="P47" s="53" t="inlineStr">
        <is>
          <t>%</t>
        </is>
      </c>
      <c r="Q47" s="53" t="inlineStr">
        <is>
          <t>สัดส่วน</t>
        </is>
      </c>
      <c r="S47" s="46">
        <f>IFERROR(INDEX($S$11:$S$25,MATCH(7,$U$11:$U$25,0)),"")</f>
        <v/>
      </c>
      <c r="T47" s="47">
        <f>IFERROR(INDEX($T$11:$T$25,MATCH(7,$U$11:$U$25,0)),"")</f>
        <v/>
      </c>
      <c r="W47" s="46">
        <f>IFERROR(INDEX($W$11:$W$35,MATCH(7,$Y$11:$Y$35,0)),"")</f>
        <v/>
      </c>
      <c r="X47" s="47">
        <f>IFERROR(INDEX($X$11:$X$35,MATCH(7,$Y$11:$Y$35,0)),"")</f>
        <v/>
      </c>
      <c r="AA47" s="46">
        <f>IFERROR(INDEX($AA$11:$AA$25,MATCH(7,$AC$11:$AC$25,0)),"")</f>
        <v/>
      </c>
      <c r="AB47" s="47">
        <f>IFERROR(INDEX($AB$11:$AB$25,MATCH(7,$AC$11:$AC$25,0)),"")</f>
        <v/>
      </c>
    </row>
    <row r="48" ht="19" customHeight="1">
      <c r="B48" s="54">
        <f>IFERROR("1. "&amp;INDEX($S$11:$S$25,MATCH(1,$U$11:$U$25,0)),"")</f>
        <v/>
      </c>
      <c r="C48" s="55">
        <f>IFERROR(INDEX($T$11:$T$25,MATCH(1,$U$11:$U$25,0)),"")</f>
        <v/>
      </c>
      <c r="D48" s="56">
        <f>IF(OR(C48="",N(C$59)=0),"",C48/C$59)</f>
        <v/>
      </c>
      <c r="E48" s="57">
        <f>IF(C48="","",REPT("█",MAX(1,ROUND(C48/MAX($C$48:$C$57)*10,0))))</f>
        <v/>
      </c>
      <c r="G48" s="54">
        <f>IFERROR("1. "&amp;INDEX($W$11:$W$35,MATCH(1,$Y$11:$Y$35,0)),"")</f>
        <v/>
      </c>
      <c r="H48" s="54" t="n"/>
      <c r="I48" s="55">
        <f>IFERROR(INDEX($X$11:$X$35,MATCH(1,$Y$11:$Y$35,0)),"")</f>
        <v/>
      </c>
      <c r="J48" s="56">
        <f>IF(OR(I48="",N(I$59)=0),"",I48/I$59)</f>
        <v/>
      </c>
      <c r="K48" s="58">
        <f>IF(I48="","",REPT("█",MAX(1,ROUND(I48/MAX($I$48:$I$57)*10,0))))</f>
        <v/>
      </c>
      <c r="M48" s="54">
        <f>IFERROR("1. "&amp;INDEX($AA$11:$AA$25,MATCH(1,$AC$11:$AC$25,0)),"")</f>
        <v/>
      </c>
      <c r="N48" s="54" t="n"/>
      <c r="O48" s="55">
        <f>IFERROR(INDEX($AB$11:$AB$25,MATCH(1,$AC$11:$AC$25,0)),"")</f>
        <v/>
      </c>
      <c r="P48" s="56">
        <f>IF(OR(O48="",N(O$59)=0),"",O48/O$59)</f>
        <v/>
      </c>
      <c r="Q48" s="59">
        <f>IF(O48="","",REPT("█",MAX(1,ROUND(O48/MAX($O$48:$O$57)*10,0))))</f>
        <v/>
      </c>
      <c r="S48" s="46" t="inlineStr">
        <is>
          <t>อื่นๆ</t>
        </is>
      </c>
      <c r="T48" s="47">
        <f>IF(MAX(0,$T$26-SUM(T41:T47))=0,"",MAX(0,$T$26-SUM(T41:T47)))</f>
        <v/>
      </c>
      <c r="W48" s="46" t="inlineStr">
        <is>
          <t>อื่นๆ</t>
        </is>
      </c>
      <c r="X48" s="47">
        <f>IF(MAX(0,$X$36-SUM(X41:X47))=0,"",MAX(0,$X$36-SUM(X41:X47)))</f>
        <v/>
      </c>
      <c r="AA48" s="46" t="inlineStr">
        <is>
          <t>อื่นๆ</t>
        </is>
      </c>
      <c r="AB48" s="47">
        <f>IF(MAX(0,$AB$26-SUM(AB41:AB47))=0,"",MAX(0,$AB$26-SUM(AB41:AB47)))</f>
        <v/>
      </c>
    </row>
    <row r="49" ht="19" customHeight="1">
      <c r="B49" s="54">
        <f>IFERROR("2. "&amp;INDEX($S$11:$S$25,MATCH(2,$U$11:$U$25,0)),"")</f>
        <v/>
      </c>
      <c r="C49" s="55">
        <f>IFERROR(INDEX($T$11:$T$25,MATCH(2,$U$11:$U$25,0)),"")</f>
        <v/>
      </c>
      <c r="D49" s="56">
        <f>IF(OR(C49="",N(C$59)=0),"",C49/C$59)</f>
        <v/>
      </c>
      <c r="E49" s="57">
        <f>IF(C49="","",REPT("█",MAX(1,ROUND(C49/MAX($C$48:$C$57)*10,0))))</f>
        <v/>
      </c>
      <c r="G49" s="54">
        <f>IFERROR("2. "&amp;INDEX($W$11:$W$35,MATCH(2,$Y$11:$Y$35,0)),"")</f>
        <v/>
      </c>
      <c r="H49" s="54" t="n"/>
      <c r="I49" s="55">
        <f>IFERROR(INDEX($X$11:$X$35,MATCH(2,$Y$11:$Y$35,0)),"")</f>
        <v/>
      </c>
      <c r="J49" s="56">
        <f>IF(OR(I49="",N(I$59)=0),"",I49/I$59)</f>
        <v/>
      </c>
      <c r="K49" s="58">
        <f>IF(I49="","",REPT("█",MAX(1,ROUND(I49/MAX($I$48:$I$57)*10,0))))</f>
        <v/>
      </c>
      <c r="M49" s="54">
        <f>IFERROR("2. "&amp;INDEX($AA$11:$AA$25,MATCH(2,$AC$11:$AC$25,0)),"")</f>
        <v/>
      </c>
      <c r="N49" s="54" t="n"/>
      <c r="O49" s="55">
        <f>IFERROR(INDEX($AB$11:$AB$25,MATCH(2,$AC$11:$AC$25,0)),"")</f>
        <v/>
      </c>
      <c r="P49" s="56">
        <f>IF(OR(O49="",N(O$59)=0),"",O49/O$59)</f>
        <v/>
      </c>
      <c r="Q49" s="59">
        <f>IF(O49="","",REPT("█",MAX(1,ROUND(O49/MAX($O$48:$O$57)*10,0))))</f>
        <v/>
      </c>
    </row>
    <row r="50" ht="19" customHeight="1">
      <c r="B50" s="54">
        <f>IFERROR("3. "&amp;INDEX($S$11:$S$25,MATCH(3,$U$11:$U$25,0)),"")</f>
        <v/>
      </c>
      <c r="C50" s="55">
        <f>IFERROR(INDEX($T$11:$T$25,MATCH(3,$U$11:$U$25,0)),"")</f>
        <v/>
      </c>
      <c r="D50" s="56">
        <f>IF(OR(C50="",N(C$59)=0),"",C50/C$59)</f>
        <v/>
      </c>
      <c r="E50" s="57">
        <f>IF(C50="","",REPT("█",MAX(1,ROUND(C50/MAX($C$48:$C$57)*10,0))))</f>
        <v/>
      </c>
      <c r="G50" s="54">
        <f>IFERROR("3. "&amp;INDEX($W$11:$W$35,MATCH(3,$Y$11:$Y$35,0)),"")</f>
        <v/>
      </c>
      <c r="H50" s="54" t="n"/>
      <c r="I50" s="55">
        <f>IFERROR(INDEX($X$11:$X$35,MATCH(3,$Y$11:$Y$35,0)),"")</f>
        <v/>
      </c>
      <c r="J50" s="56">
        <f>IF(OR(I50="",N(I$59)=0),"",I50/I$59)</f>
        <v/>
      </c>
      <c r="K50" s="58">
        <f>IF(I50="","",REPT("█",MAX(1,ROUND(I50/MAX($I$48:$I$57)*10,0))))</f>
        <v/>
      </c>
      <c r="M50" s="54">
        <f>IFERROR("3. "&amp;INDEX($AA$11:$AA$25,MATCH(3,$AC$11:$AC$25,0)),"")</f>
        <v/>
      </c>
      <c r="N50" s="54" t="n"/>
      <c r="O50" s="55">
        <f>IFERROR(INDEX($AB$11:$AB$25,MATCH(3,$AC$11:$AC$25,0)),"")</f>
        <v/>
      </c>
      <c r="P50" s="56">
        <f>IF(OR(O50="",N(O$59)=0),"",O50/O$59)</f>
        <v/>
      </c>
      <c r="Q50" s="59">
        <f>IF(O50="","",REPT("█",MAX(1,ROUND(O50/MAX($O$48:$O$57)*10,0))))</f>
        <v/>
      </c>
    </row>
    <row r="51" ht="19" customHeight="1">
      <c r="B51" s="60">
        <f>IFERROR("4. "&amp;INDEX($S$11:$S$25,MATCH(4,$U$11:$U$25,0)),"")</f>
        <v/>
      </c>
      <c r="C51" s="30">
        <f>IFERROR(INDEX($T$11:$T$25,MATCH(4,$U$11:$U$25,0)),"")</f>
        <v/>
      </c>
      <c r="D51" s="56">
        <f>IF(OR(C51="",N(C$59)=0),"",C51/C$59)</f>
        <v/>
      </c>
      <c r="E51" s="57">
        <f>IF(C51="","",REPT("█",MAX(1,ROUND(C51/MAX($C$48:$C$57)*10,0))))</f>
        <v/>
      </c>
      <c r="G51" s="60">
        <f>IFERROR("4. "&amp;INDEX($W$11:$W$35,MATCH(4,$Y$11:$Y$35,0)),"")</f>
        <v/>
      </c>
      <c r="H51" s="60" t="n"/>
      <c r="I51" s="30">
        <f>IFERROR(INDEX($X$11:$X$35,MATCH(4,$Y$11:$Y$35,0)),"")</f>
        <v/>
      </c>
      <c r="J51" s="56">
        <f>IF(OR(I51="",N(I$59)=0),"",I51/I$59)</f>
        <v/>
      </c>
      <c r="K51" s="58">
        <f>IF(I51="","",REPT("█",MAX(1,ROUND(I51/MAX($I$48:$I$57)*10,0))))</f>
        <v/>
      </c>
      <c r="M51" s="60">
        <f>IFERROR("4. "&amp;INDEX($AA$11:$AA$25,MATCH(4,$AC$11:$AC$25,0)),"")</f>
        <v/>
      </c>
      <c r="N51" s="60" t="n"/>
      <c r="O51" s="30">
        <f>IFERROR(INDEX($AB$11:$AB$25,MATCH(4,$AC$11:$AC$25,0)),"")</f>
        <v/>
      </c>
      <c r="P51" s="56">
        <f>IF(OR(O51="",N(O$59)=0),"",O51/O$59)</f>
        <v/>
      </c>
      <c r="Q51" s="59">
        <f>IF(O51="","",REPT("█",MAX(1,ROUND(O51/MAX($O$48:$O$57)*10,0))))</f>
        <v/>
      </c>
    </row>
    <row r="52" ht="19" customHeight="1">
      <c r="B52" s="60">
        <f>IFERROR("5. "&amp;INDEX($S$11:$S$25,MATCH(5,$U$11:$U$25,0)),"")</f>
        <v/>
      </c>
      <c r="C52" s="30">
        <f>IFERROR(INDEX($T$11:$T$25,MATCH(5,$U$11:$U$25,0)),"")</f>
        <v/>
      </c>
      <c r="D52" s="56">
        <f>IF(OR(C52="",N(C$59)=0),"",C52/C$59)</f>
        <v/>
      </c>
      <c r="E52" s="57">
        <f>IF(C52="","",REPT("█",MAX(1,ROUND(C52/MAX($C$48:$C$57)*10,0))))</f>
        <v/>
      </c>
      <c r="G52" s="60">
        <f>IFERROR("5. "&amp;INDEX($W$11:$W$35,MATCH(5,$Y$11:$Y$35,0)),"")</f>
        <v/>
      </c>
      <c r="H52" s="60" t="n"/>
      <c r="I52" s="30">
        <f>IFERROR(INDEX($X$11:$X$35,MATCH(5,$Y$11:$Y$35,0)),"")</f>
        <v/>
      </c>
      <c r="J52" s="56">
        <f>IF(OR(I52="",N(I$59)=0),"",I52/I$59)</f>
        <v/>
      </c>
      <c r="K52" s="58">
        <f>IF(I52="","",REPT("█",MAX(1,ROUND(I52/MAX($I$48:$I$57)*10,0))))</f>
        <v/>
      </c>
      <c r="M52" s="60">
        <f>IFERROR("5. "&amp;INDEX($AA$11:$AA$25,MATCH(5,$AC$11:$AC$25,0)),"")</f>
        <v/>
      </c>
      <c r="N52" s="60" t="n"/>
      <c r="O52" s="30">
        <f>IFERROR(INDEX($AB$11:$AB$25,MATCH(5,$AC$11:$AC$25,0)),"")</f>
        <v/>
      </c>
      <c r="P52" s="56">
        <f>IF(OR(O52="",N(O$59)=0),"",O52/O$59)</f>
        <v/>
      </c>
      <c r="Q52" s="59">
        <f>IF(O52="","",REPT("█",MAX(1,ROUND(O52/MAX($O$48:$O$57)*10,0))))</f>
        <v/>
      </c>
    </row>
    <row r="53" ht="19" customHeight="1">
      <c r="B53" s="60">
        <f>IFERROR("6. "&amp;INDEX($S$11:$S$25,MATCH(6,$U$11:$U$25,0)),"")</f>
        <v/>
      </c>
      <c r="C53" s="30">
        <f>IFERROR(INDEX($T$11:$T$25,MATCH(6,$U$11:$U$25,0)),"")</f>
        <v/>
      </c>
      <c r="D53" s="56">
        <f>IF(OR(C53="",N(C$59)=0),"",C53/C$59)</f>
        <v/>
      </c>
      <c r="E53" s="57">
        <f>IF(C53="","",REPT("█",MAX(1,ROUND(C53/MAX($C$48:$C$57)*10,0))))</f>
        <v/>
      </c>
      <c r="G53" s="60">
        <f>IFERROR("6. "&amp;INDEX($W$11:$W$35,MATCH(6,$Y$11:$Y$35,0)),"")</f>
        <v/>
      </c>
      <c r="H53" s="60" t="n"/>
      <c r="I53" s="30">
        <f>IFERROR(INDEX($X$11:$X$35,MATCH(6,$Y$11:$Y$35,0)),"")</f>
        <v/>
      </c>
      <c r="J53" s="56">
        <f>IF(OR(I53="",N(I$59)=0),"",I53/I$59)</f>
        <v/>
      </c>
      <c r="K53" s="58">
        <f>IF(I53="","",REPT("█",MAX(1,ROUND(I53/MAX($I$48:$I$57)*10,0))))</f>
        <v/>
      </c>
      <c r="M53" s="60">
        <f>IFERROR("6. "&amp;INDEX($AA$11:$AA$25,MATCH(6,$AC$11:$AC$25,0)),"")</f>
        <v/>
      </c>
      <c r="N53" s="60" t="n"/>
      <c r="O53" s="30">
        <f>IFERROR(INDEX($AB$11:$AB$25,MATCH(6,$AC$11:$AC$25,0)),"")</f>
        <v/>
      </c>
      <c r="P53" s="56">
        <f>IF(OR(O53="",N(O$59)=0),"",O53/O$59)</f>
        <v/>
      </c>
      <c r="Q53" s="59">
        <f>IF(O53="","",REPT("█",MAX(1,ROUND(O53/MAX($O$48:$O$57)*10,0))))</f>
        <v/>
      </c>
    </row>
    <row r="54" ht="19" customHeight="1">
      <c r="B54" s="60">
        <f>IFERROR("7. "&amp;INDEX($S$11:$S$25,MATCH(7,$U$11:$U$25,0)),"")</f>
        <v/>
      </c>
      <c r="C54" s="30">
        <f>IFERROR(INDEX($T$11:$T$25,MATCH(7,$U$11:$U$25,0)),"")</f>
        <v/>
      </c>
      <c r="D54" s="56">
        <f>IF(OR(C54="",N(C$59)=0),"",C54/C$59)</f>
        <v/>
      </c>
      <c r="E54" s="57">
        <f>IF(C54="","",REPT("█",MAX(1,ROUND(C54/MAX($C$48:$C$57)*10,0))))</f>
        <v/>
      </c>
      <c r="G54" s="60">
        <f>IFERROR("7. "&amp;INDEX($W$11:$W$35,MATCH(7,$Y$11:$Y$35,0)),"")</f>
        <v/>
      </c>
      <c r="H54" s="60" t="n"/>
      <c r="I54" s="30">
        <f>IFERROR(INDEX($X$11:$X$35,MATCH(7,$Y$11:$Y$35,0)),"")</f>
        <v/>
      </c>
      <c r="J54" s="56">
        <f>IF(OR(I54="",N(I$59)=0),"",I54/I$59)</f>
        <v/>
      </c>
      <c r="K54" s="58">
        <f>IF(I54="","",REPT("█",MAX(1,ROUND(I54/MAX($I$48:$I$57)*10,0))))</f>
        <v/>
      </c>
      <c r="M54" s="60">
        <f>IFERROR("7. "&amp;INDEX($AA$11:$AA$25,MATCH(7,$AC$11:$AC$25,0)),"")</f>
        <v/>
      </c>
      <c r="N54" s="60" t="n"/>
      <c r="O54" s="30">
        <f>IFERROR(INDEX($AB$11:$AB$25,MATCH(7,$AC$11:$AC$25,0)),"")</f>
        <v/>
      </c>
      <c r="P54" s="56">
        <f>IF(OR(O54="",N(O$59)=0),"",O54/O$59)</f>
        <v/>
      </c>
      <c r="Q54" s="59">
        <f>IF(O54="","",REPT("█",MAX(1,ROUND(O54/MAX($O$48:$O$57)*10,0))))</f>
        <v/>
      </c>
    </row>
    <row r="55" ht="19" customHeight="1">
      <c r="B55" s="60">
        <f>IFERROR("8. "&amp;INDEX($S$11:$S$25,MATCH(8,$U$11:$U$25,0)),"")</f>
        <v/>
      </c>
      <c r="C55" s="30">
        <f>IFERROR(INDEX($T$11:$T$25,MATCH(8,$U$11:$U$25,0)),"")</f>
        <v/>
      </c>
      <c r="D55" s="56">
        <f>IF(OR(C55="",N(C$59)=0),"",C55/C$59)</f>
        <v/>
      </c>
      <c r="E55" s="57">
        <f>IF(C55="","",REPT("█",MAX(1,ROUND(C55/MAX($C$48:$C$57)*10,0))))</f>
        <v/>
      </c>
      <c r="G55" s="60">
        <f>IFERROR("8. "&amp;INDEX($W$11:$W$35,MATCH(8,$Y$11:$Y$35,0)),"")</f>
        <v/>
      </c>
      <c r="H55" s="60" t="n"/>
      <c r="I55" s="30">
        <f>IFERROR(INDEX($X$11:$X$35,MATCH(8,$Y$11:$Y$35,0)),"")</f>
        <v/>
      </c>
      <c r="J55" s="56">
        <f>IF(OR(I55="",N(I$59)=0),"",I55/I$59)</f>
        <v/>
      </c>
      <c r="K55" s="58">
        <f>IF(I55="","",REPT("█",MAX(1,ROUND(I55/MAX($I$48:$I$57)*10,0))))</f>
        <v/>
      </c>
      <c r="M55" s="60">
        <f>IFERROR("8. "&amp;INDEX($AA$11:$AA$25,MATCH(8,$AC$11:$AC$25,0)),"")</f>
        <v/>
      </c>
      <c r="N55" s="60" t="n"/>
      <c r="O55" s="30">
        <f>IFERROR(INDEX($AB$11:$AB$25,MATCH(8,$AC$11:$AC$25,0)),"")</f>
        <v/>
      </c>
      <c r="P55" s="56">
        <f>IF(OR(O55="",N(O$59)=0),"",O55/O$59)</f>
        <v/>
      </c>
      <c r="Q55" s="59">
        <f>IF(O55="","",REPT("█",MAX(1,ROUND(O55/MAX($O$48:$O$57)*10,0))))</f>
        <v/>
      </c>
    </row>
    <row r="56" ht="19" customHeight="1">
      <c r="B56" s="60">
        <f>IFERROR("9. "&amp;INDEX($S$11:$S$25,MATCH(9,$U$11:$U$25,0)),"")</f>
        <v/>
      </c>
      <c r="C56" s="30">
        <f>IFERROR(INDEX($T$11:$T$25,MATCH(9,$U$11:$U$25,0)),"")</f>
        <v/>
      </c>
      <c r="D56" s="56">
        <f>IF(OR(C56="",N(C$59)=0),"",C56/C$59)</f>
        <v/>
      </c>
      <c r="E56" s="57">
        <f>IF(C56="","",REPT("█",MAX(1,ROUND(C56/MAX($C$48:$C$57)*10,0))))</f>
        <v/>
      </c>
      <c r="G56" s="60">
        <f>IFERROR("9. "&amp;INDEX($W$11:$W$35,MATCH(9,$Y$11:$Y$35,0)),"")</f>
        <v/>
      </c>
      <c r="H56" s="60" t="n"/>
      <c r="I56" s="30">
        <f>IFERROR(INDEX($X$11:$X$35,MATCH(9,$Y$11:$Y$35,0)),"")</f>
        <v/>
      </c>
      <c r="J56" s="56">
        <f>IF(OR(I56="",N(I$59)=0),"",I56/I$59)</f>
        <v/>
      </c>
      <c r="K56" s="58">
        <f>IF(I56="","",REPT("█",MAX(1,ROUND(I56/MAX($I$48:$I$57)*10,0))))</f>
        <v/>
      </c>
      <c r="M56" s="60">
        <f>IFERROR("9. "&amp;INDEX($AA$11:$AA$25,MATCH(9,$AC$11:$AC$25,0)),"")</f>
        <v/>
      </c>
      <c r="N56" s="60" t="n"/>
      <c r="O56" s="30">
        <f>IFERROR(INDEX($AB$11:$AB$25,MATCH(9,$AC$11:$AC$25,0)),"")</f>
        <v/>
      </c>
      <c r="P56" s="56">
        <f>IF(OR(O56="",N(O$59)=0),"",O56/O$59)</f>
        <v/>
      </c>
      <c r="Q56" s="59">
        <f>IF(O56="","",REPT("█",MAX(1,ROUND(O56/MAX($O$48:$O$57)*10,0))))</f>
        <v/>
      </c>
    </row>
    <row r="57" ht="19" customHeight="1">
      <c r="B57" s="60">
        <f>IFERROR("10. "&amp;INDEX($S$11:$S$25,MATCH(10,$U$11:$U$25,0)),"")</f>
        <v/>
      </c>
      <c r="C57" s="30">
        <f>IFERROR(INDEX($T$11:$T$25,MATCH(10,$U$11:$U$25,0)),"")</f>
        <v/>
      </c>
      <c r="D57" s="56">
        <f>IF(OR(C57="",N(C$59)=0),"",C57/C$59)</f>
        <v/>
      </c>
      <c r="E57" s="57">
        <f>IF(C57="","",REPT("█",MAX(1,ROUND(C57/MAX($C$48:$C$57)*10,0))))</f>
        <v/>
      </c>
      <c r="G57" s="60">
        <f>IFERROR("10. "&amp;INDEX($W$11:$W$35,MATCH(10,$Y$11:$Y$35,0)),"")</f>
        <v/>
      </c>
      <c r="H57" s="60" t="n"/>
      <c r="I57" s="30">
        <f>IFERROR(INDEX($X$11:$X$35,MATCH(10,$Y$11:$Y$35,0)),"")</f>
        <v/>
      </c>
      <c r="J57" s="56">
        <f>IF(OR(I57="",N(I$59)=0),"",I57/I$59)</f>
        <v/>
      </c>
      <c r="K57" s="58">
        <f>IF(I57="","",REPT("█",MAX(1,ROUND(I57/MAX($I$48:$I$57)*10,0))))</f>
        <v/>
      </c>
      <c r="M57" s="60">
        <f>IFERROR("10. "&amp;INDEX($AA$11:$AA$25,MATCH(10,$AC$11:$AC$25,0)),"")</f>
        <v/>
      </c>
      <c r="N57" s="60" t="n"/>
      <c r="O57" s="30">
        <f>IFERROR(INDEX($AB$11:$AB$25,MATCH(10,$AC$11:$AC$25,0)),"")</f>
        <v/>
      </c>
      <c r="P57" s="56">
        <f>IF(OR(O57="",N(O$59)=0),"",O57/O$59)</f>
        <v/>
      </c>
      <c r="Q57" s="59">
        <f>IF(O57="","",REPT("█",MAX(1,ROUND(O57/MAX($O$48:$O$57)*10,0))))</f>
        <v/>
      </c>
    </row>
    <row r="58" ht="19" customHeight="1">
      <c r="B58" s="61" t="inlineStr">
        <is>
          <t>หมวดอื่นๆ ที่เหลือ</t>
        </is>
      </c>
      <c r="C58" s="62">
        <f>MAX(0,$T$26-SUM(C48:C57))</f>
        <v/>
      </c>
      <c r="D58" s="56">
        <f>IF(N(C$59)=0,"",C58/C$59)</f>
        <v/>
      </c>
      <c r="E58" s="63" t="n"/>
      <c r="G58" s="61" t="inlineStr">
        <is>
          <t>หมวดอื่นๆ ที่เหลือ</t>
        </is>
      </c>
      <c r="H58" s="61" t="n"/>
      <c r="I58" s="62">
        <f>MAX(0,$X$36-SUM(I48:I57))</f>
        <v/>
      </c>
      <c r="J58" s="56">
        <f>IF(N(I$59)=0,"",I58/I$59)</f>
        <v/>
      </c>
      <c r="K58" s="63" t="n"/>
      <c r="M58" s="61" t="inlineStr">
        <is>
          <t>หมวดอื่นๆ ที่เหลือ</t>
        </is>
      </c>
      <c r="N58" s="61" t="n"/>
      <c r="O58" s="62">
        <f>MAX(0,$AB$26-SUM(O48:O57))</f>
        <v/>
      </c>
      <c r="P58" s="56">
        <f>IF(N(O$59)=0,"",O58/O$59)</f>
        <v/>
      </c>
      <c r="Q58" s="63" t="n"/>
    </row>
    <row r="59" ht="19" customHeight="1">
      <c r="B59" s="64" t="inlineStr">
        <is>
          <t>รวมรายรับ</t>
        </is>
      </c>
      <c r="C59" s="65">
        <f>$T$26</f>
        <v/>
      </c>
      <c r="D59" s="66">
        <f>IF(N(C59)=0,"",1)</f>
        <v/>
      </c>
      <c r="E59" s="67" t="n"/>
      <c r="G59" s="68" t="inlineStr">
        <is>
          <t>รวมรายจ่าย</t>
        </is>
      </c>
      <c r="H59" s="68" t="n"/>
      <c r="I59" s="69">
        <f>$X$36</f>
        <v/>
      </c>
      <c r="J59" s="70">
        <f>IF(N(I59)=0,"",1)</f>
        <v/>
      </c>
      <c r="K59" s="71" t="n"/>
      <c r="M59" s="72" t="inlineStr">
        <is>
          <t>รวมเงินออม</t>
        </is>
      </c>
      <c r="N59" s="72" t="n"/>
      <c r="O59" s="73">
        <f>$AB$26</f>
        <v/>
      </c>
      <c r="P59" s="74">
        <f>IF(N(O59)=0,"",1)</f>
        <v/>
      </c>
      <c r="Q59" s="75" t="n"/>
    </row>
  </sheetData>
  <mergeCells count="60">
    <mergeCell ref="G59:H59"/>
    <mergeCell ref="J6:L6"/>
    <mergeCell ref="B28:Q28"/>
    <mergeCell ref="C23:F23"/>
    <mergeCell ref="B7:C7"/>
    <mergeCell ref="G6:I6"/>
    <mergeCell ref="G52:H52"/>
    <mergeCell ref="M59:N59"/>
    <mergeCell ref="B9:Q9"/>
    <mergeCell ref="M55:N55"/>
    <mergeCell ref="M52:N52"/>
    <mergeCell ref="M7:O7"/>
    <mergeCell ref="M49:N49"/>
    <mergeCell ref="B22:F22"/>
    <mergeCell ref="D7:F7"/>
    <mergeCell ref="M6:O6"/>
    <mergeCell ref="G48:H48"/>
    <mergeCell ref="M48:N48"/>
    <mergeCell ref="J7:L7"/>
    <mergeCell ref="S39:AC39"/>
    <mergeCell ref="M51:N51"/>
    <mergeCell ref="S2:AC2"/>
    <mergeCell ref="G5:I5"/>
    <mergeCell ref="P6:Q6"/>
    <mergeCell ref="M54:N54"/>
    <mergeCell ref="G57:H57"/>
    <mergeCell ref="M58:N58"/>
    <mergeCell ref="G53:H53"/>
    <mergeCell ref="C24:F24"/>
    <mergeCell ref="B46:E46"/>
    <mergeCell ref="G49:H49"/>
    <mergeCell ref="D5:F5"/>
    <mergeCell ref="P7:Q7"/>
    <mergeCell ref="M46:Q46"/>
    <mergeCell ref="G58:H58"/>
    <mergeCell ref="M3:N3"/>
    <mergeCell ref="C25:F25"/>
    <mergeCell ref="B2:Q2"/>
    <mergeCell ref="O3:Q3"/>
    <mergeCell ref="G55:H55"/>
    <mergeCell ref="J5:L5"/>
    <mergeCell ref="B6:C6"/>
    <mergeCell ref="G51:H51"/>
    <mergeCell ref="B3:J3"/>
    <mergeCell ref="M57:N57"/>
    <mergeCell ref="G47:H47"/>
    <mergeCell ref="B20:F20"/>
    <mergeCell ref="G54:H54"/>
    <mergeCell ref="B5:C5"/>
    <mergeCell ref="M47:N47"/>
    <mergeCell ref="G7:I7"/>
    <mergeCell ref="M5:O5"/>
    <mergeCell ref="G50:H50"/>
    <mergeCell ref="M50:N50"/>
    <mergeCell ref="P5:Q5"/>
    <mergeCell ref="M53:N53"/>
    <mergeCell ref="G46:K46"/>
    <mergeCell ref="D6:F6"/>
    <mergeCell ref="G56:H56"/>
    <mergeCell ref="M56:N56"/>
  </mergeCells>
  <conditionalFormatting sqref="B20">
    <cfRule type="expression" priority="1" dxfId="0">
      <formula>$C$14&lt;0</formula>
    </cfRule>
    <cfRule type="expression" priority="2" dxfId="1">
      <formula>$C$14&gt;0</formula>
    </cfRule>
  </conditionalFormatting>
  <dataValidations count="2">
    <dataValidation sqref="L3" showDropDown="0" showInputMessage="0" showErrorMessage="1" allowBlank="0" error="เลือกปีจาก Drop-down" type="list">
      <formula1>Setup!$H$6:$H$17</formula1>
    </dataValidation>
    <dataValidation sqref="O3" showDropDown="0" showInputMessage="0" showErrorMessage="1" allowBlank="0" error="เลือกเดือนจาก Drop-down" type="list">
      <formula1>Setup!$I$6:$I$17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B6834"/>
    <outlinePr summaryBelow="1" summaryRight="1"/>
    <pageSetUpPr fitToPage="1"/>
  </sheetPr>
  <dimension ref="B2:G5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8" customHeight="1"/>
  <cols>
    <col width="2" customWidth="1" min="1" max="1"/>
    <col width="14" customWidth="1" min="2" max="2"/>
    <col width="12" customWidth="1" min="3" max="3"/>
    <col width="24" customWidth="1" min="4" max="4"/>
    <col width="16" customWidth="1" min="5" max="5"/>
    <col width="42" customWidth="1" min="6" max="6"/>
    <col width="24" customWidth="1" min="7" max="7"/>
  </cols>
  <sheetData>
    <row r="1" ht="8" customHeight="1"/>
    <row r="2" ht="38" customHeight="1">
      <c r="B2" s="1" t="inlineStr">
        <is>
          <t>🧾 Transaction — บันทึกรายรับ รายจ่าย เงินออม</t>
        </is>
      </c>
      <c r="C2" s="1" t="n"/>
      <c r="D2" s="1" t="n"/>
      <c r="E2" s="1" t="n"/>
      <c r="F2" s="1" t="n"/>
      <c r="G2" s="1" t="n"/>
    </row>
    <row r="3" ht="44" customHeight="1">
      <c r="B3" s="110" t="inlineStr">
        <is>
          <t>กรอกทีละแถว: วันที่ → ประเภท (Drop-down) → หมวดหมู่ (Drop-down) → จำนวนเงิน → รายละเอียด · คอลัมน์ 'ตรวจสอบ' ระบบเช็กให้อัตโนมัติ · ข้อมูลตัวอย่างลบได้ทันที (ลบเฉพาะคอลัมน์ B–F) · แถวไม่พอ: เพิ่มแถวท้ายชีต แล้วคัดลอกแถวสุดท้าย (B–G) วางลงไป</t>
        </is>
      </c>
      <c r="C3" s="110" t="n"/>
      <c r="D3" s="110" t="n"/>
      <c r="E3" s="110" t="n"/>
      <c r="F3" s="110" t="n"/>
      <c r="G3" s="110" t="n"/>
    </row>
    <row r="4" ht="24" customHeight="1">
      <c r="B4" s="111">
        <f>"📌 บันทึกแล้ว "&amp;TEXT(COUNTIF($C:$C,"รายรับ")+COUNTIF($C:$C,"รายจ่าย")+COUNTIF($C:$C,"เงินออม"),"#,##0")&amp;" รายการ     ⚠ ต้องแก้ไข "&amp;COUNTIF($G:$G,"⚠*")&amp;" รายการ     (ระบบนับทุกแถว ไม่จำกัดจำนวน)"</f>
        <v/>
      </c>
      <c r="C4" s="111" t="n"/>
      <c r="D4" s="111" t="n"/>
      <c r="E4" s="111" t="n"/>
      <c r="F4" s="111" t="n"/>
      <c r="G4" s="111" t="n"/>
    </row>
    <row r="5" ht="28" customHeight="1">
      <c r="B5" s="112" t="inlineStr">
        <is>
          <t>วันที่</t>
        </is>
      </c>
      <c r="C5" s="112" t="inlineStr">
        <is>
          <t>ประเภท</t>
        </is>
      </c>
      <c r="D5" s="112" t="inlineStr">
        <is>
          <t>หมวดหมู่</t>
        </is>
      </c>
      <c r="E5" s="112" t="inlineStr">
        <is>
          <t>จำนวนเงิน (บาท)</t>
        </is>
      </c>
      <c r="F5" s="112" t="inlineStr">
        <is>
          <t>รายละเอียด</t>
        </is>
      </c>
      <c r="G5" s="112" t="inlineStr">
        <is>
          <t>ตรวจสอบ</t>
        </is>
      </c>
    </row>
    <row r="6">
      <c r="B6" s="113" t="n">
        <v>46023</v>
      </c>
      <c r="C6" s="114" t="inlineStr">
        <is>
          <t>รายจ่าย</t>
        </is>
      </c>
      <c r="D6" s="115" t="inlineStr">
        <is>
          <t>ค่าที่พัก/ค่าเช่า</t>
        </is>
      </c>
      <c r="E6" s="116" t="n">
        <v>8500</v>
      </c>
      <c r="F6" s="115" t="inlineStr">
        <is>
          <t>ค่าเช่าคอนโด</t>
        </is>
      </c>
      <c r="G6" s="117">
        <f>IF(COUNTA(B6:E6)=0,"",IF(COUNTA(B6:E6)&lt;4,"⚠ กรอกไม่ครบ",IF(NOT(ISNUMBER(B6)),"⚠ วันที่ไม่ถูกต้อง",IF(COUNTIFS(Setup!$L$6:$L$60,D6,Setup!$M$6:$M$60,C6)=0,"⚠ หมวดไม่ตรงประเภท","✓"))))</f>
        <v/>
      </c>
    </row>
    <row r="7">
      <c r="B7" s="113" t="n">
        <v>46024</v>
      </c>
      <c r="C7" s="114" t="inlineStr">
        <is>
          <t>รายจ่าย</t>
        </is>
      </c>
      <c r="D7" s="115" t="inlineStr">
        <is>
          <t>ค่าเดินทาง</t>
        </is>
      </c>
      <c r="E7" s="116" t="n">
        <v>800</v>
      </c>
      <c r="F7" s="115" t="inlineStr">
        <is>
          <t>เติมเงินบัตร BTS/MRT</t>
        </is>
      </c>
      <c r="G7" s="117">
        <f>IF(COUNTA(B7:E7)=0,"",IF(COUNTA(B7:E7)&lt;4,"⚠ กรอกไม่ครบ",IF(NOT(ISNUMBER(B7)),"⚠ วันที่ไม่ถูกต้อง",IF(COUNTIFS(Setup!$L$6:$L$60,D7,Setup!$M$6:$M$60,C7)=0,"⚠ หมวดไม่ตรงประเภท","✓"))))</f>
        <v/>
      </c>
    </row>
    <row r="8">
      <c r="B8" s="113" t="n">
        <v>46025</v>
      </c>
      <c r="C8" s="114" t="inlineStr">
        <is>
          <t>รายจ่าย</t>
        </is>
      </c>
      <c r="D8" s="115" t="inlineStr">
        <is>
          <t>ค่าอาหาร</t>
        </is>
      </c>
      <c r="E8" s="116" t="n">
        <v>1840</v>
      </c>
      <c r="F8" s="115" t="inlineStr">
        <is>
          <t>ค่าอาหาร-กาแฟ สัปดาห์ที่ 1</t>
        </is>
      </c>
      <c r="G8" s="117">
        <f>IF(COUNTA(B8:E8)=0,"",IF(COUNTA(B8:E8)&lt;4,"⚠ กรอกไม่ครบ",IF(NOT(ISNUMBER(B8)),"⚠ วันที่ไม่ถูกต้อง",IF(COUNTIFS(Setup!$L$6:$L$60,D8,Setup!$M$6:$M$60,C8)=0,"⚠ หมวดไม่ตรงประเภท","✓"))))</f>
        <v/>
      </c>
    </row>
    <row r="9">
      <c r="B9" s="113" t="n">
        <v>46027</v>
      </c>
      <c r="C9" s="114" t="inlineStr">
        <is>
          <t>รายจ่าย</t>
        </is>
      </c>
      <c r="D9" s="115" t="inlineStr">
        <is>
          <t>ค่าน้ำ-ค่าไฟ</t>
        </is>
      </c>
      <c r="E9" s="116" t="n">
        <v>1050</v>
      </c>
      <c r="F9" s="115" t="inlineStr">
        <is>
          <t>ค่าไฟ + ค่าน้ำ</t>
        </is>
      </c>
      <c r="G9" s="117">
        <f>IF(COUNTA(B9:E9)=0,"",IF(COUNTA(B9:E9)&lt;4,"⚠ กรอกไม่ครบ",IF(NOT(ISNUMBER(B9)),"⚠ วันที่ไม่ถูกต้อง",IF(COUNTIFS(Setup!$L$6:$L$60,D9,Setup!$M$6:$M$60,C9)=0,"⚠ หมวดไม่ตรงประเภท","✓"))))</f>
        <v/>
      </c>
    </row>
    <row r="10">
      <c r="B10" s="113" t="n">
        <v>46030</v>
      </c>
      <c r="C10" s="114" t="inlineStr">
        <is>
          <t>รายจ่าย</t>
        </is>
      </c>
      <c r="D10" s="115" t="inlineStr">
        <is>
          <t>Subscription</t>
        </is>
      </c>
      <c r="E10" s="116" t="n">
        <v>419</v>
      </c>
      <c r="F10" s="115" t="inlineStr">
        <is>
          <t>Netflix</t>
        </is>
      </c>
      <c r="G10" s="117">
        <f>IF(COUNTA(B10:E10)=0,"",IF(COUNTA(B10:E10)&lt;4,"⚠ กรอกไม่ครบ",IF(NOT(ISNUMBER(B10)),"⚠ วันที่ไม่ถูกต้อง",IF(COUNTIFS(Setup!$L$6:$L$60,D10,Setup!$M$6:$M$60,C10)=0,"⚠ หมวดไม่ตรงประเภท","✓"))))</f>
        <v/>
      </c>
    </row>
    <row r="11">
      <c r="B11" s="113" t="n">
        <v>46032</v>
      </c>
      <c r="C11" s="114" t="inlineStr">
        <is>
          <t>รายจ่าย</t>
        </is>
      </c>
      <c r="D11" s="115" t="inlineStr">
        <is>
          <t>ค่าโทรศัพท์/เน็ต</t>
        </is>
      </c>
      <c r="E11" s="116" t="n">
        <v>599</v>
      </c>
      <c r="F11" s="115" t="inlineStr">
        <is>
          <t>ค่าโทรศัพท์รายเดือน</t>
        </is>
      </c>
      <c r="G11" s="117">
        <f>IF(COUNTA(B11:E11)=0,"",IF(COUNTA(B11:E11)&lt;4,"⚠ กรอกไม่ครบ",IF(NOT(ISNUMBER(B11)),"⚠ วันที่ไม่ถูกต้อง",IF(COUNTIFS(Setup!$L$6:$L$60,D11,Setup!$M$6:$M$60,C11)=0,"⚠ หมวดไม่ตรงประเภท","✓"))))</f>
        <v/>
      </c>
    </row>
    <row r="12">
      <c r="B12" s="113" t="n">
        <v>46032</v>
      </c>
      <c r="C12" s="114" t="inlineStr">
        <is>
          <t>รายจ่าย</t>
        </is>
      </c>
      <c r="D12" s="115" t="inlineStr">
        <is>
          <t>ค่าอาหาร</t>
        </is>
      </c>
      <c r="E12" s="116" t="n">
        <v>1850</v>
      </c>
      <c r="F12" s="115" t="inlineStr">
        <is>
          <t>ค่าอาหาร-กาแฟ สัปดาห์ที่ 2</t>
        </is>
      </c>
      <c r="G12" s="117">
        <f>IF(COUNTA(B12:E12)=0,"",IF(COUNTA(B12:E12)&lt;4,"⚠ กรอกไม่ครบ",IF(NOT(ISNUMBER(B12)),"⚠ วันที่ไม่ถูกต้อง",IF(COUNTIFS(Setup!$L$6:$L$60,D12,Setup!$M$6:$M$60,C12)=0,"⚠ หมวดไม่ตรงประเภท","✓"))))</f>
        <v/>
      </c>
    </row>
    <row r="13">
      <c r="B13" s="113" t="n">
        <v>46034</v>
      </c>
      <c r="C13" s="114" t="inlineStr">
        <is>
          <t>รายจ่าย</t>
        </is>
      </c>
      <c r="D13" s="115" t="inlineStr">
        <is>
          <t>ค่าโทรศัพท์/เน็ต</t>
        </is>
      </c>
      <c r="E13" s="116" t="n">
        <v>590</v>
      </c>
      <c r="F13" s="115" t="inlineStr">
        <is>
          <t>อินเทอร์เน็ตบ้าน</t>
        </is>
      </c>
      <c r="G13" s="117">
        <f>IF(COUNTA(B13:E13)=0,"",IF(COUNTA(B13:E13)&lt;4,"⚠ กรอกไม่ครบ",IF(NOT(ISNUMBER(B13)),"⚠ วันที่ไม่ถูกต้อง",IF(COUNTIFS(Setup!$L$6:$L$60,D13,Setup!$M$6:$M$60,C13)=0,"⚠ หมวดไม่ตรงประเภท","✓"))))</f>
        <v/>
      </c>
    </row>
    <row r="14">
      <c r="B14" s="113" t="n">
        <v>46034</v>
      </c>
      <c r="C14" s="114" t="inlineStr">
        <is>
          <t>รายจ่าย</t>
        </is>
      </c>
      <c r="D14" s="115" t="inlineStr">
        <is>
          <t>ช้อปปิ้ง</t>
        </is>
      </c>
      <c r="E14" s="116" t="n">
        <v>450</v>
      </c>
      <c r="F14" s="115" t="inlineStr">
        <is>
          <t>เสื้อผ้า</t>
        </is>
      </c>
      <c r="G14" s="117">
        <f>IF(COUNTA(B14:E14)=0,"",IF(COUNTA(B14:E14)&lt;4,"⚠ กรอกไม่ครบ",IF(NOT(ISNUMBER(B14)),"⚠ วันที่ไม่ถูกต้อง",IF(COUNTIFS(Setup!$L$6:$L$60,D14,Setup!$M$6:$M$60,C14)=0,"⚠ หมวดไม่ตรงประเภท","✓"))))</f>
        <v/>
      </c>
    </row>
    <row r="15">
      <c r="B15" s="113" t="n">
        <v>46035</v>
      </c>
      <c r="C15" s="114" t="inlineStr">
        <is>
          <t>รายจ่าย</t>
        </is>
      </c>
      <c r="D15" s="115" t="inlineStr">
        <is>
          <t>ของใช้ในบ้าน</t>
        </is>
      </c>
      <c r="E15" s="116" t="n">
        <v>860</v>
      </c>
      <c r="F15" s="115" t="inlineStr">
        <is>
          <t>ของใช้ในบ้าน/ห้องน้ำ</t>
        </is>
      </c>
      <c r="G15" s="117">
        <f>IF(COUNTA(B15:E15)=0,"",IF(COUNTA(B15:E15)&lt;4,"⚠ กรอกไม่ครบ",IF(NOT(ISNUMBER(B15)),"⚠ วันที่ไม่ถูกต้อง",IF(COUNTIFS(Setup!$L$6:$L$60,D15,Setup!$M$6:$M$60,C15)=0,"⚠ หมวดไม่ตรงประเภท","✓"))))</f>
        <v/>
      </c>
    </row>
    <row r="16">
      <c r="B16" s="113" t="n">
        <v>46035</v>
      </c>
      <c r="C16" s="114" t="inlineStr">
        <is>
          <t>รายจ่าย</t>
        </is>
      </c>
      <c r="D16" s="115" t="inlineStr">
        <is>
          <t>สังสรรค์/บันเทิง</t>
        </is>
      </c>
      <c r="E16" s="116" t="n">
        <v>1130</v>
      </c>
      <c r="F16" s="115" t="inlineStr">
        <is>
          <t>ดูหนัง</t>
        </is>
      </c>
      <c r="G16" s="117">
        <f>IF(COUNTA(B16:E16)=0,"",IF(COUNTA(B16:E16)&lt;4,"⚠ กรอกไม่ครบ",IF(NOT(ISNUMBER(B16)),"⚠ วันที่ไม่ถูกต้อง",IF(COUNTIFS(Setup!$L$6:$L$60,D16,Setup!$M$6:$M$60,C16)=0,"⚠ หมวดไม่ตรงประเภท","✓"))))</f>
        <v/>
      </c>
    </row>
    <row r="17">
      <c r="B17" s="113" t="n">
        <v>46037</v>
      </c>
      <c r="C17" s="114" t="inlineStr">
        <is>
          <t>รายรับ</t>
        </is>
      </c>
      <c r="D17" s="115" t="inlineStr">
        <is>
          <t>โบนัส</t>
        </is>
      </c>
      <c r="E17" s="116" t="n">
        <v>63000</v>
      </c>
      <c r="F17" s="115" t="inlineStr">
        <is>
          <t>โบนัสประจำปี</t>
        </is>
      </c>
      <c r="G17" s="117">
        <f>IF(COUNTA(B17:E17)=0,"",IF(COUNTA(B17:E17)&lt;4,"⚠ กรอกไม่ครบ",IF(NOT(ISNUMBER(B17)),"⚠ วันที่ไม่ถูกต้อง",IF(COUNTIFS(Setup!$L$6:$L$60,D17,Setup!$M$6:$M$60,C17)=0,"⚠ หมวดไม่ตรงประเภท","✓"))))</f>
        <v/>
      </c>
    </row>
    <row r="18">
      <c r="B18" s="113" t="n">
        <v>46037</v>
      </c>
      <c r="C18" s="114" t="inlineStr">
        <is>
          <t>รายจ่าย</t>
        </is>
      </c>
      <c r="D18" s="115" t="inlineStr">
        <is>
          <t>ผ่อนชำระ/หนี้</t>
        </is>
      </c>
      <c r="E18" s="116" t="n">
        <v>4200</v>
      </c>
      <c r="F18" s="115" t="inlineStr">
        <is>
          <t>ผ่อนโน้ตบุ๊ก 0% (10 งวด)</t>
        </is>
      </c>
      <c r="G18" s="117">
        <f>IF(COUNTA(B18:E18)=0,"",IF(COUNTA(B18:E18)&lt;4,"⚠ กรอกไม่ครบ",IF(NOT(ISNUMBER(B18)),"⚠ วันที่ไม่ถูกต้อง",IF(COUNTIFS(Setup!$L$6:$L$60,D18,Setup!$M$6:$M$60,C18)=0,"⚠ หมวดไม่ตรงประเภท","✓"))))</f>
        <v/>
      </c>
    </row>
    <row r="19">
      <c r="B19" s="113" t="n">
        <v>46038</v>
      </c>
      <c r="C19" s="114" t="inlineStr">
        <is>
          <t>เงินออม</t>
        </is>
      </c>
      <c r="D19" s="115" t="inlineStr">
        <is>
          <t>เงินสำรองฉุกเฉิน</t>
        </is>
      </c>
      <c r="E19" s="116" t="n">
        <v>20000</v>
      </c>
      <c r="F19" s="115" t="inlineStr">
        <is>
          <t>แบ่งจากโบนัส</t>
        </is>
      </c>
      <c r="G19" s="117">
        <f>IF(COUNTA(B19:E19)=0,"",IF(COUNTA(B19:E19)&lt;4,"⚠ กรอกไม่ครบ",IF(NOT(ISNUMBER(B19)),"⚠ วันที่ไม่ถูกต้อง",IF(COUNTIFS(Setup!$L$6:$L$60,D19,Setup!$M$6:$M$60,C19)=0,"⚠ หมวดไม่ตรงประเภท","✓"))))</f>
        <v/>
      </c>
    </row>
    <row r="20">
      <c r="B20" s="113" t="n">
        <v>46038</v>
      </c>
      <c r="C20" s="114" t="inlineStr">
        <is>
          <t>เงินออม</t>
        </is>
      </c>
      <c r="D20" s="115" t="inlineStr">
        <is>
          <t>หุ้น/ETF</t>
        </is>
      </c>
      <c r="E20" s="116" t="n">
        <v>15000</v>
      </c>
      <c r="F20" s="115" t="inlineStr">
        <is>
          <t>ลงทุนจากโบนัส</t>
        </is>
      </c>
      <c r="G20" s="117">
        <f>IF(COUNTA(B20:E20)=0,"",IF(COUNTA(B20:E20)&lt;4,"⚠ กรอกไม่ครบ",IF(NOT(ISNUMBER(B20)),"⚠ วันที่ไม่ถูกต้อง",IF(COUNTIFS(Setup!$L$6:$L$60,D20,Setup!$M$6:$M$60,C20)=0,"⚠ หมวดไม่ตรงประเภท","✓"))))</f>
        <v/>
      </c>
    </row>
    <row r="21">
      <c r="B21" s="113" t="n">
        <v>46039</v>
      </c>
      <c r="C21" s="114" t="inlineStr">
        <is>
          <t>รายจ่าย</t>
        </is>
      </c>
      <c r="D21" s="115" t="inlineStr">
        <is>
          <t>ค่าอาหาร</t>
        </is>
      </c>
      <c r="E21" s="116" t="n">
        <v>1330</v>
      </c>
      <c r="F21" s="115" t="inlineStr">
        <is>
          <t>ค่าอาหาร-กาแฟ สัปดาห์ที่ 3</t>
        </is>
      </c>
      <c r="G21" s="117">
        <f>IF(COUNTA(B21:E21)=0,"",IF(COUNTA(B21:E21)&lt;4,"⚠ กรอกไม่ครบ",IF(NOT(ISNUMBER(B21)),"⚠ วันที่ไม่ถูกต้อง",IF(COUNTIFS(Setup!$L$6:$L$60,D21,Setup!$M$6:$M$60,C21)=0,"⚠ หมวดไม่ตรงประเภท","✓"))))</f>
        <v/>
      </c>
    </row>
    <row r="22">
      <c r="B22" s="113" t="n">
        <v>46040</v>
      </c>
      <c r="C22" s="114" t="inlineStr">
        <is>
          <t>รายจ่าย</t>
        </is>
      </c>
      <c r="D22" s="115" t="inlineStr">
        <is>
          <t>ค่าเดินทาง</t>
        </is>
      </c>
      <c r="E22" s="116" t="n">
        <v>320</v>
      </c>
      <c r="F22" s="115" t="inlineStr">
        <is>
          <t>Grab / วินมอเตอร์ไซค์</t>
        </is>
      </c>
      <c r="G22" s="117">
        <f>IF(COUNTA(B22:E22)=0,"",IF(COUNTA(B22:E22)&lt;4,"⚠ กรอกไม่ครบ",IF(NOT(ISNUMBER(B22)),"⚠ วันที่ไม่ถูกต้อง",IF(COUNTIFS(Setup!$L$6:$L$60,D22,Setup!$M$6:$M$60,C22)=0,"⚠ หมวดไม่ตรงประเภท","✓"))))</f>
        <v/>
      </c>
    </row>
    <row r="23">
      <c r="B23" s="113" t="n">
        <v>46041</v>
      </c>
      <c r="C23" s="114" t="inlineStr">
        <is>
          <t>รายจ่าย</t>
        </is>
      </c>
      <c r="D23" s="115" t="inlineStr">
        <is>
          <t>ทำบุญ/บริจาค</t>
        </is>
      </c>
      <c r="E23" s="116" t="n">
        <v>100</v>
      </c>
      <c r="F23" s="115" t="inlineStr">
        <is>
          <t>ทำบุญ/บริจาค</t>
        </is>
      </c>
      <c r="G23" s="117">
        <f>IF(COUNTA(B23:E23)=0,"",IF(COUNTA(B23:E23)&lt;4,"⚠ กรอกไม่ครบ",IF(NOT(ISNUMBER(B23)),"⚠ วันที่ไม่ถูกต้อง",IF(COUNTIFS(Setup!$L$6:$L$60,D23,Setup!$M$6:$M$60,C23)=0,"⚠ หมวดไม่ตรงประเภท","✓"))))</f>
        <v/>
      </c>
    </row>
    <row r="24">
      <c r="B24" s="113" t="n">
        <v>46042</v>
      </c>
      <c r="C24" s="114" t="inlineStr">
        <is>
          <t>รายจ่าย</t>
        </is>
      </c>
      <c r="D24" s="115" t="inlineStr">
        <is>
          <t>Subscription</t>
        </is>
      </c>
      <c r="E24" s="116" t="n">
        <v>149</v>
      </c>
      <c r="F24" s="115" t="inlineStr">
        <is>
          <t>Spotify</t>
        </is>
      </c>
      <c r="G24" s="117">
        <f>IF(COUNTA(B24:E24)=0,"",IF(COUNTA(B24:E24)&lt;4,"⚠ กรอกไม่ครบ",IF(NOT(ISNUMBER(B24)),"⚠ วันที่ไม่ถูกต้อง",IF(COUNTIFS(Setup!$L$6:$L$60,D24,Setup!$M$6:$M$60,C24)=0,"⚠ หมวดไม่ตรงประเภท","✓"))))</f>
        <v/>
      </c>
    </row>
    <row r="25">
      <c r="B25" s="113" t="n">
        <v>46046</v>
      </c>
      <c r="C25" s="114" t="inlineStr">
        <is>
          <t>รายจ่าย</t>
        </is>
      </c>
      <c r="D25" s="115" t="inlineStr">
        <is>
          <t>ค่าอาหาร</t>
        </is>
      </c>
      <c r="E25" s="116" t="n">
        <v>1480</v>
      </c>
      <c r="F25" s="115" t="inlineStr">
        <is>
          <t>ค่าอาหาร-กาแฟ สัปดาห์ที่ 4</t>
        </is>
      </c>
      <c r="G25" s="117">
        <f>IF(COUNTA(B25:E25)=0,"",IF(COUNTA(B25:E25)&lt;4,"⚠ กรอกไม่ครบ",IF(NOT(ISNUMBER(B25)),"⚠ วันที่ไม่ถูกต้อง",IF(COUNTIFS(Setup!$L$6:$L$60,D25,Setup!$M$6:$M$60,C25)=0,"⚠ หมวดไม่ตรงประเภท","✓"))))</f>
        <v/>
      </c>
    </row>
    <row r="26">
      <c r="B26" s="113" t="n">
        <v>46047</v>
      </c>
      <c r="C26" s="114" t="inlineStr">
        <is>
          <t>รายรับ</t>
        </is>
      </c>
      <c r="D26" s="115" t="inlineStr">
        <is>
          <t>เงินเดือน</t>
        </is>
      </c>
      <c r="E26" s="116" t="n">
        <v>42000</v>
      </c>
      <c r="F26" s="115" t="inlineStr">
        <is>
          <t>เงินเดือนประจำเดือน</t>
        </is>
      </c>
      <c r="G26" s="117">
        <f>IF(COUNTA(B26:E26)=0,"",IF(COUNTA(B26:E26)&lt;4,"⚠ กรอกไม่ครบ",IF(NOT(ISNUMBER(B26)),"⚠ วันที่ไม่ถูกต้อง",IF(COUNTIFS(Setup!$L$6:$L$60,D26,Setup!$M$6:$M$60,C26)=0,"⚠ หมวดไม่ตรงประเภท","✓"))))</f>
        <v/>
      </c>
    </row>
    <row r="27">
      <c r="B27" s="113" t="n">
        <v>46047</v>
      </c>
      <c r="C27" s="114" t="inlineStr">
        <is>
          <t>รายรับ</t>
        </is>
      </c>
      <c r="D27" s="115" t="inlineStr">
        <is>
          <t>ค่าล่วงเวลา (OT)</t>
        </is>
      </c>
      <c r="E27" s="116" t="n">
        <v>2200</v>
      </c>
      <c r="F27" s="115" t="inlineStr">
        <is>
          <t>ค่า OT ทำงานวันหยุด</t>
        </is>
      </c>
      <c r="G27" s="117">
        <f>IF(COUNTA(B27:E27)=0,"",IF(COUNTA(B27:E27)&lt;4,"⚠ กรอกไม่ครบ",IF(NOT(ISNUMBER(B27)),"⚠ วันที่ไม่ถูกต้อง",IF(COUNTIFS(Setup!$L$6:$L$60,D27,Setup!$M$6:$M$60,C27)=0,"⚠ หมวดไม่ตรงประเภท","✓"))))</f>
        <v/>
      </c>
    </row>
    <row r="28">
      <c r="B28" s="113" t="n">
        <v>46047</v>
      </c>
      <c r="C28" s="114" t="inlineStr">
        <is>
          <t>รายจ่าย</t>
        </is>
      </c>
      <c r="D28" s="115" t="inlineStr">
        <is>
          <t>ค่าอาหาร</t>
        </is>
      </c>
      <c r="E28" s="116" t="n">
        <v>1390</v>
      </c>
      <c r="F28" s="115" t="inlineStr">
        <is>
          <t>ซื้อของเข้าตู้เย็น</t>
        </is>
      </c>
      <c r="G28" s="117">
        <f>IF(COUNTA(B28:E28)=0,"",IF(COUNTA(B28:E28)&lt;4,"⚠ กรอกไม่ครบ",IF(NOT(ISNUMBER(B28)),"⚠ วันที่ไม่ถูกต้อง",IF(COUNTIFS(Setup!$L$6:$L$60,D28,Setup!$M$6:$M$60,C28)=0,"⚠ หมวดไม่ตรงประเภท","✓"))))</f>
        <v/>
      </c>
    </row>
    <row r="29">
      <c r="B29" s="113" t="n">
        <v>46048</v>
      </c>
      <c r="C29" s="114" t="inlineStr">
        <is>
          <t>รายจ่าย</t>
        </is>
      </c>
      <c r="D29" s="115" t="inlineStr">
        <is>
          <t>ให้ครอบครัว</t>
        </is>
      </c>
      <c r="E29" s="116" t="n">
        <v>5000</v>
      </c>
      <c r="F29" s="115" t="inlineStr">
        <is>
          <t>ส่งเงินให้พ่อแม่</t>
        </is>
      </c>
      <c r="G29" s="117">
        <f>IF(COUNTA(B29:E29)=0,"",IF(COUNTA(B29:E29)&lt;4,"⚠ กรอกไม่ครบ",IF(NOT(ISNUMBER(B29)),"⚠ วันที่ไม่ถูกต้อง",IF(COUNTIFS(Setup!$L$6:$L$60,D29,Setup!$M$6:$M$60,C29)=0,"⚠ หมวดไม่ตรงประเภท","✓"))))</f>
        <v/>
      </c>
    </row>
    <row r="30">
      <c r="B30" s="113" t="n">
        <v>46048</v>
      </c>
      <c r="C30" s="114" t="inlineStr">
        <is>
          <t>รายจ่าย</t>
        </is>
      </c>
      <c r="D30" s="115" t="inlineStr">
        <is>
          <t>ค่าเดินทาง</t>
        </is>
      </c>
      <c r="E30" s="116" t="n">
        <v>1080</v>
      </c>
      <c r="F30" s="115" t="inlineStr">
        <is>
          <t>เติมน้ำมัน</t>
        </is>
      </c>
      <c r="G30" s="117">
        <f>IF(COUNTA(B30:E30)=0,"",IF(COUNTA(B30:E30)&lt;4,"⚠ กรอกไม่ครบ",IF(NOT(ISNUMBER(B30)),"⚠ วันที่ไม่ถูกต้อง",IF(COUNTIFS(Setup!$L$6:$L$60,D30,Setup!$M$6:$M$60,C30)=0,"⚠ หมวดไม่ตรงประเภท","✓"))))</f>
        <v/>
      </c>
    </row>
    <row r="31">
      <c r="B31" s="113" t="n">
        <v>46048</v>
      </c>
      <c r="C31" s="114" t="inlineStr">
        <is>
          <t>เงินออม</t>
        </is>
      </c>
      <c r="D31" s="115" t="inlineStr">
        <is>
          <t>เงินฝากออมทรัพย์</t>
        </is>
      </c>
      <c r="E31" s="116" t="n">
        <v>3000</v>
      </c>
      <c r="F31" s="115" t="inlineStr">
        <is>
          <t>ฝากออมประจำเดือน</t>
        </is>
      </c>
      <c r="G31" s="117">
        <f>IF(COUNTA(B31:E31)=0,"",IF(COUNTA(B31:E31)&lt;4,"⚠ กรอกไม่ครบ",IF(NOT(ISNUMBER(B31)),"⚠ วันที่ไม่ถูกต้อง",IF(COUNTIFS(Setup!$L$6:$L$60,D31,Setup!$M$6:$M$60,C31)=0,"⚠ หมวดไม่ตรงประเภท","✓"))))</f>
        <v/>
      </c>
    </row>
    <row r="32">
      <c r="B32" s="113" t="n">
        <v>46048</v>
      </c>
      <c r="C32" s="114" t="inlineStr">
        <is>
          <t>เงินออม</t>
        </is>
      </c>
      <c r="D32" s="115" t="inlineStr">
        <is>
          <t>เงินสำรองฉุกเฉิน</t>
        </is>
      </c>
      <c r="E32" s="116" t="n">
        <v>2000</v>
      </c>
      <c r="F32" s="115" t="inlineStr">
        <is>
          <t>เติมเงินสำรองฉุกเฉิน</t>
        </is>
      </c>
      <c r="G32" s="117">
        <f>IF(COUNTA(B32:E32)=0,"",IF(COUNTA(B32:E32)&lt;4,"⚠ กรอกไม่ครบ",IF(NOT(ISNUMBER(B32)),"⚠ วันที่ไม่ถูกต้อง",IF(COUNTIFS(Setup!$L$6:$L$60,D32,Setup!$M$6:$M$60,C32)=0,"⚠ หมวดไม่ตรงประเภท","✓"))))</f>
        <v/>
      </c>
    </row>
    <row r="33">
      <c r="B33" s="113" t="n">
        <v>46049</v>
      </c>
      <c r="C33" s="114" t="inlineStr">
        <is>
          <t>เงินออม</t>
        </is>
      </c>
      <c r="D33" s="115" t="inlineStr">
        <is>
          <t>กองทุน SSF/RMF</t>
        </is>
      </c>
      <c r="E33" s="116" t="n">
        <v>2500</v>
      </c>
      <c r="F33" s="115" t="inlineStr">
        <is>
          <t>DCA กองทุนลดหย่อนภาษี</t>
        </is>
      </c>
      <c r="G33" s="117">
        <f>IF(COUNTA(B33:E33)=0,"",IF(COUNTA(B33:E33)&lt;4,"⚠ กรอกไม่ครบ",IF(NOT(ISNUMBER(B33)),"⚠ วันที่ไม่ถูกต้อง",IF(COUNTIFS(Setup!$L$6:$L$60,D33,Setup!$M$6:$M$60,C33)=0,"⚠ หมวดไม่ตรงประเภท","✓"))))</f>
        <v/>
      </c>
    </row>
    <row r="34">
      <c r="B34" s="113" t="n">
        <v>46050</v>
      </c>
      <c r="C34" s="114" t="inlineStr">
        <is>
          <t>เงินออม</t>
        </is>
      </c>
      <c r="D34" s="115" t="inlineStr">
        <is>
          <t>ออมทอง</t>
        </is>
      </c>
      <c r="E34" s="116" t="n">
        <v>2000</v>
      </c>
      <c r="F34" s="115" t="inlineStr">
        <is>
          <t>ออมทองรายเดือน</t>
        </is>
      </c>
      <c r="G34" s="117">
        <f>IF(COUNTA(B34:E34)=0,"",IF(COUNTA(B34:E34)&lt;4,"⚠ กรอกไม่ครบ",IF(NOT(ISNUMBER(B34)),"⚠ วันที่ไม่ถูกต้อง",IF(COUNTIFS(Setup!$L$6:$L$60,D34,Setup!$M$6:$M$60,C34)=0,"⚠ หมวดไม่ตรงประเภท","✓"))))</f>
        <v/>
      </c>
    </row>
    <row r="35">
      <c r="B35" s="113" t="n">
        <v>46054</v>
      </c>
      <c r="C35" s="114" t="inlineStr">
        <is>
          <t>รายจ่าย</t>
        </is>
      </c>
      <c r="D35" s="115" t="inlineStr">
        <is>
          <t>ค่าที่พัก/ค่าเช่า</t>
        </is>
      </c>
      <c r="E35" s="116" t="n">
        <v>8500</v>
      </c>
      <c r="F35" s="115" t="inlineStr">
        <is>
          <t>ค่าเช่าคอนโด</t>
        </is>
      </c>
      <c r="G35" s="117">
        <f>IF(COUNTA(B35:E35)=0,"",IF(COUNTA(B35:E35)&lt;4,"⚠ กรอกไม่ครบ",IF(NOT(ISNUMBER(B35)),"⚠ วันที่ไม่ถูกต้อง",IF(COUNTIFS(Setup!$L$6:$L$60,D35,Setup!$M$6:$M$60,C35)=0,"⚠ หมวดไม่ตรงประเภท","✓"))))</f>
        <v/>
      </c>
    </row>
    <row r="36">
      <c r="B36" s="113" t="n">
        <v>46055</v>
      </c>
      <c r="C36" s="114" t="inlineStr">
        <is>
          <t>รายจ่าย</t>
        </is>
      </c>
      <c r="D36" s="115" t="inlineStr">
        <is>
          <t>ค่าเดินทาง</t>
        </is>
      </c>
      <c r="E36" s="116" t="n">
        <v>1000</v>
      </c>
      <c r="F36" s="115" t="inlineStr">
        <is>
          <t>เติมเงินบัตร BTS/MRT</t>
        </is>
      </c>
      <c r="G36" s="117">
        <f>IF(COUNTA(B36:E36)=0,"",IF(COUNTA(B36:E36)&lt;4,"⚠ กรอกไม่ครบ",IF(NOT(ISNUMBER(B36)),"⚠ วันที่ไม่ถูกต้อง",IF(COUNTIFS(Setup!$L$6:$L$60,D36,Setup!$M$6:$M$60,C36)=0,"⚠ หมวดไม่ตรงประเภท","✓"))))</f>
        <v/>
      </c>
    </row>
    <row r="37">
      <c r="B37" s="113" t="n">
        <v>46056</v>
      </c>
      <c r="C37" s="114" t="inlineStr">
        <is>
          <t>รายจ่าย</t>
        </is>
      </c>
      <c r="D37" s="115" t="inlineStr">
        <is>
          <t>ค่าอาหาร</t>
        </is>
      </c>
      <c r="E37" s="116" t="n">
        <v>1520</v>
      </c>
      <c r="F37" s="115" t="inlineStr">
        <is>
          <t>ค่าอาหาร-กาแฟ สัปดาห์ที่ 1</t>
        </is>
      </c>
      <c r="G37" s="117">
        <f>IF(COUNTA(B37:E37)=0,"",IF(COUNTA(B37:E37)&lt;4,"⚠ กรอกไม่ครบ",IF(NOT(ISNUMBER(B37)),"⚠ วันที่ไม่ถูกต้อง",IF(COUNTIFS(Setup!$L$6:$L$60,D37,Setup!$M$6:$M$60,C37)=0,"⚠ หมวดไม่ตรงประเภท","✓"))))</f>
        <v/>
      </c>
    </row>
    <row r="38">
      <c r="B38" s="113" t="n">
        <v>46058</v>
      </c>
      <c r="C38" s="114" t="inlineStr">
        <is>
          <t>รายจ่าย</t>
        </is>
      </c>
      <c r="D38" s="115" t="inlineStr">
        <is>
          <t>ค่าน้ำ-ค่าไฟ</t>
        </is>
      </c>
      <c r="E38" s="116" t="n">
        <v>1100</v>
      </c>
      <c r="F38" s="115" t="inlineStr">
        <is>
          <t>ค่าไฟ + ค่าน้ำ</t>
        </is>
      </c>
      <c r="G38" s="117">
        <f>IF(COUNTA(B38:E38)=0,"",IF(COUNTA(B38:E38)&lt;4,"⚠ กรอกไม่ครบ",IF(NOT(ISNUMBER(B38)),"⚠ วันที่ไม่ถูกต้อง",IF(COUNTIFS(Setup!$L$6:$L$60,D38,Setup!$M$6:$M$60,C38)=0,"⚠ หมวดไม่ตรงประเภท","✓"))))</f>
        <v/>
      </c>
    </row>
    <row r="39">
      <c r="B39" s="113" t="n">
        <v>46059</v>
      </c>
      <c r="C39" s="114" t="inlineStr">
        <is>
          <t>รายจ่าย</t>
        </is>
      </c>
      <c r="D39" s="115" t="inlineStr">
        <is>
          <t>สุขภาพ/ยา</t>
        </is>
      </c>
      <c r="E39" s="116" t="n">
        <v>1190</v>
      </c>
      <c r="F39" s="115" t="inlineStr">
        <is>
          <t>ทำฟัน</t>
        </is>
      </c>
      <c r="G39" s="117">
        <f>IF(COUNTA(B39:E39)=0,"",IF(COUNTA(B39:E39)&lt;4,"⚠ กรอกไม่ครบ",IF(NOT(ISNUMBER(B39)),"⚠ วันที่ไม่ถูกต้อง",IF(COUNTIFS(Setup!$L$6:$L$60,D39,Setup!$M$6:$M$60,C39)=0,"⚠ หมวดไม่ตรงประเภท","✓"))))</f>
        <v/>
      </c>
    </row>
    <row r="40">
      <c r="B40" s="113" t="n">
        <v>46061</v>
      </c>
      <c r="C40" s="114" t="inlineStr">
        <is>
          <t>รายจ่าย</t>
        </is>
      </c>
      <c r="D40" s="115" t="inlineStr">
        <is>
          <t>Subscription</t>
        </is>
      </c>
      <c r="E40" s="116" t="n">
        <v>419</v>
      </c>
      <c r="F40" s="115" t="inlineStr">
        <is>
          <t>Netflix</t>
        </is>
      </c>
      <c r="G40" s="117">
        <f>IF(COUNTA(B40:E40)=0,"",IF(COUNTA(B40:E40)&lt;4,"⚠ กรอกไม่ครบ",IF(NOT(ISNUMBER(B40)),"⚠ วันที่ไม่ถูกต้อง",IF(COUNTIFS(Setup!$L$6:$L$60,D40,Setup!$M$6:$M$60,C40)=0,"⚠ หมวดไม่ตรงประเภท","✓"))))</f>
        <v/>
      </c>
    </row>
    <row r="41">
      <c r="B41" s="113" t="n">
        <v>46061</v>
      </c>
      <c r="C41" s="114" t="inlineStr">
        <is>
          <t>รายจ่าย</t>
        </is>
      </c>
      <c r="D41" s="115" t="inlineStr">
        <is>
          <t>ของใช้ในบ้าน</t>
        </is>
      </c>
      <c r="E41" s="116" t="n">
        <v>660</v>
      </c>
      <c r="F41" s="115" t="inlineStr">
        <is>
          <t>ของใช้ในบ้าน/ห้องน้ำ</t>
        </is>
      </c>
      <c r="G41" s="117">
        <f>IF(COUNTA(B41:E41)=0,"",IF(COUNTA(B41:E41)&lt;4,"⚠ กรอกไม่ครบ",IF(NOT(ISNUMBER(B41)),"⚠ วันที่ไม่ถูกต้อง",IF(COUNTIFS(Setup!$L$6:$L$60,D41,Setup!$M$6:$M$60,C41)=0,"⚠ หมวดไม่ตรงประเภท","✓"))))</f>
        <v/>
      </c>
    </row>
    <row r="42">
      <c r="B42" s="113" t="n">
        <v>46063</v>
      </c>
      <c r="C42" s="114" t="inlineStr">
        <is>
          <t>รายจ่าย</t>
        </is>
      </c>
      <c r="D42" s="115" t="inlineStr">
        <is>
          <t>ค่าโทรศัพท์/เน็ต</t>
        </is>
      </c>
      <c r="E42" s="116" t="n">
        <v>599</v>
      </c>
      <c r="F42" s="115" t="inlineStr">
        <is>
          <t>ค่าโทรศัพท์รายเดือน</t>
        </is>
      </c>
      <c r="G42" s="117">
        <f>IF(COUNTA(B42:E42)=0,"",IF(COUNTA(B42:E42)&lt;4,"⚠ กรอกไม่ครบ",IF(NOT(ISNUMBER(B42)),"⚠ วันที่ไม่ถูกต้อง",IF(COUNTIFS(Setup!$L$6:$L$60,D42,Setup!$M$6:$M$60,C42)=0,"⚠ หมวดไม่ตรงประเภท","✓"))))</f>
        <v/>
      </c>
    </row>
    <row r="43">
      <c r="B43" s="113" t="n">
        <v>46063</v>
      </c>
      <c r="C43" s="114" t="inlineStr">
        <is>
          <t>รายจ่าย</t>
        </is>
      </c>
      <c r="D43" s="115" t="inlineStr">
        <is>
          <t>ค่าอาหาร</t>
        </is>
      </c>
      <c r="E43" s="116" t="n">
        <v>1640</v>
      </c>
      <c r="F43" s="115" t="inlineStr">
        <is>
          <t>ค่าอาหาร-กาแฟ สัปดาห์ที่ 2</t>
        </is>
      </c>
      <c r="G43" s="117">
        <f>IF(COUNTA(B43:E43)=0,"",IF(COUNTA(B43:E43)&lt;4,"⚠ กรอกไม่ครบ",IF(NOT(ISNUMBER(B43)),"⚠ วันที่ไม่ถูกต้อง",IF(COUNTIFS(Setup!$L$6:$L$60,D43,Setup!$M$6:$M$60,C43)=0,"⚠ หมวดไม่ตรงประเภท","✓"))))</f>
        <v/>
      </c>
    </row>
    <row r="44">
      <c r="B44" s="113" t="n">
        <v>46065</v>
      </c>
      <c r="C44" s="114" t="inlineStr">
        <is>
          <t>รายจ่าย</t>
        </is>
      </c>
      <c r="D44" s="115" t="inlineStr">
        <is>
          <t>ค่าโทรศัพท์/เน็ต</t>
        </is>
      </c>
      <c r="E44" s="116" t="n">
        <v>590</v>
      </c>
      <c r="F44" s="115" t="inlineStr">
        <is>
          <t>อินเทอร์เน็ตบ้าน</t>
        </is>
      </c>
      <c r="G44" s="117">
        <f>IF(COUNTA(B44:E44)=0,"",IF(COUNTA(B44:E44)&lt;4,"⚠ กรอกไม่ครบ",IF(NOT(ISNUMBER(B44)),"⚠ วันที่ไม่ถูกต้อง",IF(COUNTIFS(Setup!$L$6:$L$60,D44,Setup!$M$6:$M$60,C44)=0,"⚠ หมวดไม่ตรงประเภท","✓"))))</f>
        <v/>
      </c>
    </row>
    <row r="45">
      <c r="B45" s="113" t="n">
        <v>46067</v>
      </c>
      <c r="C45" s="114" t="inlineStr">
        <is>
          <t>รายจ่าย</t>
        </is>
      </c>
      <c r="D45" s="115" t="inlineStr">
        <is>
          <t>ค่าเดินทาง</t>
        </is>
      </c>
      <c r="E45" s="116" t="n">
        <v>170</v>
      </c>
      <c r="F45" s="115" t="inlineStr">
        <is>
          <t>Grab / วินมอเตอร์ไซค์</t>
        </is>
      </c>
      <c r="G45" s="117">
        <f>IF(COUNTA(B45:E45)=0,"",IF(COUNTA(B45:E45)&lt;4,"⚠ กรอกไม่ครบ",IF(NOT(ISNUMBER(B45)),"⚠ วันที่ไม่ถูกต้อง",IF(COUNTIFS(Setup!$L$6:$L$60,D45,Setup!$M$6:$M$60,C45)=0,"⚠ หมวดไม่ตรงประเภท","✓"))))</f>
        <v/>
      </c>
    </row>
    <row r="46">
      <c r="B46" s="113" t="n">
        <v>46067</v>
      </c>
      <c r="C46" s="114" t="inlineStr">
        <is>
          <t>รายจ่าย</t>
        </is>
      </c>
      <c r="D46" s="115" t="inlineStr">
        <is>
          <t>การศึกษา</t>
        </is>
      </c>
      <c r="E46" s="116" t="n">
        <v>1990</v>
      </c>
      <c r="F46" s="115" t="inlineStr">
        <is>
          <t>คอร์สออนไลน์ Data Analysis</t>
        </is>
      </c>
      <c r="G46" s="117">
        <f>IF(COUNTA(B46:E46)=0,"",IF(COUNTA(B46:E46)&lt;4,"⚠ กรอกไม่ครบ",IF(NOT(ISNUMBER(B46)),"⚠ วันที่ไม่ถูกต้อง",IF(COUNTIFS(Setup!$L$6:$L$60,D46,Setup!$M$6:$M$60,C46)=0,"⚠ หมวดไม่ตรงประเภท","✓"))))</f>
        <v/>
      </c>
    </row>
    <row r="47">
      <c r="B47" s="113" t="n">
        <v>46068</v>
      </c>
      <c r="C47" s="114" t="inlineStr">
        <is>
          <t>รายจ่าย</t>
        </is>
      </c>
      <c r="D47" s="115" t="inlineStr">
        <is>
          <t>ผ่อนชำระ/หนี้</t>
        </is>
      </c>
      <c r="E47" s="116" t="n">
        <v>4200</v>
      </c>
      <c r="F47" s="115" t="inlineStr">
        <is>
          <t>ผ่อนโน้ตบุ๊ก 0% (10 งวด)</t>
        </is>
      </c>
      <c r="G47" s="117">
        <f>IF(COUNTA(B47:E47)=0,"",IF(COUNTA(B47:E47)&lt;4,"⚠ กรอกไม่ครบ",IF(NOT(ISNUMBER(B47)),"⚠ วันที่ไม่ถูกต้อง",IF(COUNTIFS(Setup!$L$6:$L$60,D47,Setup!$M$6:$M$60,C47)=0,"⚠ หมวดไม่ตรงประเภท","✓"))))</f>
        <v/>
      </c>
    </row>
    <row r="48">
      <c r="B48" s="113" t="n">
        <v>46070</v>
      </c>
      <c r="C48" s="114" t="inlineStr">
        <is>
          <t>รายจ่าย</t>
        </is>
      </c>
      <c r="D48" s="115" t="inlineStr">
        <is>
          <t>ค่าอาหาร</t>
        </is>
      </c>
      <c r="E48" s="116" t="n">
        <v>1650</v>
      </c>
      <c r="F48" s="115" t="inlineStr">
        <is>
          <t>ค่าอาหาร-กาแฟ สัปดาห์ที่ 3</t>
        </is>
      </c>
      <c r="G48" s="117">
        <f>IF(COUNTA(B48:E48)=0,"",IF(COUNTA(B48:E48)&lt;4,"⚠ กรอกไม่ครบ",IF(NOT(ISNUMBER(B48)),"⚠ วันที่ไม่ถูกต้อง",IF(COUNTIFS(Setup!$L$6:$L$60,D48,Setup!$M$6:$M$60,C48)=0,"⚠ หมวดไม่ตรงประเภท","✓"))))</f>
        <v/>
      </c>
    </row>
    <row r="49">
      <c r="B49" s="113" t="n">
        <v>46071</v>
      </c>
      <c r="C49" s="114" t="inlineStr">
        <is>
          <t>รายรับ</t>
        </is>
      </c>
      <c r="D49" s="115" t="inlineStr">
        <is>
          <t>ฟรีแลนซ์/งานเสริม</t>
        </is>
      </c>
      <c r="E49" s="116" t="n">
        <v>8000</v>
      </c>
      <c r="F49" s="115" t="inlineStr">
        <is>
          <t>รับเขียนคอนเทนต์</t>
        </is>
      </c>
      <c r="G49" s="117">
        <f>IF(COUNTA(B49:E49)=0,"",IF(COUNTA(B49:E49)&lt;4,"⚠ กรอกไม่ครบ",IF(NOT(ISNUMBER(B49)),"⚠ วันที่ไม่ถูกต้อง",IF(COUNTIFS(Setup!$L$6:$L$60,D49,Setup!$M$6:$M$60,C49)=0,"⚠ หมวดไม่ตรงประเภท","✓"))))</f>
        <v/>
      </c>
    </row>
    <row r="50">
      <c r="B50" s="113" t="n">
        <v>46072</v>
      </c>
      <c r="C50" s="114" t="inlineStr">
        <is>
          <t>รายจ่าย</t>
        </is>
      </c>
      <c r="D50" s="115" t="inlineStr">
        <is>
          <t>ช้อปปิ้ง</t>
        </is>
      </c>
      <c r="E50" s="116" t="n">
        <v>810</v>
      </c>
      <c r="F50" s="115" t="inlineStr">
        <is>
          <t>ของแต่งห้อง</t>
        </is>
      </c>
      <c r="G50" s="117">
        <f>IF(COUNTA(B50:E50)=0,"",IF(COUNTA(B50:E50)&lt;4,"⚠ กรอกไม่ครบ",IF(NOT(ISNUMBER(B50)),"⚠ วันที่ไม่ถูกต้อง",IF(COUNTIFS(Setup!$L$6:$L$60,D50,Setup!$M$6:$M$60,C50)=0,"⚠ หมวดไม่ตรงประเภท","✓"))))</f>
        <v/>
      </c>
    </row>
    <row r="51">
      <c r="B51" s="113" t="n">
        <v>46073</v>
      </c>
      <c r="C51" s="114" t="inlineStr">
        <is>
          <t>รายจ่าย</t>
        </is>
      </c>
      <c r="D51" s="115" t="inlineStr">
        <is>
          <t>Subscription</t>
        </is>
      </c>
      <c r="E51" s="116" t="n">
        <v>149</v>
      </c>
      <c r="F51" s="115" t="inlineStr">
        <is>
          <t>Spotify</t>
        </is>
      </c>
      <c r="G51" s="117">
        <f>IF(COUNTA(B51:E51)=0,"",IF(COUNTA(B51:E51)&lt;4,"⚠ กรอกไม่ครบ",IF(NOT(ISNUMBER(B51)),"⚠ วันที่ไม่ถูกต้อง",IF(COUNTIFS(Setup!$L$6:$L$60,D51,Setup!$M$6:$M$60,C51)=0,"⚠ หมวดไม่ตรงประเภท","✓"))))</f>
        <v/>
      </c>
    </row>
    <row r="52">
      <c r="B52" s="113" t="n">
        <v>46075</v>
      </c>
      <c r="C52" s="114" t="inlineStr">
        <is>
          <t>รายจ่าย</t>
        </is>
      </c>
      <c r="D52" s="115" t="inlineStr">
        <is>
          <t>ค่าอาหาร</t>
        </is>
      </c>
      <c r="E52" s="116" t="n">
        <v>1410</v>
      </c>
      <c r="F52" s="115" t="inlineStr">
        <is>
          <t>มื้อพิเศษกับครอบครัว</t>
        </is>
      </c>
      <c r="G52" s="117">
        <f>IF(COUNTA(B52:E52)=0,"",IF(COUNTA(B52:E52)&lt;4,"⚠ กรอกไม่ครบ",IF(NOT(ISNUMBER(B52)),"⚠ วันที่ไม่ถูกต้อง",IF(COUNTIFS(Setup!$L$6:$L$60,D52,Setup!$M$6:$M$60,C52)=0,"⚠ หมวดไม่ตรงประเภท","✓"))))</f>
        <v/>
      </c>
    </row>
    <row r="53">
      <c r="B53" s="113" t="n">
        <v>46077</v>
      </c>
      <c r="C53" s="114" t="inlineStr">
        <is>
          <t>รายจ่าย</t>
        </is>
      </c>
      <c r="D53" s="115" t="inlineStr">
        <is>
          <t>ค่าอาหาร</t>
        </is>
      </c>
      <c r="E53" s="116" t="n">
        <v>1680</v>
      </c>
      <c r="F53" s="115" t="inlineStr">
        <is>
          <t>ค่าอาหาร-กาแฟ สัปดาห์ที่ 4</t>
        </is>
      </c>
      <c r="G53" s="117">
        <f>IF(COUNTA(B53:E53)=0,"",IF(COUNTA(B53:E53)&lt;4,"⚠ กรอกไม่ครบ",IF(NOT(ISNUMBER(B53)),"⚠ วันที่ไม่ถูกต้อง",IF(COUNTIFS(Setup!$L$6:$L$60,D53,Setup!$M$6:$M$60,C53)=0,"⚠ หมวดไม่ตรงประเภท","✓"))))</f>
        <v/>
      </c>
    </row>
    <row r="54">
      <c r="B54" s="113" t="n">
        <v>46077</v>
      </c>
      <c r="C54" s="114" t="inlineStr">
        <is>
          <t>รายจ่าย</t>
        </is>
      </c>
      <c r="D54" s="115" t="inlineStr">
        <is>
          <t>สังสรรค์/บันเทิง</t>
        </is>
      </c>
      <c r="E54" s="116" t="n">
        <v>1480</v>
      </c>
      <c r="F54" s="115" t="inlineStr">
        <is>
          <t>ดูหนัง</t>
        </is>
      </c>
      <c r="G54" s="117">
        <f>IF(COUNTA(B54:E54)=0,"",IF(COUNTA(B54:E54)&lt;4,"⚠ กรอกไม่ครบ",IF(NOT(ISNUMBER(B54)),"⚠ วันที่ไม่ถูกต้อง",IF(COUNTIFS(Setup!$L$6:$L$60,D54,Setup!$M$6:$M$60,C54)=0,"⚠ หมวดไม่ตรงประเภท","✓"))))</f>
        <v/>
      </c>
    </row>
    <row r="55">
      <c r="B55" s="113" t="n">
        <v>46078</v>
      </c>
      <c r="C55" s="114" t="inlineStr">
        <is>
          <t>รายรับ</t>
        </is>
      </c>
      <c r="D55" s="115" t="inlineStr">
        <is>
          <t>เงินเดือน</t>
        </is>
      </c>
      <c r="E55" s="116" t="n">
        <v>42000</v>
      </c>
      <c r="F55" s="115" t="inlineStr">
        <is>
          <t>เงินเดือนประจำเดือน</t>
        </is>
      </c>
      <c r="G55" s="117">
        <f>IF(COUNTA(B55:E55)=0,"",IF(COUNTA(B55:E55)&lt;4,"⚠ กรอกไม่ครบ",IF(NOT(ISNUMBER(B55)),"⚠ วันที่ไม่ถูกต้อง",IF(COUNTIFS(Setup!$L$6:$L$60,D55,Setup!$M$6:$M$60,C55)=0,"⚠ หมวดไม่ตรงประเภท","✓"))))</f>
        <v/>
      </c>
    </row>
    <row r="56">
      <c r="B56" s="113" t="n">
        <v>46078</v>
      </c>
      <c r="C56" s="114" t="inlineStr">
        <is>
          <t>รายรับ</t>
        </is>
      </c>
      <c r="D56" s="115" t="inlineStr">
        <is>
          <t>ค่าล่วงเวลา (OT)</t>
        </is>
      </c>
      <c r="E56" s="116" t="n">
        <v>4600</v>
      </c>
      <c r="F56" s="115" t="inlineStr">
        <is>
          <t>ค่า OT ทำงานวันหยุด</t>
        </is>
      </c>
      <c r="G56" s="117">
        <f>IF(COUNTA(B56:E56)=0,"",IF(COUNTA(B56:E56)&lt;4,"⚠ กรอกไม่ครบ",IF(NOT(ISNUMBER(B56)),"⚠ วันที่ไม่ถูกต้อง",IF(COUNTIFS(Setup!$L$6:$L$60,D56,Setup!$M$6:$M$60,C56)=0,"⚠ หมวดไม่ตรงประเภท","✓"))))</f>
        <v/>
      </c>
    </row>
    <row r="57">
      <c r="B57" s="113" t="n">
        <v>46079</v>
      </c>
      <c r="C57" s="114" t="inlineStr">
        <is>
          <t>รายจ่าย</t>
        </is>
      </c>
      <c r="D57" s="115" t="inlineStr">
        <is>
          <t>ให้ครอบครัว</t>
        </is>
      </c>
      <c r="E57" s="116" t="n">
        <v>5000</v>
      </c>
      <c r="F57" s="115" t="inlineStr">
        <is>
          <t>ส่งเงินให้พ่อแม่</t>
        </is>
      </c>
      <c r="G57" s="117">
        <f>IF(COUNTA(B57:E57)=0,"",IF(COUNTA(B57:E57)&lt;4,"⚠ กรอกไม่ครบ",IF(NOT(ISNUMBER(B57)),"⚠ วันที่ไม่ถูกต้อง",IF(COUNTIFS(Setup!$L$6:$L$60,D57,Setup!$M$6:$M$60,C57)=0,"⚠ หมวดไม่ตรงประเภท","✓"))))</f>
        <v/>
      </c>
    </row>
    <row r="58">
      <c r="B58" s="113" t="n">
        <v>46079</v>
      </c>
      <c r="C58" s="114" t="inlineStr">
        <is>
          <t>เงินออม</t>
        </is>
      </c>
      <c r="D58" s="115" t="inlineStr">
        <is>
          <t>เงินฝากออมทรัพย์</t>
        </is>
      </c>
      <c r="E58" s="116" t="n">
        <v>3000</v>
      </c>
      <c r="F58" s="115" t="inlineStr">
        <is>
          <t>ฝากออมประจำเดือน</t>
        </is>
      </c>
      <c r="G58" s="117">
        <f>IF(COUNTA(B58:E58)=0,"",IF(COUNTA(B58:E58)&lt;4,"⚠ กรอกไม่ครบ",IF(NOT(ISNUMBER(B58)),"⚠ วันที่ไม่ถูกต้อง",IF(COUNTIFS(Setup!$L$6:$L$60,D58,Setup!$M$6:$M$60,C58)=0,"⚠ หมวดไม่ตรงประเภท","✓"))))</f>
        <v/>
      </c>
    </row>
    <row r="59">
      <c r="B59" s="113" t="n">
        <v>46079</v>
      </c>
      <c r="C59" s="114" t="inlineStr">
        <is>
          <t>เงินออม</t>
        </is>
      </c>
      <c r="D59" s="115" t="inlineStr">
        <is>
          <t>เงินสำรองฉุกเฉิน</t>
        </is>
      </c>
      <c r="E59" s="116" t="n">
        <v>2000</v>
      </c>
      <c r="F59" s="115" t="inlineStr">
        <is>
          <t>เติมเงินสำรองฉุกเฉิน</t>
        </is>
      </c>
      <c r="G59" s="117">
        <f>IF(COUNTA(B59:E59)=0,"",IF(COUNTA(B59:E59)&lt;4,"⚠ กรอกไม่ครบ",IF(NOT(ISNUMBER(B59)),"⚠ วันที่ไม่ถูกต้อง",IF(COUNTIFS(Setup!$L$6:$L$60,D59,Setup!$M$6:$M$60,C59)=0,"⚠ หมวดไม่ตรงประเภท","✓"))))</f>
        <v/>
      </c>
    </row>
    <row r="60">
      <c r="B60" s="113" t="n">
        <v>46080</v>
      </c>
      <c r="C60" s="114" t="inlineStr">
        <is>
          <t>รายจ่าย</t>
        </is>
      </c>
      <c r="D60" s="115" t="inlineStr">
        <is>
          <t>ค่าเดินทาง</t>
        </is>
      </c>
      <c r="E60" s="116" t="n">
        <v>940</v>
      </c>
      <c r="F60" s="115" t="inlineStr">
        <is>
          <t>เติมน้ำมัน</t>
        </is>
      </c>
      <c r="G60" s="117">
        <f>IF(COUNTA(B60:E60)=0,"",IF(COUNTA(B60:E60)&lt;4,"⚠ กรอกไม่ครบ",IF(NOT(ISNUMBER(B60)),"⚠ วันที่ไม่ถูกต้อง",IF(COUNTIFS(Setup!$L$6:$L$60,D60,Setup!$M$6:$M$60,C60)=0,"⚠ หมวดไม่ตรงประเภท","✓"))))</f>
        <v/>
      </c>
    </row>
    <row r="61">
      <c r="B61" s="113" t="n">
        <v>46080</v>
      </c>
      <c r="C61" s="114" t="inlineStr">
        <is>
          <t>เงินออม</t>
        </is>
      </c>
      <c r="D61" s="115" t="inlineStr">
        <is>
          <t>กองทุน SSF/RMF</t>
        </is>
      </c>
      <c r="E61" s="116" t="n">
        <v>2500</v>
      </c>
      <c r="F61" s="115" t="inlineStr">
        <is>
          <t>DCA กองทุนลดหย่อนภาษี</t>
        </is>
      </c>
      <c r="G61" s="117">
        <f>IF(COUNTA(B61:E61)=0,"",IF(COUNTA(B61:E61)&lt;4,"⚠ กรอกไม่ครบ",IF(NOT(ISNUMBER(B61)),"⚠ วันที่ไม่ถูกต้อง",IF(COUNTIFS(Setup!$L$6:$L$60,D61,Setup!$M$6:$M$60,C61)=0,"⚠ หมวดไม่ตรงประเภท","✓"))))</f>
        <v/>
      </c>
    </row>
    <row r="62">
      <c r="B62" s="113" t="n">
        <v>46080</v>
      </c>
      <c r="C62" s="114" t="inlineStr">
        <is>
          <t>เงินออม</t>
        </is>
      </c>
      <c r="D62" s="115" t="inlineStr">
        <is>
          <t>หุ้น/ETF</t>
        </is>
      </c>
      <c r="E62" s="116" t="n">
        <v>3500</v>
      </c>
      <c r="F62" s="115" t="inlineStr">
        <is>
          <t>DCA ETF</t>
        </is>
      </c>
      <c r="G62" s="117">
        <f>IF(COUNTA(B62:E62)=0,"",IF(COUNTA(B62:E62)&lt;4,"⚠ กรอกไม่ครบ",IF(NOT(ISNUMBER(B62)),"⚠ วันที่ไม่ถูกต้อง",IF(COUNTIFS(Setup!$L$6:$L$60,D62,Setup!$M$6:$M$60,C62)=0,"⚠ หมวดไม่ตรงประเภท","✓"))))</f>
        <v/>
      </c>
    </row>
    <row r="63">
      <c r="B63" s="113" t="n">
        <v>46082</v>
      </c>
      <c r="C63" s="114" t="inlineStr">
        <is>
          <t>รายจ่าย</t>
        </is>
      </c>
      <c r="D63" s="115" t="inlineStr">
        <is>
          <t>ค่าที่พัก/ค่าเช่า</t>
        </is>
      </c>
      <c r="E63" s="116" t="n">
        <v>8500</v>
      </c>
      <c r="F63" s="115" t="inlineStr">
        <is>
          <t>ค่าเช่าคอนโด</t>
        </is>
      </c>
      <c r="G63" s="117">
        <f>IF(COUNTA(B63:E63)=0,"",IF(COUNTA(B63:E63)&lt;4,"⚠ กรอกไม่ครบ",IF(NOT(ISNUMBER(B63)),"⚠ วันที่ไม่ถูกต้อง",IF(COUNTIFS(Setup!$L$6:$L$60,D63,Setup!$M$6:$M$60,C63)=0,"⚠ หมวดไม่ตรงประเภท","✓"))))</f>
        <v/>
      </c>
    </row>
    <row r="64">
      <c r="B64" s="113" t="n">
        <v>46083</v>
      </c>
      <c r="C64" s="114" t="inlineStr">
        <is>
          <t>รายจ่าย</t>
        </is>
      </c>
      <c r="D64" s="115" t="inlineStr">
        <is>
          <t>ค่าเดินทาง</t>
        </is>
      </c>
      <c r="E64" s="116" t="n">
        <v>900</v>
      </c>
      <c r="F64" s="115" t="inlineStr">
        <is>
          <t>เติมเงินบัตร BTS/MRT</t>
        </is>
      </c>
      <c r="G64" s="117">
        <f>IF(COUNTA(B64:E64)=0,"",IF(COUNTA(B64:E64)&lt;4,"⚠ กรอกไม่ครบ",IF(NOT(ISNUMBER(B64)),"⚠ วันที่ไม่ถูกต้อง",IF(COUNTIFS(Setup!$L$6:$L$60,D64,Setup!$M$6:$M$60,C64)=0,"⚠ หมวดไม่ตรงประเภท","✓"))))</f>
        <v/>
      </c>
    </row>
    <row r="65">
      <c r="B65" s="113" t="n">
        <v>46084</v>
      </c>
      <c r="C65" s="114" t="inlineStr">
        <is>
          <t>รายจ่าย</t>
        </is>
      </c>
      <c r="D65" s="115" t="inlineStr">
        <is>
          <t>ค่าอาหาร</t>
        </is>
      </c>
      <c r="E65" s="116" t="n">
        <v>1820</v>
      </c>
      <c r="F65" s="115" t="inlineStr">
        <is>
          <t>ค่าอาหาร-กาแฟ สัปดาห์ที่ 1</t>
        </is>
      </c>
      <c r="G65" s="117">
        <f>IF(COUNTA(B65:E65)=0,"",IF(COUNTA(B65:E65)&lt;4,"⚠ กรอกไม่ครบ",IF(NOT(ISNUMBER(B65)),"⚠ วันที่ไม่ถูกต้อง",IF(COUNTIFS(Setup!$L$6:$L$60,D65,Setup!$M$6:$M$60,C65)=0,"⚠ หมวดไม่ตรงประเภท","✓"))))</f>
        <v/>
      </c>
    </row>
    <row r="66">
      <c r="B66" s="113" t="n">
        <v>46086</v>
      </c>
      <c r="C66" s="114" t="inlineStr">
        <is>
          <t>รายจ่าย</t>
        </is>
      </c>
      <c r="D66" s="115" t="inlineStr">
        <is>
          <t>ค่าน้ำ-ค่าไฟ</t>
        </is>
      </c>
      <c r="E66" s="116" t="n">
        <v>1230</v>
      </c>
      <c r="F66" s="115" t="inlineStr">
        <is>
          <t>ค่าไฟ + ค่าน้ำ</t>
        </is>
      </c>
      <c r="G66" s="117">
        <f>IF(COUNTA(B66:E66)=0,"",IF(COUNTA(B66:E66)&lt;4,"⚠ กรอกไม่ครบ",IF(NOT(ISNUMBER(B66)),"⚠ วันที่ไม่ถูกต้อง",IF(COUNTIFS(Setup!$L$6:$L$60,D66,Setup!$M$6:$M$60,C66)=0,"⚠ หมวดไม่ตรงประเภท","✓"))))</f>
        <v/>
      </c>
    </row>
    <row r="67">
      <c r="B67" s="113" t="n">
        <v>46087</v>
      </c>
      <c r="C67" s="114" t="inlineStr">
        <is>
          <t>รายจ่าย</t>
        </is>
      </c>
      <c r="D67" s="115" t="inlineStr">
        <is>
          <t>ช้อปปิ้ง</t>
        </is>
      </c>
      <c r="E67" s="116" t="n">
        <v>2250</v>
      </c>
      <c r="F67" s="115" t="inlineStr">
        <is>
          <t>เสื้อผ้า</t>
        </is>
      </c>
      <c r="G67" s="117">
        <f>IF(COUNTA(B67:E67)=0,"",IF(COUNTA(B67:E67)&lt;4,"⚠ กรอกไม่ครบ",IF(NOT(ISNUMBER(B67)),"⚠ วันที่ไม่ถูกต้อง",IF(COUNTIFS(Setup!$L$6:$L$60,D67,Setup!$M$6:$M$60,C67)=0,"⚠ หมวดไม่ตรงประเภท","✓"))))</f>
        <v/>
      </c>
    </row>
    <row r="68">
      <c r="B68" s="113" t="n">
        <v>46088</v>
      </c>
      <c r="C68" s="114" t="inlineStr">
        <is>
          <t>รายจ่าย</t>
        </is>
      </c>
      <c r="D68" s="115" t="inlineStr">
        <is>
          <t>ของใช้ในบ้าน</t>
        </is>
      </c>
      <c r="E68" s="116" t="n">
        <v>460</v>
      </c>
      <c r="F68" s="115" t="inlineStr">
        <is>
          <t>ของใช้ในบ้าน/ห้องน้ำ</t>
        </is>
      </c>
      <c r="G68" s="117">
        <f>IF(COUNTA(B68:E68)=0,"",IF(COUNTA(B68:E68)&lt;4,"⚠ กรอกไม่ครบ",IF(NOT(ISNUMBER(B68)),"⚠ วันที่ไม่ถูกต้อง",IF(COUNTIFS(Setup!$L$6:$L$60,D68,Setup!$M$6:$M$60,C68)=0,"⚠ หมวดไม่ตรงประเภท","✓"))))</f>
        <v/>
      </c>
    </row>
    <row r="69">
      <c r="B69" s="113" t="n">
        <v>46089</v>
      </c>
      <c r="C69" s="114" t="inlineStr">
        <is>
          <t>รายจ่าย</t>
        </is>
      </c>
      <c r="D69" s="115" t="inlineStr">
        <is>
          <t>Subscription</t>
        </is>
      </c>
      <c r="E69" s="116" t="n">
        <v>419</v>
      </c>
      <c r="F69" s="115" t="inlineStr">
        <is>
          <t>Netflix</t>
        </is>
      </c>
      <c r="G69" s="117">
        <f>IF(COUNTA(B69:E69)=0,"",IF(COUNTA(B69:E69)&lt;4,"⚠ กรอกไม่ครบ",IF(NOT(ISNUMBER(B69)),"⚠ วันที่ไม่ถูกต้อง",IF(COUNTIFS(Setup!$L$6:$L$60,D69,Setup!$M$6:$M$60,C69)=0,"⚠ หมวดไม่ตรงประเภท","✓"))))</f>
        <v/>
      </c>
    </row>
    <row r="70">
      <c r="B70" s="113" t="n">
        <v>46091</v>
      </c>
      <c r="C70" s="114" t="inlineStr">
        <is>
          <t>รายจ่าย</t>
        </is>
      </c>
      <c r="D70" s="115" t="inlineStr">
        <is>
          <t>ค่าโทรศัพท์/เน็ต</t>
        </is>
      </c>
      <c r="E70" s="116" t="n">
        <v>599</v>
      </c>
      <c r="F70" s="115" t="inlineStr">
        <is>
          <t>ค่าโทรศัพท์รายเดือน</t>
        </is>
      </c>
      <c r="G70" s="117">
        <f>IF(COUNTA(B70:E70)=0,"",IF(COUNTA(B70:E70)&lt;4,"⚠ กรอกไม่ครบ",IF(NOT(ISNUMBER(B70)),"⚠ วันที่ไม่ถูกต้อง",IF(COUNTIFS(Setup!$L$6:$L$60,D70,Setup!$M$6:$M$60,C70)=0,"⚠ หมวดไม่ตรงประเภท","✓"))))</f>
        <v/>
      </c>
    </row>
    <row r="71">
      <c r="B71" s="113" t="n">
        <v>46091</v>
      </c>
      <c r="C71" s="114" t="inlineStr">
        <is>
          <t>รายจ่าย</t>
        </is>
      </c>
      <c r="D71" s="115" t="inlineStr">
        <is>
          <t>ค่าอาหาร</t>
        </is>
      </c>
      <c r="E71" s="116" t="n">
        <v>1700</v>
      </c>
      <c r="F71" s="115" t="inlineStr">
        <is>
          <t>ค่าอาหาร-กาแฟ สัปดาห์ที่ 2</t>
        </is>
      </c>
      <c r="G71" s="117">
        <f>IF(COUNTA(B71:E71)=0,"",IF(COUNTA(B71:E71)&lt;4,"⚠ กรอกไม่ครบ",IF(NOT(ISNUMBER(B71)),"⚠ วันที่ไม่ถูกต้อง",IF(COUNTIFS(Setup!$L$6:$L$60,D71,Setup!$M$6:$M$60,C71)=0,"⚠ หมวดไม่ตรงประเภท","✓"))))</f>
        <v/>
      </c>
    </row>
    <row r="72">
      <c r="B72" s="113" t="n">
        <v>46093</v>
      </c>
      <c r="C72" s="114" t="inlineStr">
        <is>
          <t>รายจ่าย</t>
        </is>
      </c>
      <c r="D72" s="115" t="inlineStr">
        <is>
          <t>ค่าโทรศัพท์/เน็ต</t>
        </is>
      </c>
      <c r="E72" s="116" t="n">
        <v>590</v>
      </c>
      <c r="F72" s="115" t="inlineStr">
        <is>
          <t>อินเทอร์เน็ตบ้าน</t>
        </is>
      </c>
      <c r="G72" s="117">
        <f>IF(COUNTA(B72:E72)=0,"",IF(COUNTA(B72:E72)&lt;4,"⚠ กรอกไม่ครบ",IF(NOT(ISNUMBER(B72)),"⚠ วันที่ไม่ถูกต้อง",IF(COUNTIFS(Setup!$L$6:$L$60,D72,Setup!$M$6:$M$60,C72)=0,"⚠ หมวดไม่ตรงประเภท","✓"))))</f>
        <v/>
      </c>
    </row>
    <row r="73">
      <c r="B73" s="113" t="n">
        <v>46094</v>
      </c>
      <c r="C73" s="114" t="inlineStr">
        <is>
          <t>รายรับ</t>
        </is>
      </c>
      <c r="D73" s="115" t="inlineStr">
        <is>
          <t>ขายของออนไลน์</t>
        </is>
      </c>
      <c r="E73" s="116" t="n">
        <v>2150</v>
      </c>
      <c r="F73" s="115" t="inlineStr">
        <is>
          <t>ขายของมือสองใน Marketplace</t>
        </is>
      </c>
      <c r="G73" s="117">
        <f>IF(COUNTA(B73:E73)=0,"",IF(COUNTA(B73:E73)&lt;4,"⚠ กรอกไม่ครบ",IF(NOT(ISNUMBER(B73)),"⚠ วันที่ไม่ถูกต้อง",IF(COUNTIFS(Setup!$L$6:$L$60,D73,Setup!$M$6:$M$60,C73)=0,"⚠ หมวดไม่ตรงประเภท","✓"))))</f>
        <v/>
      </c>
    </row>
    <row r="74">
      <c r="B74" s="113" t="n">
        <v>46096</v>
      </c>
      <c r="C74" s="114" t="inlineStr">
        <is>
          <t>รายจ่าย</t>
        </is>
      </c>
      <c r="D74" s="115" t="inlineStr">
        <is>
          <t>ผ่อนชำระ/หนี้</t>
        </is>
      </c>
      <c r="E74" s="116" t="n">
        <v>4200</v>
      </c>
      <c r="F74" s="115" t="inlineStr">
        <is>
          <t>ผ่อนโน้ตบุ๊ก 0% (10 งวด)</t>
        </is>
      </c>
      <c r="G74" s="117">
        <f>IF(COUNTA(B74:E74)=0,"",IF(COUNTA(B74:E74)&lt;4,"⚠ กรอกไม่ครบ",IF(NOT(ISNUMBER(B74)),"⚠ วันที่ไม่ถูกต้อง",IF(COUNTIFS(Setup!$L$6:$L$60,D74,Setup!$M$6:$M$60,C74)=0,"⚠ หมวดไม่ตรงประเภท","✓"))))</f>
        <v/>
      </c>
    </row>
    <row r="75">
      <c r="B75" s="113" t="n">
        <v>46096</v>
      </c>
      <c r="C75" s="114" t="inlineStr">
        <is>
          <t>รายจ่าย</t>
        </is>
      </c>
      <c r="D75" s="115" t="inlineStr">
        <is>
          <t>ช้อปปิ้ง</t>
        </is>
      </c>
      <c r="E75" s="116" t="n">
        <v>2730</v>
      </c>
      <c r="F75" s="115" t="inlineStr">
        <is>
          <t>โปรเซลล์กลางเดือน</t>
        </is>
      </c>
      <c r="G75" s="117">
        <f>IF(COUNTA(B75:E75)=0,"",IF(COUNTA(B75:E75)&lt;4,"⚠ กรอกไม่ครบ",IF(NOT(ISNUMBER(B75)),"⚠ วันที่ไม่ถูกต้อง",IF(COUNTIFS(Setup!$L$6:$L$60,D75,Setup!$M$6:$M$60,C75)=0,"⚠ หมวดไม่ตรงประเภท","✓"))))</f>
        <v/>
      </c>
    </row>
    <row r="76">
      <c r="B76" s="113" t="n">
        <v>46098</v>
      </c>
      <c r="C76" s="114" t="inlineStr">
        <is>
          <t>รายรับ</t>
        </is>
      </c>
      <c r="D76" s="115" t="inlineStr">
        <is>
          <t>ฟรีแลนซ์/งานเสริม</t>
        </is>
      </c>
      <c r="E76" s="116" t="n">
        <v>11500</v>
      </c>
      <c r="F76" s="115" t="inlineStr">
        <is>
          <t>ถ่ายรูปสินค้า</t>
        </is>
      </c>
      <c r="G76" s="117">
        <f>IF(COUNTA(B76:E76)=0,"",IF(COUNTA(B76:E76)&lt;4,"⚠ กรอกไม่ครบ",IF(NOT(ISNUMBER(B76)),"⚠ วันที่ไม่ถูกต้อง",IF(COUNTIFS(Setup!$L$6:$L$60,D76,Setup!$M$6:$M$60,C76)=0,"⚠ หมวดไม่ตรงประเภท","✓"))))</f>
        <v/>
      </c>
    </row>
    <row r="77">
      <c r="B77" s="113" t="n">
        <v>46098</v>
      </c>
      <c r="C77" s="114" t="inlineStr">
        <is>
          <t>รายจ่าย</t>
        </is>
      </c>
      <c r="D77" s="115" t="inlineStr">
        <is>
          <t>ค่าอาหาร</t>
        </is>
      </c>
      <c r="E77" s="116" t="n">
        <v>1870</v>
      </c>
      <c r="F77" s="115" t="inlineStr">
        <is>
          <t>ค่าอาหาร-กาแฟ สัปดาห์ที่ 3</t>
        </is>
      </c>
      <c r="G77" s="117">
        <f>IF(COUNTA(B77:E77)=0,"",IF(COUNTA(B77:E77)&lt;4,"⚠ กรอกไม่ครบ",IF(NOT(ISNUMBER(B77)),"⚠ วันที่ไม่ถูกต้อง",IF(COUNTIFS(Setup!$L$6:$L$60,D77,Setup!$M$6:$M$60,C77)=0,"⚠ หมวดไม่ตรงประเภท","✓"))))</f>
        <v/>
      </c>
    </row>
    <row r="78">
      <c r="B78" s="113" t="n">
        <v>46098</v>
      </c>
      <c r="C78" s="114" t="inlineStr">
        <is>
          <t>รายจ่าย</t>
        </is>
      </c>
      <c r="D78" s="115" t="inlineStr">
        <is>
          <t>ค่าเดินทาง</t>
        </is>
      </c>
      <c r="E78" s="116" t="n">
        <v>400</v>
      </c>
      <c r="F78" s="115" t="inlineStr">
        <is>
          <t>Grab / วินมอเตอร์ไซค์</t>
        </is>
      </c>
      <c r="G78" s="117">
        <f>IF(COUNTA(B78:E78)=0,"",IF(COUNTA(B78:E78)&lt;4,"⚠ กรอกไม่ครบ",IF(NOT(ISNUMBER(B78)),"⚠ วันที่ไม่ถูกต้อง",IF(COUNTIFS(Setup!$L$6:$L$60,D78,Setup!$M$6:$M$60,C78)=0,"⚠ หมวดไม่ตรงประเภท","✓"))))</f>
        <v/>
      </c>
    </row>
    <row r="79">
      <c r="B79" s="113" t="n">
        <v>46099</v>
      </c>
      <c r="C79" s="114" t="inlineStr">
        <is>
          <t>รายจ่าย</t>
        </is>
      </c>
      <c r="D79" s="115" t="inlineStr">
        <is>
          <t>ประกันภัย</t>
        </is>
      </c>
      <c r="E79" s="116" t="n">
        <v>3200</v>
      </c>
      <c r="F79" s="115" t="inlineStr">
        <is>
          <t>ประกันสุขภาพ (รายไตรมาส)</t>
        </is>
      </c>
      <c r="G79" s="117">
        <f>IF(COUNTA(B79:E79)=0,"",IF(COUNTA(B79:E79)&lt;4,"⚠ กรอกไม่ครบ",IF(NOT(ISNUMBER(B79)),"⚠ วันที่ไม่ถูกต้อง",IF(COUNTIFS(Setup!$L$6:$L$60,D79,Setup!$M$6:$M$60,C79)=0,"⚠ หมวดไม่ตรงประเภท","✓"))))</f>
        <v/>
      </c>
    </row>
    <row r="80">
      <c r="B80" s="113" t="n">
        <v>46100</v>
      </c>
      <c r="C80" s="114" t="inlineStr">
        <is>
          <t>รายจ่าย</t>
        </is>
      </c>
      <c r="D80" s="115" t="inlineStr">
        <is>
          <t>ค่าอาหาร</t>
        </is>
      </c>
      <c r="E80" s="116" t="n">
        <v>1320</v>
      </c>
      <c r="F80" s="115" t="inlineStr">
        <is>
          <t>ปิ้งย่างกับเพื่อน</t>
        </is>
      </c>
      <c r="G80" s="117">
        <f>IF(COUNTA(B80:E80)=0,"",IF(COUNTA(B80:E80)&lt;4,"⚠ กรอกไม่ครบ",IF(NOT(ISNUMBER(B80)),"⚠ วันที่ไม่ถูกต้อง",IF(COUNTIFS(Setup!$L$6:$L$60,D80,Setup!$M$6:$M$60,C80)=0,"⚠ หมวดไม่ตรงประเภท","✓"))))</f>
        <v/>
      </c>
    </row>
    <row r="81">
      <c r="B81" s="113" t="n">
        <v>46100</v>
      </c>
      <c r="C81" s="114" t="inlineStr">
        <is>
          <t>รายจ่าย</t>
        </is>
      </c>
      <c r="D81" s="115" t="inlineStr">
        <is>
          <t>ค่าเดินทาง</t>
        </is>
      </c>
      <c r="E81" s="116" t="n">
        <v>960</v>
      </c>
      <c r="F81" s="115" t="inlineStr">
        <is>
          <t>เติมน้ำมัน</t>
        </is>
      </c>
      <c r="G81" s="117">
        <f>IF(COUNTA(B81:E81)=0,"",IF(COUNTA(B81:E81)&lt;4,"⚠ กรอกไม่ครบ",IF(NOT(ISNUMBER(B81)),"⚠ วันที่ไม่ถูกต้อง",IF(COUNTIFS(Setup!$L$6:$L$60,D81,Setup!$M$6:$M$60,C81)=0,"⚠ หมวดไม่ตรงประเภท","✓"))))</f>
        <v/>
      </c>
    </row>
    <row r="82">
      <c r="B82" s="113" t="n">
        <v>46101</v>
      </c>
      <c r="C82" s="114" t="inlineStr">
        <is>
          <t>รายจ่าย</t>
        </is>
      </c>
      <c r="D82" s="115" t="inlineStr">
        <is>
          <t>Subscription</t>
        </is>
      </c>
      <c r="E82" s="116" t="n">
        <v>149</v>
      </c>
      <c r="F82" s="115" t="inlineStr">
        <is>
          <t>Spotify</t>
        </is>
      </c>
      <c r="G82" s="117">
        <f>IF(COUNTA(B82:E82)=0,"",IF(COUNTA(B82:E82)&lt;4,"⚠ กรอกไม่ครบ",IF(NOT(ISNUMBER(B82)),"⚠ วันที่ไม่ถูกต้อง",IF(COUNTIFS(Setup!$L$6:$L$60,D82,Setup!$M$6:$M$60,C82)=0,"⚠ หมวดไม่ตรงประเภท","✓"))))</f>
        <v/>
      </c>
    </row>
    <row r="83">
      <c r="B83" s="113" t="n">
        <v>46104</v>
      </c>
      <c r="C83" s="114" t="inlineStr">
        <is>
          <t>รายจ่าย</t>
        </is>
      </c>
      <c r="D83" s="115" t="inlineStr">
        <is>
          <t>สังสรรค์/บันเทิง</t>
        </is>
      </c>
      <c r="E83" s="116" t="n">
        <v>1600</v>
      </c>
      <c r="F83" s="115" t="inlineStr">
        <is>
          <t>สังสรรค์กับเพื่อน</t>
        </is>
      </c>
      <c r="G83" s="117">
        <f>IF(COUNTA(B83:E83)=0,"",IF(COUNTA(B83:E83)&lt;4,"⚠ กรอกไม่ครบ",IF(NOT(ISNUMBER(B83)),"⚠ วันที่ไม่ถูกต้อง",IF(COUNTIFS(Setup!$L$6:$L$60,D83,Setup!$M$6:$M$60,C83)=0,"⚠ หมวดไม่ตรงประเภท","✓"))))</f>
        <v/>
      </c>
    </row>
    <row r="84">
      <c r="B84" s="113" t="n">
        <v>46105</v>
      </c>
      <c r="C84" s="114" t="inlineStr">
        <is>
          <t>รายจ่าย</t>
        </is>
      </c>
      <c r="D84" s="115" t="inlineStr">
        <is>
          <t>ค่าอาหาร</t>
        </is>
      </c>
      <c r="E84" s="116" t="n">
        <v>1530</v>
      </c>
      <c r="F84" s="115" t="inlineStr">
        <is>
          <t>ค่าอาหาร-กาแฟ สัปดาห์ที่ 4</t>
        </is>
      </c>
      <c r="G84" s="117">
        <f>IF(COUNTA(B84:E84)=0,"",IF(COUNTA(B84:E84)&lt;4,"⚠ กรอกไม่ครบ",IF(NOT(ISNUMBER(B84)),"⚠ วันที่ไม่ถูกต้อง",IF(COUNTIFS(Setup!$L$6:$L$60,D84,Setup!$M$6:$M$60,C84)=0,"⚠ หมวดไม่ตรงประเภท","✓"))))</f>
        <v/>
      </c>
    </row>
    <row r="85">
      <c r="B85" s="113" t="n">
        <v>46106</v>
      </c>
      <c r="C85" s="114" t="inlineStr">
        <is>
          <t>รายรับ</t>
        </is>
      </c>
      <c r="D85" s="115" t="inlineStr">
        <is>
          <t>เงินเดือน</t>
        </is>
      </c>
      <c r="E85" s="116" t="n">
        <v>42000</v>
      </c>
      <c r="F85" s="115" t="inlineStr">
        <is>
          <t>เงินเดือนประจำเดือน</t>
        </is>
      </c>
      <c r="G85" s="117">
        <f>IF(COUNTA(B85:E85)=0,"",IF(COUNTA(B85:E85)&lt;4,"⚠ กรอกไม่ครบ",IF(NOT(ISNUMBER(B85)),"⚠ วันที่ไม่ถูกต้อง",IF(COUNTIFS(Setup!$L$6:$L$60,D85,Setup!$M$6:$M$60,C85)=0,"⚠ หมวดไม่ตรงประเภท","✓"))))</f>
        <v/>
      </c>
    </row>
    <row r="86">
      <c r="B86" s="113" t="n">
        <v>46107</v>
      </c>
      <c r="C86" s="114" t="inlineStr">
        <is>
          <t>รายจ่าย</t>
        </is>
      </c>
      <c r="D86" s="115" t="inlineStr">
        <is>
          <t>ให้ครอบครัว</t>
        </is>
      </c>
      <c r="E86" s="116" t="n">
        <v>5000</v>
      </c>
      <c r="F86" s="115" t="inlineStr">
        <is>
          <t>ส่งเงินให้พ่อแม่</t>
        </is>
      </c>
      <c r="G86" s="117">
        <f>IF(COUNTA(B86:E86)=0,"",IF(COUNTA(B86:E86)&lt;4,"⚠ กรอกไม่ครบ",IF(NOT(ISNUMBER(B86)),"⚠ วันที่ไม่ถูกต้อง",IF(COUNTIFS(Setup!$L$6:$L$60,D86,Setup!$M$6:$M$60,C86)=0,"⚠ หมวดไม่ตรงประเภท","✓"))))</f>
        <v/>
      </c>
    </row>
    <row r="87">
      <c r="B87" s="113" t="n">
        <v>46107</v>
      </c>
      <c r="C87" s="114" t="inlineStr">
        <is>
          <t>เงินออม</t>
        </is>
      </c>
      <c r="D87" s="115" t="inlineStr">
        <is>
          <t>เงินฝากออมทรัพย์</t>
        </is>
      </c>
      <c r="E87" s="116" t="n">
        <v>3000</v>
      </c>
      <c r="F87" s="115" t="inlineStr">
        <is>
          <t>ฝากออมประจำเดือน</t>
        </is>
      </c>
      <c r="G87" s="117">
        <f>IF(COUNTA(B87:E87)=0,"",IF(COUNTA(B87:E87)&lt;4,"⚠ กรอกไม่ครบ",IF(NOT(ISNUMBER(B87)),"⚠ วันที่ไม่ถูกต้อง",IF(COUNTIFS(Setup!$L$6:$L$60,D87,Setup!$M$6:$M$60,C87)=0,"⚠ หมวดไม่ตรงประเภท","✓"))))</f>
        <v/>
      </c>
    </row>
    <row r="88">
      <c r="B88" s="113" t="n">
        <v>46107</v>
      </c>
      <c r="C88" s="114" t="inlineStr">
        <is>
          <t>เงินออม</t>
        </is>
      </c>
      <c r="D88" s="115" t="inlineStr">
        <is>
          <t>เงินสำรองฉุกเฉิน</t>
        </is>
      </c>
      <c r="E88" s="116" t="n">
        <v>2000</v>
      </c>
      <c r="F88" s="115" t="inlineStr">
        <is>
          <t>เติมเงินสำรองฉุกเฉิน</t>
        </is>
      </c>
      <c r="G88" s="117">
        <f>IF(COUNTA(B88:E88)=0,"",IF(COUNTA(B88:E88)&lt;4,"⚠ กรอกไม่ครบ",IF(NOT(ISNUMBER(B88)),"⚠ วันที่ไม่ถูกต้อง",IF(COUNTIFS(Setup!$L$6:$L$60,D88,Setup!$M$6:$M$60,C88)=0,"⚠ หมวดไม่ตรงประเภท","✓"))))</f>
        <v/>
      </c>
    </row>
    <row r="89">
      <c r="B89" s="113" t="n">
        <v>46108</v>
      </c>
      <c r="C89" s="114" t="inlineStr">
        <is>
          <t>เงินออม</t>
        </is>
      </c>
      <c r="D89" s="115" t="inlineStr">
        <is>
          <t>กองทุน SSF/RMF</t>
        </is>
      </c>
      <c r="E89" s="116" t="n">
        <v>2500</v>
      </c>
      <c r="F89" s="115" t="inlineStr">
        <is>
          <t>DCA กองทุนลดหย่อนภาษี</t>
        </is>
      </c>
      <c r="G89" s="117">
        <f>IF(COUNTA(B89:E89)=0,"",IF(COUNTA(B89:E89)&lt;4,"⚠ กรอกไม่ครบ",IF(NOT(ISNUMBER(B89)),"⚠ วันที่ไม่ถูกต้อง",IF(COUNTIFS(Setup!$L$6:$L$60,D89,Setup!$M$6:$M$60,C89)=0,"⚠ หมวดไม่ตรงประเภท","✓"))))</f>
        <v/>
      </c>
    </row>
    <row r="90">
      <c r="B90" s="113" t="n">
        <v>46108</v>
      </c>
      <c r="C90" s="114" t="inlineStr">
        <is>
          <t>เงินออม</t>
        </is>
      </c>
      <c r="D90" s="115" t="inlineStr">
        <is>
          <t>หุ้น/ETF</t>
        </is>
      </c>
      <c r="E90" s="116" t="n">
        <v>3500</v>
      </c>
      <c r="F90" s="115" t="inlineStr">
        <is>
          <t>DCA ETF</t>
        </is>
      </c>
      <c r="G90" s="117">
        <f>IF(COUNTA(B90:E90)=0,"",IF(COUNTA(B90:E90)&lt;4,"⚠ กรอกไม่ครบ",IF(NOT(ISNUMBER(B90)),"⚠ วันที่ไม่ถูกต้อง",IF(COUNTIFS(Setup!$L$6:$L$60,D90,Setup!$M$6:$M$60,C90)=0,"⚠ หมวดไม่ตรงประเภท","✓"))))</f>
        <v/>
      </c>
    </row>
    <row r="91">
      <c r="B91" s="113" t="n">
        <v>46111</v>
      </c>
      <c r="C91" s="114" t="inlineStr">
        <is>
          <t>รายรับ</t>
        </is>
      </c>
      <c r="D91" s="115" t="inlineStr">
        <is>
          <t>ดอกเบี้ย/ปันผล</t>
        </is>
      </c>
      <c r="E91" s="116" t="n">
        <v>670</v>
      </c>
      <c r="F91" s="115" t="inlineStr">
        <is>
          <t>ดอกเบี้ยบัญชีออมทรัพย์</t>
        </is>
      </c>
      <c r="G91" s="117">
        <f>IF(COUNTA(B91:E91)=0,"",IF(COUNTA(B91:E91)&lt;4,"⚠ กรอกไม่ครบ",IF(NOT(ISNUMBER(B91)),"⚠ วันที่ไม่ถูกต้อง",IF(COUNTIFS(Setup!$L$6:$L$60,D91,Setup!$M$6:$M$60,C91)=0,"⚠ หมวดไม่ตรงประเภท","✓"))))</f>
        <v/>
      </c>
    </row>
    <row r="92">
      <c r="B92" s="113" t="n">
        <v>46113</v>
      </c>
      <c r="C92" s="114" t="inlineStr">
        <is>
          <t>รายจ่าย</t>
        </is>
      </c>
      <c r="D92" s="115" t="inlineStr">
        <is>
          <t>ค่าที่พัก/ค่าเช่า</t>
        </is>
      </c>
      <c r="E92" s="116" t="n">
        <v>8500</v>
      </c>
      <c r="F92" s="115" t="inlineStr">
        <is>
          <t>ค่าเช่าคอนโด</t>
        </is>
      </c>
      <c r="G92" s="117">
        <f>IF(COUNTA(B92:E92)=0,"",IF(COUNTA(B92:E92)&lt;4,"⚠ กรอกไม่ครบ",IF(NOT(ISNUMBER(B92)),"⚠ วันที่ไม่ถูกต้อง",IF(COUNTIFS(Setup!$L$6:$L$60,D92,Setup!$M$6:$M$60,C92)=0,"⚠ หมวดไม่ตรงประเภท","✓"))))</f>
        <v/>
      </c>
    </row>
    <row r="93">
      <c r="B93" s="113" t="n">
        <v>46114</v>
      </c>
      <c r="C93" s="114" t="inlineStr">
        <is>
          <t>รายจ่าย</t>
        </is>
      </c>
      <c r="D93" s="115" t="inlineStr">
        <is>
          <t>ค่าเดินทาง</t>
        </is>
      </c>
      <c r="E93" s="116" t="n">
        <v>1000</v>
      </c>
      <c r="F93" s="115" t="inlineStr">
        <is>
          <t>เติมเงินบัตร BTS/MRT</t>
        </is>
      </c>
      <c r="G93" s="117">
        <f>IF(COUNTA(B93:E93)=0,"",IF(COUNTA(B93:E93)&lt;4,"⚠ กรอกไม่ครบ",IF(NOT(ISNUMBER(B93)),"⚠ วันที่ไม่ถูกต้อง",IF(COUNTIFS(Setup!$L$6:$L$60,D93,Setup!$M$6:$M$60,C93)=0,"⚠ หมวดไม่ตรงประเภท","✓"))))</f>
        <v/>
      </c>
    </row>
    <row r="94">
      <c r="B94" s="113" t="n">
        <v>46115</v>
      </c>
      <c r="C94" s="114" t="inlineStr">
        <is>
          <t>รายจ่าย</t>
        </is>
      </c>
      <c r="D94" s="115" t="inlineStr">
        <is>
          <t>ค่าอาหาร</t>
        </is>
      </c>
      <c r="E94" s="116" t="n">
        <v>2000</v>
      </c>
      <c r="F94" s="115" t="inlineStr">
        <is>
          <t>ค่าอาหาร-กาแฟ สัปดาห์ที่ 1</t>
        </is>
      </c>
      <c r="G94" s="117">
        <f>IF(COUNTA(B94:E94)=0,"",IF(COUNTA(B94:E94)&lt;4,"⚠ กรอกไม่ครบ",IF(NOT(ISNUMBER(B94)),"⚠ วันที่ไม่ถูกต้อง",IF(COUNTIFS(Setup!$L$6:$L$60,D94,Setup!$M$6:$M$60,C94)=0,"⚠ หมวดไม่ตรงประเภท","✓"))))</f>
        <v/>
      </c>
    </row>
    <row r="95">
      <c r="B95" s="113" t="n">
        <v>46117</v>
      </c>
      <c r="C95" s="114" t="inlineStr">
        <is>
          <t>รายจ่าย</t>
        </is>
      </c>
      <c r="D95" s="115" t="inlineStr">
        <is>
          <t>ค่าน้ำ-ค่าไฟ</t>
        </is>
      </c>
      <c r="E95" s="116" t="n">
        <v>1420</v>
      </c>
      <c r="F95" s="115" t="inlineStr">
        <is>
          <t>ค่าไฟ + ค่าน้ำ</t>
        </is>
      </c>
      <c r="G95" s="117">
        <f>IF(COUNTA(B95:E95)=0,"",IF(COUNTA(B95:E95)&lt;4,"⚠ กรอกไม่ครบ",IF(NOT(ISNUMBER(B95)),"⚠ วันที่ไม่ถูกต้อง",IF(COUNTIFS(Setup!$L$6:$L$60,D95,Setup!$M$6:$M$60,C95)=0,"⚠ หมวดไม่ตรงประเภท","✓"))))</f>
        <v/>
      </c>
    </row>
    <row r="96">
      <c r="B96" s="113" t="n">
        <v>46120</v>
      </c>
      <c r="C96" s="114" t="inlineStr">
        <is>
          <t>รายจ่าย</t>
        </is>
      </c>
      <c r="D96" s="115" t="inlineStr">
        <is>
          <t>Subscription</t>
        </is>
      </c>
      <c r="E96" s="116" t="n">
        <v>419</v>
      </c>
      <c r="F96" s="115" t="inlineStr">
        <is>
          <t>Netflix</t>
        </is>
      </c>
      <c r="G96" s="117">
        <f>IF(COUNTA(B96:E96)=0,"",IF(COUNTA(B96:E96)&lt;4,"⚠ กรอกไม่ครบ",IF(NOT(ISNUMBER(B96)),"⚠ วันที่ไม่ถูกต้อง",IF(COUNTIFS(Setup!$L$6:$L$60,D96,Setup!$M$6:$M$60,C96)=0,"⚠ หมวดไม่ตรงประเภท","✓"))))</f>
        <v/>
      </c>
    </row>
    <row r="97">
      <c r="B97" s="113" t="n">
        <v>46121</v>
      </c>
      <c r="C97" s="114" t="inlineStr">
        <is>
          <t>รายจ่าย</t>
        </is>
      </c>
      <c r="D97" s="115" t="inlineStr">
        <is>
          <t>ทำบุญ/บริจาค</t>
        </is>
      </c>
      <c r="E97" s="116" t="n">
        <v>800</v>
      </c>
      <c r="F97" s="115" t="inlineStr">
        <is>
          <t>ทำบุญ/บริจาค</t>
        </is>
      </c>
      <c r="G97" s="117">
        <f>IF(COUNTA(B97:E97)=0,"",IF(COUNTA(B97:E97)&lt;4,"⚠ กรอกไม่ครบ",IF(NOT(ISNUMBER(B97)),"⚠ วันที่ไม่ถูกต้อง",IF(COUNTIFS(Setup!$L$6:$L$60,D97,Setup!$M$6:$M$60,C97)=0,"⚠ หมวดไม่ตรงประเภท","✓"))))</f>
        <v/>
      </c>
    </row>
    <row r="98">
      <c r="B98" s="113" t="n">
        <v>46122</v>
      </c>
      <c r="C98" s="114" t="inlineStr">
        <is>
          <t>รายจ่าย</t>
        </is>
      </c>
      <c r="D98" s="115" t="inlineStr">
        <is>
          <t>ค่าโทรศัพท์/เน็ต</t>
        </is>
      </c>
      <c r="E98" s="116" t="n">
        <v>599</v>
      </c>
      <c r="F98" s="115" t="inlineStr">
        <is>
          <t>ค่าโทรศัพท์รายเดือน</t>
        </is>
      </c>
      <c r="G98" s="117">
        <f>IF(COUNTA(B98:E98)=0,"",IF(COUNTA(B98:E98)&lt;4,"⚠ กรอกไม่ครบ",IF(NOT(ISNUMBER(B98)),"⚠ วันที่ไม่ถูกต้อง",IF(COUNTIFS(Setup!$L$6:$L$60,D98,Setup!$M$6:$M$60,C98)=0,"⚠ หมวดไม่ตรงประเภท","✓"))))</f>
        <v/>
      </c>
    </row>
    <row r="99">
      <c r="B99" s="113" t="n">
        <v>46122</v>
      </c>
      <c r="C99" s="114" t="inlineStr">
        <is>
          <t>รายจ่าย</t>
        </is>
      </c>
      <c r="D99" s="115" t="inlineStr">
        <is>
          <t>ค่าอาหาร</t>
        </is>
      </c>
      <c r="E99" s="116" t="n">
        <v>1780</v>
      </c>
      <c r="F99" s="115" t="inlineStr">
        <is>
          <t>ค่าอาหาร-กาแฟ สัปดาห์ที่ 2</t>
        </is>
      </c>
      <c r="G99" s="117">
        <f>IF(COUNTA(B99:E99)=0,"",IF(COUNTA(B99:E99)&lt;4,"⚠ กรอกไม่ครบ",IF(NOT(ISNUMBER(B99)),"⚠ วันที่ไม่ถูกต้อง",IF(COUNTIFS(Setup!$L$6:$L$60,D99,Setup!$M$6:$M$60,C99)=0,"⚠ หมวดไม่ตรงประเภท","✓"))))</f>
        <v/>
      </c>
    </row>
    <row r="100">
      <c r="B100" s="113" t="n">
        <v>46123</v>
      </c>
      <c r="C100" s="114" t="inlineStr">
        <is>
          <t>รายจ่าย</t>
        </is>
      </c>
      <c r="D100" s="115" t="inlineStr">
        <is>
          <t>ของใช้ในบ้าน</t>
        </is>
      </c>
      <c r="E100" s="116" t="n">
        <v>810</v>
      </c>
      <c r="F100" s="115" t="inlineStr">
        <is>
          <t>ของใช้ในบ้าน/ห้องน้ำ</t>
        </is>
      </c>
      <c r="G100" s="117">
        <f>IF(COUNTA(B100:E100)=0,"",IF(COUNTA(B100:E100)&lt;4,"⚠ กรอกไม่ครบ",IF(NOT(ISNUMBER(B100)),"⚠ วันที่ไม่ถูกต้อง",IF(COUNTIFS(Setup!$L$6:$L$60,D100,Setup!$M$6:$M$60,C100)=0,"⚠ หมวดไม่ตรงประเภท","✓"))))</f>
        <v/>
      </c>
    </row>
    <row r="101">
      <c r="B101" s="113" t="n">
        <v>46124</v>
      </c>
      <c r="C101" s="114" t="inlineStr">
        <is>
          <t>รายจ่าย</t>
        </is>
      </c>
      <c r="D101" s="115" t="inlineStr">
        <is>
          <t>ค่าโทรศัพท์/เน็ต</t>
        </is>
      </c>
      <c r="E101" s="116" t="n">
        <v>590</v>
      </c>
      <c r="F101" s="115" t="inlineStr">
        <is>
          <t>อินเทอร์เน็ตบ้าน</t>
        </is>
      </c>
      <c r="G101" s="117">
        <f>IF(COUNTA(B101:E101)=0,"",IF(COUNTA(B101:E101)&lt;4,"⚠ กรอกไม่ครบ",IF(NOT(ISNUMBER(B101)),"⚠ วันที่ไม่ถูกต้อง",IF(COUNTIFS(Setup!$L$6:$L$60,D101,Setup!$M$6:$M$60,C101)=0,"⚠ หมวดไม่ตรงประเภท","✓"))))</f>
        <v/>
      </c>
    </row>
    <row r="102">
      <c r="B102" s="113" t="n">
        <v>46124</v>
      </c>
      <c r="C102" s="114" t="inlineStr">
        <is>
          <t>รายจ่าย</t>
        </is>
      </c>
      <c r="D102" s="115" t="inlineStr">
        <is>
          <t>ท่องเที่ยว</t>
        </is>
      </c>
      <c r="E102" s="116" t="n">
        <v>12800</v>
      </c>
      <c r="F102" s="115" t="inlineStr">
        <is>
          <t>เที่ยวสงกรานต์ เชียงใหม่</t>
        </is>
      </c>
      <c r="G102" s="117">
        <f>IF(COUNTA(B102:E102)=0,"",IF(COUNTA(B102:E102)&lt;4,"⚠ กรอกไม่ครบ",IF(NOT(ISNUMBER(B102)),"⚠ วันที่ไม่ถูกต้อง",IF(COUNTIFS(Setup!$L$6:$L$60,D102,Setup!$M$6:$M$60,C102)=0,"⚠ หมวดไม่ตรงประเภท","✓"))))</f>
        <v/>
      </c>
    </row>
    <row r="103">
      <c r="B103" s="113" t="n">
        <v>46125</v>
      </c>
      <c r="C103" s="114" t="inlineStr">
        <is>
          <t>รายจ่าย</t>
        </is>
      </c>
      <c r="D103" s="115" t="inlineStr">
        <is>
          <t>ค่าเดินทาง</t>
        </is>
      </c>
      <c r="E103" s="116" t="n">
        <v>320</v>
      </c>
      <c r="F103" s="115" t="inlineStr">
        <is>
          <t>Grab / วินมอเตอร์ไซค์</t>
        </is>
      </c>
      <c r="G103" s="117">
        <f>IF(COUNTA(B103:E103)=0,"",IF(COUNTA(B103:E103)&lt;4,"⚠ กรอกไม่ครบ",IF(NOT(ISNUMBER(B103)),"⚠ วันที่ไม่ถูกต้อง",IF(COUNTIFS(Setup!$L$6:$L$60,D103,Setup!$M$6:$M$60,C103)=0,"⚠ หมวดไม่ตรงประเภท","✓"))))</f>
        <v/>
      </c>
    </row>
    <row r="104">
      <c r="B104" s="113" t="n">
        <v>46126</v>
      </c>
      <c r="C104" s="114" t="inlineStr">
        <is>
          <t>รายจ่าย</t>
        </is>
      </c>
      <c r="D104" s="115" t="inlineStr">
        <is>
          <t>ค่าอาหาร</t>
        </is>
      </c>
      <c r="E104" s="116" t="n">
        <v>1310</v>
      </c>
      <c r="F104" s="115" t="inlineStr">
        <is>
          <t>ปิ้งย่างกับเพื่อน</t>
        </is>
      </c>
      <c r="G104" s="117">
        <f>IF(COUNTA(B104:E104)=0,"",IF(COUNTA(B104:E104)&lt;4,"⚠ กรอกไม่ครบ",IF(NOT(ISNUMBER(B104)),"⚠ วันที่ไม่ถูกต้อง",IF(COUNTIFS(Setup!$L$6:$L$60,D104,Setup!$M$6:$M$60,C104)=0,"⚠ หมวดไม่ตรงประเภท","✓"))))</f>
        <v/>
      </c>
    </row>
    <row r="105">
      <c r="B105" s="113" t="n">
        <v>46127</v>
      </c>
      <c r="C105" s="114" t="inlineStr">
        <is>
          <t>รายจ่าย</t>
        </is>
      </c>
      <c r="D105" s="115" t="inlineStr">
        <is>
          <t>ผ่อนชำระ/หนี้</t>
        </is>
      </c>
      <c r="E105" s="116" t="n">
        <v>4200</v>
      </c>
      <c r="F105" s="115" t="inlineStr">
        <is>
          <t>ผ่อนโน้ตบุ๊ก 0% (10 งวด)</t>
        </is>
      </c>
      <c r="G105" s="117">
        <f>IF(COUNTA(B105:E105)=0,"",IF(COUNTA(B105:E105)&lt;4,"⚠ กรอกไม่ครบ",IF(NOT(ISNUMBER(B105)),"⚠ วันที่ไม่ถูกต้อง",IF(COUNTIFS(Setup!$L$6:$L$60,D105,Setup!$M$6:$M$60,C105)=0,"⚠ หมวดไม่ตรงประเภท","✓"))))</f>
        <v/>
      </c>
    </row>
    <row r="106">
      <c r="B106" s="113" t="n">
        <v>46129</v>
      </c>
      <c r="C106" s="114" t="inlineStr">
        <is>
          <t>รายจ่าย</t>
        </is>
      </c>
      <c r="D106" s="115" t="inlineStr">
        <is>
          <t>ค่าอาหาร</t>
        </is>
      </c>
      <c r="E106" s="116" t="n">
        <v>1800</v>
      </c>
      <c r="F106" s="115" t="inlineStr">
        <is>
          <t>ค่าอาหาร-กาแฟ สัปดาห์ที่ 3</t>
        </is>
      </c>
      <c r="G106" s="117">
        <f>IF(COUNTA(B106:E106)=0,"",IF(COUNTA(B106:E106)&lt;4,"⚠ กรอกไม่ครบ",IF(NOT(ISNUMBER(B106)),"⚠ วันที่ไม่ถูกต้อง",IF(COUNTIFS(Setup!$L$6:$L$60,D106,Setup!$M$6:$M$60,C106)=0,"⚠ หมวดไม่ตรงประเภท","✓"))))</f>
        <v/>
      </c>
    </row>
    <row r="107">
      <c r="B107" s="113" t="n">
        <v>46130</v>
      </c>
      <c r="C107" s="114" t="inlineStr">
        <is>
          <t>รายจ่าย</t>
        </is>
      </c>
      <c r="D107" s="115" t="inlineStr">
        <is>
          <t>ช้อปปิ้ง</t>
        </is>
      </c>
      <c r="E107" s="116" t="n">
        <v>960</v>
      </c>
      <c r="F107" s="115" t="inlineStr">
        <is>
          <t>ของแต่งห้อง</t>
        </is>
      </c>
      <c r="G107" s="117">
        <f>IF(COUNTA(B107:E107)=0,"",IF(COUNTA(B107:E107)&lt;4,"⚠ กรอกไม่ครบ",IF(NOT(ISNUMBER(B107)),"⚠ วันที่ไม่ถูกต้อง",IF(COUNTIFS(Setup!$L$6:$L$60,D107,Setup!$M$6:$M$60,C107)=0,"⚠ หมวดไม่ตรงประเภท","✓"))))</f>
        <v/>
      </c>
    </row>
    <row r="108">
      <c r="B108" s="113" t="n">
        <v>46130</v>
      </c>
      <c r="C108" s="114" t="inlineStr">
        <is>
          <t>รายจ่าย</t>
        </is>
      </c>
      <c r="D108" s="115" t="inlineStr">
        <is>
          <t>สังสรรค์/บันเทิง</t>
        </is>
      </c>
      <c r="E108" s="116" t="n">
        <v>420</v>
      </c>
      <c r="F108" s="115" t="inlineStr">
        <is>
          <t>ดูหนัง</t>
        </is>
      </c>
      <c r="G108" s="117">
        <f>IF(COUNTA(B108:E108)=0,"",IF(COUNTA(B108:E108)&lt;4,"⚠ กรอกไม่ครบ",IF(NOT(ISNUMBER(B108)),"⚠ วันที่ไม่ถูกต้อง",IF(COUNTIFS(Setup!$L$6:$L$60,D108,Setup!$M$6:$M$60,C108)=0,"⚠ หมวดไม่ตรงประเภท","✓"))))</f>
        <v/>
      </c>
    </row>
    <row r="109">
      <c r="B109" s="113" t="n">
        <v>46132</v>
      </c>
      <c r="C109" s="114" t="inlineStr">
        <is>
          <t>รายจ่าย</t>
        </is>
      </c>
      <c r="D109" s="115" t="inlineStr">
        <is>
          <t>Subscription</t>
        </is>
      </c>
      <c r="E109" s="116" t="n">
        <v>149</v>
      </c>
      <c r="F109" s="115" t="inlineStr">
        <is>
          <t>Spotify</t>
        </is>
      </c>
      <c r="G109" s="117">
        <f>IF(COUNTA(B109:E109)=0,"",IF(COUNTA(B109:E109)&lt;4,"⚠ กรอกไม่ครบ",IF(NOT(ISNUMBER(B109)),"⚠ วันที่ไม่ถูกต้อง",IF(COUNTIFS(Setup!$L$6:$L$60,D109,Setup!$M$6:$M$60,C109)=0,"⚠ หมวดไม่ตรงประเภท","✓"))))</f>
        <v/>
      </c>
    </row>
    <row r="110">
      <c r="B110" s="113" t="n">
        <v>46136</v>
      </c>
      <c r="C110" s="114" t="inlineStr">
        <is>
          <t>รายจ่าย</t>
        </is>
      </c>
      <c r="D110" s="115" t="inlineStr">
        <is>
          <t>ค่าอาหาร</t>
        </is>
      </c>
      <c r="E110" s="116" t="n">
        <v>1890</v>
      </c>
      <c r="F110" s="115" t="inlineStr">
        <is>
          <t>ค่าอาหาร-กาแฟ สัปดาห์ที่ 4</t>
        </is>
      </c>
      <c r="G110" s="117">
        <f>IF(COUNTA(B110:E110)=0,"",IF(COUNTA(B110:E110)&lt;4,"⚠ กรอกไม่ครบ",IF(NOT(ISNUMBER(B110)),"⚠ วันที่ไม่ถูกต้อง",IF(COUNTIFS(Setup!$L$6:$L$60,D110,Setup!$M$6:$M$60,C110)=0,"⚠ หมวดไม่ตรงประเภท","✓"))))</f>
        <v/>
      </c>
    </row>
    <row r="111">
      <c r="B111" s="113" t="n">
        <v>46137</v>
      </c>
      <c r="C111" s="114" t="inlineStr">
        <is>
          <t>รายรับ</t>
        </is>
      </c>
      <c r="D111" s="115" t="inlineStr">
        <is>
          <t>เงินเดือน</t>
        </is>
      </c>
      <c r="E111" s="116" t="n">
        <v>42000</v>
      </c>
      <c r="F111" s="115" t="inlineStr">
        <is>
          <t>เงินเดือนประจำเดือน</t>
        </is>
      </c>
      <c r="G111" s="117">
        <f>IF(COUNTA(B111:E111)=0,"",IF(COUNTA(B111:E111)&lt;4,"⚠ กรอกไม่ครบ",IF(NOT(ISNUMBER(B111)),"⚠ วันที่ไม่ถูกต้อง",IF(COUNTIFS(Setup!$L$6:$L$60,D111,Setup!$M$6:$M$60,C111)=0,"⚠ หมวดไม่ตรงประเภท","✓"))))</f>
        <v/>
      </c>
    </row>
    <row r="112">
      <c r="B112" s="113" t="n">
        <v>46137</v>
      </c>
      <c r="C112" s="114" t="inlineStr">
        <is>
          <t>รายรับ</t>
        </is>
      </c>
      <c r="D112" s="115" t="inlineStr">
        <is>
          <t>ค่าล่วงเวลา (OT)</t>
        </is>
      </c>
      <c r="E112" s="116" t="n">
        <v>2900</v>
      </c>
      <c r="F112" s="115" t="inlineStr">
        <is>
          <t>ค่า OT ทำงานวันหยุด</t>
        </is>
      </c>
      <c r="G112" s="117">
        <f>IF(COUNTA(B112:E112)=0,"",IF(COUNTA(B112:E112)&lt;4,"⚠ กรอกไม่ครบ",IF(NOT(ISNUMBER(B112)),"⚠ วันที่ไม่ถูกต้อง",IF(COUNTIFS(Setup!$L$6:$L$60,D112,Setup!$M$6:$M$60,C112)=0,"⚠ หมวดไม่ตรงประเภท","✓"))))</f>
        <v/>
      </c>
    </row>
    <row r="113">
      <c r="B113" s="113" t="n">
        <v>46138</v>
      </c>
      <c r="C113" s="114" t="inlineStr">
        <is>
          <t>รายจ่าย</t>
        </is>
      </c>
      <c r="D113" s="115" t="inlineStr">
        <is>
          <t>ให้ครอบครัว</t>
        </is>
      </c>
      <c r="E113" s="116" t="n">
        <v>5000</v>
      </c>
      <c r="F113" s="115" t="inlineStr">
        <is>
          <t>ส่งเงินให้พ่อแม่</t>
        </is>
      </c>
      <c r="G113" s="117">
        <f>IF(COUNTA(B113:E113)=0,"",IF(COUNTA(B113:E113)&lt;4,"⚠ กรอกไม่ครบ",IF(NOT(ISNUMBER(B113)),"⚠ วันที่ไม่ถูกต้อง",IF(COUNTIFS(Setup!$L$6:$L$60,D113,Setup!$M$6:$M$60,C113)=0,"⚠ หมวดไม่ตรงประเภท","✓"))))</f>
        <v/>
      </c>
    </row>
    <row r="114">
      <c r="B114" s="113" t="n">
        <v>46138</v>
      </c>
      <c r="C114" s="114" t="inlineStr">
        <is>
          <t>เงินออม</t>
        </is>
      </c>
      <c r="D114" s="115" t="inlineStr">
        <is>
          <t>เงินฝากออมทรัพย์</t>
        </is>
      </c>
      <c r="E114" s="116" t="n">
        <v>3000</v>
      </c>
      <c r="F114" s="115" t="inlineStr">
        <is>
          <t>ฝากออมประจำเดือน</t>
        </is>
      </c>
      <c r="G114" s="117">
        <f>IF(COUNTA(B114:E114)=0,"",IF(COUNTA(B114:E114)&lt;4,"⚠ กรอกไม่ครบ",IF(NOT(ISNUMBER(B114)),"⚠ วันที่ไม่ถูกต้อง",IF(COUNTIFS(Setup!$L$6:$L$60,D114,Setup!$M$6:$M$60,C114)=0,"⚠ หมวดไม่ตรงประเภท","✓"))))</f>
        <v/>
      </c>
    </row>
    <row r="115">
      <c r="B115" s="113" t="n">
        <v>46138</v>
      </c>
      <c r="C115" s="114" t="inlineStr">
        <is>
          <t>เงินออม</t>
        </is>
      </c>
      <c r="D115" s="115" t="inlineStr">
        <is>
          <t>เงินสำรองฉุกเฉิน</t>
        </is>
      </c>
      <c r="E115" s="116" t="n">
        <v>2000</v>
      </c>
      <c r="F115" s="115" t="inlineStr">
        <is>
          <t>เติมเงินสำรองฉุกเฉิน</t>
        </is>
      </c>
      <c r="G115" s="117">
        <f>IF(COUNTA(B115:E115)=0,"",IF(COUNTA(B115:E115)&lt;4,"⚠ กรอกไม่ครบ",IF(NOT(ISNUMBER(B115)),"⚠ วันที่ไม่ถูกต้อง",IF(COUNTIFS(Setup!$L$6:$L$60,D115,Setup!$M$6:$M$60,C115)=0,"⚠ หมวดไม่ตรงประเภท","✓"))))</f>
        <v/>
      </c>
    </row>
    <row r="116">
      <c r="B116" s="113" t="n">
        <v>46139</v>
      </c>
      <c r="C116" s="114" t="inlineStr">
        <is>
          <t>รายจ่าย</t>
        </is>
      </c>
      <c r="D116" s="115" t="inlineStr">
        <is>
          <t>ค่าเดินทาง</t>
        </is>
      </c>
      <c r="E116" s="116" t="n">
        <v>1040</v>
      </c>
      <c r="F116" s="115" t="inlineStr">
        <is>
          <t>เติมน้ำมัน</t>
        </is>
      </c>
      <c r="G116" s="117">
        <f>IF(COUNTA(B116:E116)=0,"",IF(COUNTA(B116:E116)&lt;4,"⚠ กรอกไม่ครบ",IF(NOT(ISNUMBER(B116)),"⚠ วันที่ไม่ถูกต้อง",IF(COUNTIFS(Setup!$L$6:$L$60,D116,Setup!$M$6:$M$60,C116)=0,"⚠ หมวดไม่ตรงประเภท","✓"))))</f>
        <v/>
      </c>
    </row>
    <row r="117">
      <c r="B117" s="113" t="n">
        <v>46139</v>
      </c>
      <c r="C117" s="114" t="inlineStr">
        <is>
          <t>เงินออม</t>
        </is>
      </c>
      <c r="D117" s="115" t="inlineStr">
        <is>
          <t>กองทุน SSF/RMF</t>
        </is>
      </c>
      <c r="E117" s="116" t="n">
        <v>2500</v>
      </c>
      <c r="F117" s="115" t="inlineStr">
        <is>
          <t>DCA กองทุนลดหย่อนภาษี</t>
        </is>
      </c>
      <c r="G117" s="117">
        <f>IF(COUNTA(B117:E117)=0,"",IF(COUNTA(B117:E117)&lt;4,"⚠ กรอกไม่ครบ",IF(NOT(ISNUMBER(B117)),"⚠ วันที่ไม่ถูกต้อง",IF(COUNTIFS(Setup!$L$6:$L$60,D117,Setup!$M$6:$M$60,C117)=0,"⚠ หมวดไม่ตรงประเภท","✓"))))</f>
        <v/>
      </c>
    </row>
    <row r="118">
      <c r="B118" s="113" t="n">
        <v>46140</v>
      </c>
      <c r="C118" s="114" t="inlineStr">
        <is>
          <t>เงินออม</t>
        </is>
      </c>
      <c r="D118" s="115" t="inlineStr">
        <is>
          <t>ออมทอง</t>
        </is>
      </c>
      <c r="E118" s="116" t="n">
        <v>2000</v>
      </c>
      <c r="F118" s="115" t="inlineStr">
        <is>
          <t>ออมทองรายเดือน</t>
        </is>
      </c>
      <c r="G118" s="117">
        <f>IF(COUNTA(B118:E118)=0,"",IF(COUNTA(B118:E118)&lt;4,"⚠ กรอกไม่ครบ",IF(NOT(ISNUMBER(B118)),"⚠ วันที่ไม่ถูกต้อง",IF(COUNTIFS(Setup!$L$6:$L$60,D118,Setup!$M$6:$M$60,C118)=0,"⚠ หมวดไม่ตรงประเภท","✓"))))</f>
        <v/>
      </c>
    </row>
    <row r="119">
      <c r="B119" s="113" t="n">
        <v>46143</v>
      </c>
      <c r="C119" s="114" t="inlineStr">
        <is>
          <t>รายจ่าย</t>
        </is>
      </c>
      <c r="D119" s="115" t="inlineStr">
        <is>
          <t>ค่าที่พัก/ค่าเช่า</t>
        </is>
      </c>
      <c r="E119" s="116" t="n">
        <v>8500</v>
      </c>
      <c r="F119" s="115" t="inlineStr">
        <is>
          <t>ค่าเช่าคอนโด</t>
        </is>
      </c>
      <c r="G119" s="117">
        <f>IF(COUNTA(B119:E119)=0,"",IF(COUNTA(B119:E119)&lt;4,"⚠ กรอกไม่ครบ",IF(NOT(ISNUMBER(B119)),"⚠ วันที่ไม่ถูกต้อง",IF(COUNTIFS(Setup!$L$6:$L$60,D119,Setup!$M$6:$M$60,C119)=0,"⚠ หมวดไม่ตรงประเภท","✓"))))</f>
        <v/>
      </c>
    </row>
    <row r="120">
      <c r="B120" s="113" t="n">
        <v>46144</v>
      </c>
      <c r="C120" s="114" t="inlineStr">
        <is>
          <t>รายจ่าย</t>
        </is>
      </c>
      <c r="D120" s="115" t="inlineStr">
        <is>
          <t>ค่าเดินทาง</t>
        </is>
      </c>
      <c r="E120" s="116" t="n">
        <v>500</v>
      </c>
      <c r="F120" s="115" t="inlineStr">
        <is>
          <t>เติมเงินบัตร BTS/MRT</t>
        </is>
      </c>
      <c r="G120" s="117">
        <f>IF(COUNTA(B120:E120)=0,"",IF(COUNTA(B120:E120)&lt;4,"⚠ กรอกไม่ครบ",IF(NOT(ISNUMBER(B120)),"⚠ วันที่ไม่ถูกต้อง",IF(COUNTIFS(Setup!$L$6:$L$60,D120,Setup!$M$6:$M$60,C120)=0,"⚠ หมวดไม่ตรงประเภท","✓"))))</f>
        <v/>
      </c>
    </row>
    <row r="121">
      <c r="B121" s="113" t="n">
        <v>46145</v>
      </c>
      <c r="C121" s="114" t="inlineStr">
        <is>
          <t>รายจ่าย</t>
        </is>
      </c>
      <c r="D121" s="115" t="inlineStr">
        <is>
          <t>ค่าอาหาร</t>
        </is>
      </c>
      <c r="E121" s="116" t="n">
        <v>1820</v>
      </c>
      <c r="F121" s="115" t="inlineStr">
        <is>
          <t>ค่าอาหาร-กาแฟ สัปดาห์ที่ 1</t>
        </is>
      </c>
      <c r="G121" s="117">
        <f>IF(COUNTA(B121:E121)=0,"",IF(COUNTA(B121:E121)&lt;4,"⚠ กรอกไม่ครบ",IF(NOT(ISNUMBER(B121)),"⚠ วันที่ไม่ถูกต้อง",IF(COUNTIFS(Setup!$L$6:$L$60,D121,Setup!$M$6:$M$60,C121)=0,"⚠ หมวดไม่ตรงประเภท","✓"))))</f>
        <v/>
      </c>
    </row>
    <row r="122">
      <c r="B122" s="113" t="n">
        <v>46147</v>
      </c>
      <c r="C122" s="114" t="inlineStr">
        <is>
          <t>รายจ่าย</t>
        </is>
      </c>
      <c r="D122" s="115" t="inlineStr">
        <is>
          <t>ค่าน้ำ-ค่าไฟ</t>
        </is>
      </c>
      <c r="E122" s="116" t="n">
        <v>1510</v>
      </c>
      <c r="F122" s="115" t="inlineStr">
        <is>
          <t>ค่าไฟ + ค่าน้ำ</t>
        </is>
      </c>
      <c r="G122" s="117">
        <f>IF(COUNTA(B122:E122)=0,"",IF(COUNTA(B122:E122)&lt;4,"⚠ กรอกไม่ครบ",IF(NOT(ISNUMBER(B122)),"⚠ วันที่ไม่ถูกต้อง",IF(COUNTIFS(Setup!$L$6:$L$60,D122,Setup!$M$6:$M$60,C122)=0,"⚠ หมวดไม่ตรงประเภท","✓"))))</f>
        <v/>
      </c>
    </row>
    <row r="123">
      <c r="B123" s="113" t="n">
        <v>46147</v>
      </c>
      <c r="C123" s="114" t="inlineStr">
        <is>
          <t>รายจ่าย</t>
        </is>
      </c>
      <c r="D123" s="115" t="inlineStr">
        <is>
          <t>ของใช้ในบ้าน</t>
        </is>
      </c>
      <c r="E123" s="116" t="n">
        <v>860</v>
      </c>
      <c r="F123" s="115" t="inlineStr">
        <is>
          <t>ของใช้ในบ้าน/ห้องน้ำ</t>
        </is>
      </c>
      <c r="G123" s="117">
        <f>IF(COUNTA(B123:E123)=0,"",IF(COUNTA(B123:E123)&lt;4,"⚠ กรอกไม่ครบ",IF(NOT(ISNUMBER(B123)),"⚠ วันที่ไม่ถูกต้อง",IF(COUNTIFS(Setup!$L$6:$L$60,D123,Setup!$M$6:$M$60,C123)=0,"⚠ หมวดไม่ตรงประเภท","✓"))))</f>
        <v/>
      </c>
    </row>
    <row r="124">
      <c r="B124" s="113" t="n">
        <v>46150</v>
      </c>
      <c r="C124" s="114" t="inlineStr">
        <is>
          <t>รายจ่าย</t>
        </is>
      </c>
      <c r="D124" s="115" t="inlineStr">
        <is>
          <t>Subscription</t>
        </is>
      </c>
      <c r="E124" s="116" t="n">
        <v>419</v>
      </c>
      <c r="F124" s="115" t="inlineStr">
        <is>
          <t>Netflix</t>
        </is>
      </c>
      <c r="G124" s="117">
        <f>IF(COUNTA(B124:E124)=0,"",IF(COUNTA(B124:E124)&lt;4,"⚠ กรอกไม่ครบ",IF(NOT(ISNUMBER(B124)),"⚠ วันที่ไม่ถูกต้อง",IF(COUNTIFS(Setup!$L$6:$L$60,D124,Setup!$M$6:$M$60,C124)=0,"⚠ หมวดไม่ตรงประเภท","✓"))))</f>
        <v/>
      </c>
    </row>
    <row r="125">
      <c r="B125" s="113" t="n">
        <v>46152</v>
      </c>
      <c r="C125" s="114" t="inlineStr">
        <is>
          <t>รายจ่าย</t>
        </is>
      </c>
      <c r="D125" s="115" t="inlineStr">
        <is>
          <t>ค่าโทรศัพท์/เน็ต</t>
        </is>
      </c>
      <c r="E125" s="116" t="n">
        <v>599</v>
      </c>
      <c r="F125" s="115" t="inlineStr">
        <is>
          <t>ค่าโทรศัพท์รายเดือน</t>
        </is>
      </c>
      <c r="G125" s="117">
        <f>IF(COUNTA(B125:E125)=0,"",IF(COUNTA(B125:E125)&lt;4,"⚠ กรอกไม่ครบ",IF(NOT(ISNUMBER(B125)),"⚠ วันที่ไม่ถูกต้อง",IF(COUNTIFS(Setup!$L$6:$L$60,D125,Setup!$M$6:$M$60,C125)=0,"⚠ หมวดไม่ตรงประเภท","✓"))))</f>
        <v/>
      </c>
    </row>
    <row r="126">
      <c r="B126" s="113" t="n">
        <v>46152</v>
      </c>
      <c r="C126" s="114" t="inlineStr">
        <is>
          <t>รายจ่าย</t>
        </is>
      </c>
      <c r="D126" s="115" t="inlineStr">
        <is>
          <t>ค่าอาหาร</t>
        </is>
      </c>
      <c r="E126" s="116" t="n">
        <v>1790</v>
      </c>
      <c r="F126" s="115" t="inlineStr">
        <is>
          <t>ค่าอาหาร-กาแฟ สัปดาห์ที่ 2</t>
        </is>
      </c>
      <c r="G126" s="117">
        <f>IF(COUNTA(B126:E126)=0,"",IF(COUNTA(B126:E126)&lt;4,"⚠ กรอกไม่ครบ",IF(NOT(ISNUMBER(B126)),"⚠ วันที่ไม่ถูกต้อง",IF(COUNTIFS(Setup!$L$6:$L$60,D126,Setup!$M$6:$M$60,C126)=0,"⚠ หมวดไม่ตรงประเภท","✓"))))</f>
        <v/>
      </c>
    </row>
    <row r="127">
      <c r="B127" s="113" t="n">
        <v>46154</v>
      </c>
      <c r="C127" s="114" t="inlineStr">
        <is>
          <t>รายรับ</t>
        </is>
      </c>
      <c r="D127" s="115" t="inlineStr">
        <is>
          <t>เงินคืนภาษี</t>
        </is>
      </c>
      <c r="E127" s="116" t="n">
        <v>4860</v>
      </c>
      <c r="F127" s="115" t="inlineStr">
        <is>
          <t>ภาษีคืนจากสรรพากร</t>
        </is>
      </c>
      <c r="G127" s="117">
        <f>IF(COUNTA(B127:E127)=0,"",IF(COUNTA(B127:E127)&lt;4,"⚠ กรอกไม่ครบ",IF(NOT(ISNUMBER(B127)),"⚠ วันที่ไม่ถูกต้อง",IF(COUNTIFS(Setup!$L$6:$L$60,D127,Setup!$M$6:$M$60,C127)=0,"⚠ หมวดไม่ตรงประเภท","✓"))))</f>
        <v/>
      </c>
    </row>
    <row r="128">
      <c r="B128" s="113" t="n">
        <v>46154</v>
      </c>
      <c r="C128" s="114" t="inlineStr">
        <is>
          <t>รายจ่าย</t>
        </is>
      </c>
      <c r="D128" s="115" t="inlineStr">
        <is>
          <t>ค่าโทรศัพท์/เน็ต</t>
        </is>
      </c>
      <c r="E128" s="116" t="n">
        <v>590</v>
      </c>
      <c r="F128" s="115" t="inlineStr">
        <is>
          <t>อินเทอร์เน็ตบ้าน</t>
        </is>
      </c>
      <c r="G128" s="117">
        <f>IF(COUNTA(B128:E128)=0,"",IF(COUNTA(B128:E128)&lt;4,"⚠ กรอกไม่ครบ",IF(NOT(ISNUMBER(B128)),"⚠ วันที่ไม่ถูกต้อง",IF(COUNTIFS(Setup!$L$6:$L$60,D128,Setup!$M$6:$M$60,C128)=0,"⚠ หมวดไม่ตรงประเภท","✓"))))</f>
        <v/>
      </c>
    </row>
    <row r="129">
      <c r="B129" s="113" t="n">
        <v>46155</v>
      </c>
      <c r="C129" s="114" t="inlineStr">
        <is>
          <t>รายจ่าย</t>
        </is>
      </c>
      <c r="D129" s="115" t="inlineStr">
        <is>
          <t>ค่าเดินทาง</t>
        </is>
      </c>
      <c r="E129" s="116" t="n">
        <v>250</v>
      </c>
      <c r="F129" s="115" t="inlineStr">
        <is>
          <t>Grab / วินมอเตอร์ไซค์</t>
        </is>
      </c>
      <c r="G129" s="117">
        <f>IF(COUNTA(B129:E129)=0,"",IF(COUNTA(B129:E129)&lt;4,"⚠ กรอกไม่ครบ",IF(NOT(ISNUMBER(B129)),"⚠ วันที่ไม่ถูกต้อง",IF(COUNTIFS(Setup!$L$6:$L$60,D129,Setup!$M$6:$M$60,C129)=0,"⚠ หมวดไม่ตรงประเภท","✓"))))</f>
        <v/>
      </c>
    </row>
    <row r="130">
      <c r="B130" s="113" t="n">
        <v>46157</v>
      </c>
      <c r="C130" s="114" t="inlineStr">
        <is>
          <t>รายรับ</t>
        </is>
      </c>
      <c r="D130" s="115" t="inlineStr">
        <is>
          <t>ฟรีแลนซ์/งานเสริม</t>
        </is>
      </c>
      <c r="E130" s="116" t="n">
        <v>8500</v>
      </c>
      <c r="F130" s="115" t="inlineStr">
        <is>
          <t>รับเขียนคอนเทนต์</t>
        </is>
      </c>
      <c r="G130" s="117">
        <f>IF(COUNTA(B130:E130)=0,"",IF(COUNTA(B130:E130)&lt;4,"⚠ กรอกไม่ครบ",IF(NOT(ISNUMBER(B130)),"⚠ วันที่ไม่ถูกต้อง",IF(COUNTIFS(Setup!$L$6:$L$60,D130,Setup!$M$6:$M$60,C130)=0,"⚠ หมวดไม่ตรงประเภท","✓"))))</f>
        <v/>
      </c>
    </row>
    <row r="131">
      <c r="B131" s="113" t="n">
        <v>46157</v>
      </c>
      <c r="C131" s="114" t="inlineStr">
        <is>
          <t>รายจ่าย</t>
        </is>
      </c>
      <c r="D131" s="115" t="inlineStr">
        <is>
          <t>ผ่อนชำระ/หนี้</t>
        </is>
      </c>
      <c r="E131" s="116" t="n">
        <v>4200</v>
      </c>
      <c r="F131" s="115" t="inlineStr">
        <is>
          <t>ผ่อนโน้ตบุ๊ก 0% (10 งวด)</t>
        </is>
      </c>
      <c r="G131" s="117">
        <f>IF(COUNTA(B131:E131)=0,"",IF(COUNTA(B131:E131)&lt;4,"⚠ กรอกไม่ครบ",IF(NOT(ISNUMBER(B131)),"⚠ วันที่ไม่ถูกต้อง",IF(COUNTIFS(Setup!$L$6:$L$60,D131,Setup!$M$6:$M$60,C131)=0,"⚠ หมวดไม่ตรงประเภท","✓"))))</f>
        <v/>
      </c>
    </row>
    <row r="132">
      <c r="B132" s="113" t="n">
        <v>46159</v>
      </c>
      <c r="C132" s="114" t="inlineStr">
        <is>
          <t>รายจ่าย</t>
        </is>
      </c>
      <c r="D132" s="115" t="inlineStr">
        <is>
          <t>ค่าอาหาร</t>
        </is>
      </c>
      <c r="E132" s="116" t="n">
        <v>1850</v>
      </c>
      <c r="F132" s="115" t="inlineStr">
        <is>
          <t>ค่าอาหาร-กาแฟ สัปดาห์ที่ 3</t>
        </is>
      </c>
      <c r="G132" s="117">
        <f>IF(COUNTA(B132:E132)=0,"",IF(COUNTA(B132:E132)&lt;4,"⚠ กรอกไม่ครบ",IF(NOT(ISNUMBER(B132)),"⚠ วันที่ไม่ถูกต้อง",IF(COUNTIFS(Setup!$L$6:$L$60,D132,Setup!$M$6:$M$60,C132)=0,"⚠ หมวดไม่ตรงประเภท","✓"))))</f>
        <v/>
      </c>
    </row>
    <row r="133">
      <c r="B133" s="113" t="n">
        <v>46161</v>
      </c>
      <c r="C133" s="114" t="inlineStr">
        <is>
          <t>รายจ่าย</t>
        </is>
      </c>
      <c r="D133" s="115" t="inlineStr">
        <is>
          <t>ค่าอาหาร</t>
        </is>
      </c>
      <c r="E133" s="116" t="n">
        <v>1310</v>
      </c>
      <c r="F133" s="115" t="inlineStr">
        <is>
          <t>ซื้อของเข้าตู้เย็น</t>
        </is>
      </c>
      <c r="G133" s="117">
        <f>IF(COUNTA(B133:E133)=0,"",IF(COUNTA(B133:E133)&lt;4,"⚠ กรอกไม่ครบ",IF(NOT(ISNUMBER(B133)),"⚠ วันที่ไม่ถูกต้อง",IF(COUNTIFS(Setup!$L$6:$L$60,D133,Setup!$M$6:$M$60,C133)=0,"⚠ หมวดไม่ตรงประเภท","✓"))))</f>
        <v/>
      </c>
    </row>
    <row r="134">
      <c r="B134" s="113" t="n">
        <v>46162</v>
      </c>
      <c r="C134" s="114" t="inlineStr">
        <is>
          <t>รายรับ</t>
        </is>
      </c>
      <c r="D134" s="115" t="inlineStr">
        <is>
          <t>ดอกเบี้ย/ปันผล</t>
        </is>
      </c>
      <c r="E134" s="116" t="n">
        <v>2400</v>
      </c>
      <c r="F134" s="115" t="inlineStr">
        <is>
          <t>เงินปันผลหุ้น</t>
        </is>
      </c>
      <c r="G134" s="117">
        <f>IF(COUNTA(B134:E134)=0,"",IF(COUNTA(B134:E134)&lt;4,"⚠ กรอกไม่ครบ",IF(NOT(ISNUMBER(B134)),"⚠ วันที่ไม่ถูกต้อง",IF(COUNTIFS(Setup!$L$6:$L$60,D134,Setup!$M$6:$M$60,C134)=0,"⚠ หมวดไม่ตรงประเภท","✓"))))</f>
        <v/>
      </c>
    </row>
    <row r="135">
      <c r="B135" s="113" t="n">
        <v>46162</v>
      </c>
      <c r="C135" s="114" t="inlineStr">
        <is>
          <t>รายจ่าย</t>
        </is>
      </c>
      <c r="D135" s="115" t="inlineStr">
        <is>
          <t>Subscription</t>
        </is>
      </c>
      <c r="E135" s="116" t="n">
        <v>149</v>
      </c>
      <c r="F135" s="115" t="inlineStr">
        <is>
          <t>Spotify</t>
        </is>
      </c>
      <c r="G135" s="117">
        <f>IF(COUNTA(B135:E135)=0,"",IF(COUNTA(B135:E135)&lt;4,"⚠ กรอกไม่ครบ",IF(NOT(ISNUMBER(B135)),"⚠ วันที่ไม่ถูกต้อง",IF(COUNTIFS(Setup!$L$6:$L$60,D135,Setup!$M$6:$M$60,C135)=0,"⚠ หมวดไม่ตรงประเภท","✓"))))</f>
        <v/>
      </c>
    </row>
    <row r="136">
      <c r="B136" s="113" t="n">
        <v>46162</v>
      </c>
      <c r="C136" s="114" t="inlineStr">
        <is>
          <t>รายจ่าย</t>
        </is>
      </c>
      <c r="D136" s="115" t="inlineStr">
        <is>
          <t>สุขภาพ/ยา</t>
        </is>
      </c>
      <c r="E136" s="116" t="n">
        <v>710</v>
      </c>
      <c r="F136" s="115" t="inlineStr">
        <is>
          <t>ทำฟัน</t>
        </is>
      </c>
      <c r="G136" s="117">
        <f>IF(COUNTA(B136:E136)=0,"",IF(COUNTA(B136:E136)&lt;4,"⚠ กรอกไม่ครบ",IF(NOT(ISNUMBER(B136)),"⚠ วันที่ไม่ถูกต้อง",IF(COUNTIFS(Setup!$L$6:$L$60,D136,Setup!$M$6:$M$60,C136)=0,"⚠ หมวดไม่ตรงประเภท","✓"))))</f>
        <v/>
      </c>
    </row>
    <row r="137">
      <c r="B137" s="113" t="n">
        <v>46166</v>
      </c>
      <c r="C137" s="114" t="inlineStr">
        <is>
          <t>รายจ่าย</t>
        </is>
      </c>
      <c r="D137" s="115" t="inlineStr">
        <is>
          <t>ค่าอาหาร</t>
        </is>
      </c>
      <c r="E137" s="116" t="n">
        <v>1830</v>
      </c>
      <c r="F137" s="115" t="inlineStr">
        <is>
          <t>ค่าอาหาร-กาแฟ สัปดาห์ที่ 4</t>
        </is>
      </c>
      <c r="G137" s="117">
        <f>IF(COUNTA(B137:E137)=0,"",IF(COUNTA(B137:E137)&lt;4,"⚠ กรอกไม่ครบ",IF(NOT(ISNUMBER(B137)),"⚠ วันที่ไม่ถูกต้อง",IF(COUNTIFS(Setup!$L$6:$L$60,D137,Setup!$M$6:$M$60,C137)=0,"⚠ หมวดไม่ตรงประเภท","✓"))))</f>
        <v/>
      </c>
    </row>
    <row r="138">
      <c r="B138" s="113" t="n">
        <v>46167</v>
      </c>
      <c r="C138" s="114" t="inlineStr">
        <is>
          <t>รายรับ</t>
        </is>
      </c>
      <c r="D138" s="115" t="inlineStr">
        <is>
          <t>เงินเดือน</t>
        </is>
      </c>
      <c r="E138" s="116" t="n">
        <v>42000</v>
      </c>
      <c r="F138" s="115" t="inlineStr">
        <is>
          <t>เงินเดือนประจำเดือน</t>
        </is>
      </c>
      <c r="G138" s="117">
        <f>IF(COUNTA(B138:E138)=0,"",IF(COUNTA(B138:E138)&lt;4,"⚠ กรอกไม่ครบ",IF(NOT(ISNUMBER(B138)),"⚠ วันที่ไม่ถูกต้อง",IF(COUNTIFS(Setup!$L$6:$L$60,D138,Setup!$M$6:$M$60,C138)=0,"⚠ หมวดไม่ตรงประเภท","✓"))))</f>
        <v/>
      </c>
    </row>
    <row r="139">
      <c r="B139" s="113" t="n">
        <v>46167</v>
      </c>
      <c r="C139" s="114" t="inlineStr">
        <is>
          <t>รายจ่าย</t>
        </is>
      </c>
      <c r="D139" s="115" t="inlineStr">
        <is>
          <t>สังสรรค์/บันเทิง</t>
        </is>
      </c>
      <c r="E139" s="116" t="n">
        <v>560</v>
      </c>
      <c r="F139" s="115" t="inlineStr">
        <is>
          <t>คอนเสิร์ต</t>
        </is>
      </c>
      <c r="G139" s="117">
        <f>IF(COUNTA(B139:E139)=0,"",IF(COUNTA(B139:E139)&lt;4,"⚠ กรอกไม่ครบ",IF(NOT(ISNUMBER(B139)),"⚠ วันที่ไม่ถูกต้อง",IF(COUNTIFS(Setup!$L$6:$L$60,D139,Setup!$M$6:$M$60,C139)=0,"⚠ หมวดไม่ตรงประเภท","✓"))))</f>
        <v/>
      </c>
    </row>
    <row r="140">
      <c r="B140" s="113" t="n">
        <v>46168</v>
      </c>
      <c r="C140" s="114" t="inlineStr">
        <is>
          <t>รายจ่าย</t>
        </is>
      </c>
      <c r="D140" s="115" t="inlineStr">
        <is>
          <t>ให้ครอบครัว</t>
        </is>
      </c>
      <c r="E140" s="116" t="n">
        <v>5000</v>
      </c>
      <c r="F140" s="115" t="inlineStr">
        <is>
          <t>ส่งเงินให้พ่อแม่</t>
        </is>
      </c>
      <c r="G140" s="117">
        <f>IF(COUNTA(B140:E140)=0,"",IF(COUNTA(B140:E140)&lt;4,"⚠ กรอกไม่ครบ",IF(NOT(ISNUMBER(B140)),"⚠ วันที่ไม่ถูกต้อง",IF(COUNTIFS(Setup!$L$6:$L$60,D140,Setup!$M$6:$M$60,C140)=0,"⚠ หมวดไม่ตรงประเภท","✓"))))</f>
        <v/>
      </c>
    </row>
    <row r="141">
      <c r="B141" s="113" t="n">
        <v>46168</v>
      </c>
      <c r="C141" s="114" t="inlineStr">
        <is>
          <t>รายจ่าย</t>
        </is>
      </c>
      <c r="D141" s="115" t="inlineStr">
        <is>
          <t>ค่าเดินทาง</t>
        </is>
      </c>
      <c r="E141" s="116" t="n">
        <v>1180</v>
      </c>
      <c r="F141" s="115" t="inlineStr">
        <is>
          <t>เติมน้ำมัน</t>
        </is>
      </c>
      <c r="G141" s="117">
        <f>IF(COUNTA(B141:E141)=0,"",IF(COUNTA(B141:E141)&lt;4,"⚠ กรอกไม่ครบ",IF(NOT(ISNUMBER(B141)),"⚠ วันที่ไม่ถูกต้อง",IF(COUNTIFS(Setup!$L$6:$L$60,D141,Setup!$M$6:$M$60,C141)=0,"⚠ หมวดไม่ตรงประเภท","✓"))))</f>
        <v/>
      </c>
    </row>
    <row r="142">
      <c r="B142" s="113" t="n">
        <v>46168</v>
      </c>
      <c r="C142" s="114" t="inlineStr">
        <is>
          <t>เงินออม</t>
        </is>
      </c>
      <c r="D142" s="115" t="inlineStr">
        <is>
          <t>เงินฝากออมทรัพย์</t>
        </is>
      </c>
      <c r="E142" s="116" t="n">
        <v>3000</v>
      </c>
      <c r="F142" s="115" t="inlineStr">
        <is>
          <t>ฝากออมประจำเดือน</t>
        </is>
      </c>
      <c r="G142" s="117">
        <f>IF(COUNTA(B142:E142)=0,"",IF(COUNTA(B142:E142)&lt;4,"⚠ กรอกไม่ครบ",IF(NOT(ISNUMBER(B142)),"⚠ วันที่ไม่ถูกต้อง",IF(COUNTIFS(Setup!$L$6:$L$60,D142,Setup!$M$6:$M$60,C142)=0,"⚠ หมวดไม่ตรงประเภท","✓"))))</f>
        <v/>
      </c>
    </row>
    <row r="143">
      <c r="B143" s="113" t="n">
        <v>46168</v>
      </c>
      <c r="C143" s="114" t="inlineStr">
        <is>
          <t>เงินออม</t>
        </is>
      </c>
      <c r="D143" s="115" t="inlineStr">
        <is>
          <t>เงินสำรองฉุกเฉิน</t>
        </is>
      </c>
      <c r="E143" s="116" t="n">
        <v>2000</v>
      </c>
      <c r="F143" s="115" t="inlineStr">
        <is>
          <t>เติมเงินสำรองฉุกเฉิน</t>
        </is>
      </c>
      <c r="G143" s="117">
        <f>IF(COUNTA(B143:E143)=0,"",IF(COUNTA(B143:E143)&lt;4,"⚠ กรอกไม่ครบ",IF(NOT(ISNUMBER(B143)),"⚠ วันที่ไม่ถูกต้อง",IF(COUNTIFS(Setup!$L$6:$L$60,D143,Setup!$M$6:$M$60,C143)=0,"⚠ หมวดไม่ตรงประเภท","✓"))))</f>
        <v/>
      </c>
    </row>
    <row r="144">
      <c r="B144" s="113" t="n">
        <v>46169</v>
      </c>
      <c r="C144" s="114" t="inlineStr">
        <is>
          <t>รายจ่าย</t>
        </is>
      </c>
      <c r="D144" s="115" t="inlineStr">
        <is>
          <t>ช้อปปิ้ง</t>
        </is>
      </c>
      <c r="E144" s="116" t="n">
        <v>2280</v>
      </c>
      <c r="F144" s="115" t="inlineStr">
        <is>
          <t>ของแต่งห้อง</t>
        </is>
      </c>
      <c r="G144" s="117">
        <f>IF(COUNTA(B144:E144)=0,"",IF(COUNTA(B144:E144)&lt;4,"⚠ กรอกไม่ครบ",IF(NOT(ISNUMBER(B144)),"⚠ วันที่ไม่ถูกต้อง",IF(COUNTIFS(Setup!$L$6:$L$60,D144,Setup!$M$6:$M$60,C144)=0,"⚠ หมวดไม่ตรงประเภท","✓"))))</f>
        <v/>
      </c>
    </row>
    <row r="145">
      <c r="B145" s="113" t="n">
        <v>46169</v>
      </c>
      <c r="C145" s="114" t="inlineStr">
        <is>
          <t>เงินออม</t>
        </is>
      </c>
      <c r="D145" s="115" t="inlineStr">
        <is>
          <t>กองทุน SSF/RMF</t>
        </is>
      </c>
      <c r="E145" s="116" t="n">
        <v>2500</v>
      </c>
      <c r="F145" s="115" t="inlineStr">
        <is>
          <t>DCA กองทุนลดหย่อนภาษี</t>
        </is>
      </c>
      <c r="G145" s="117">
        <f>IF(COUNTA(B145:E145)=0,"",IF(COUNTA(B145:E145)&lt;4,"⚠ กรอกไม่ครบ",IF(NOT(ISNUMBER(B145)),"⚠ วันที่ไม่ถูกต้อง",IF(COUNTIFS(Setup!$L$6:$L$60,D145,Setup!$M$6:$M$60,C145)=0,"⚠ หมวดไม่ตรงประเภท","✓"))))</f>
        <v/>
      </c>
    </row>
    <row r="146">
      <c r="B146" s="113" t="n">
        <v>46169</v>
      </c>
      <c r="C146" s="114" t="inlineStr">
        <is>
          <t>เงินออม</t>
        </is>
      </c>
      <c r="D146" s="115" t="inlineStr">
        <is>
          <t>หุ้น/ETF</t>
        </is>
      </c>
      <c r="E146" s="116" t="n">
        <v>3500</v>
      </c>
      <c r="F146" s="115" t="inlineStr">
        <is>
          <t>DCA ETF</t>
        </is>
      </c>
      <c r="G146" s="117">
        <f>IF(COUNTA(B146:E146)=0,"",IF(COUNTA(B146:E146)&lt;4,"⚠ กรอกไม่ครบ",IF(NOT(ISNUMBER(B146)),"⚠ วันที่ไม่ถูกต้อง",IF(COUNTIFS(Setup!$L$6:$L$60,D146,Setup!$M$6:$M$60,C146)=0,"⚠ หมวดไม่ตรงประเภท","✓"))))</f>
        <v/>
      </c>
    </row>
    <row r="147">
      <c r="B147" s="113" t="n">
        <v>46174</v>
      </c>
      <c r="C147" s="114" t="inlineStr">
        <is>
          <t>รายจ่าย</t>
        </is>
      </c>
      <c r="D147" s="115" t="inlineStr">
        <is>
          <t>ค่าที่พัก/ค่าเช่า</t>
        </is>
      </c>
      <c r="E147" s="116" t="n">
        <v>8500</v>
      </c>
      <c r="F147" s="115" t="inlineStr">
        <is>
          <t>ค่าเช่าคอนโด</t>
        </is>
      </c>
      <c r="G147" s="117">
        <f>IF(COUNTA(B147:E147)=0,"",IF(COUNTA(B147:E147)&lt;4,"⚠ กรอกไม่ครบ",IF(NOT(ISNUMBER(B147)),"⚠ วันที่ไม่ถูกต้อง",IF(COUNTIFS(Setup!$L$6:$L$60,D147,Setup!$M$6:$M$60,C147)=0,"⚠ หมวดไม่ตรงประเภท","✓"))))</f>
        <v/>
      </c>
    </row>
    <row r="148">
      <c r="B148" s="113" t="n">
        <v>46175</v>
      </c>
      <c r="C148" s="114" t="inlineStr">
        <is>
          <t>รายจ่าย</t>
        </is>
      </c>
      <c r="D148" s="115" t="inlineStr">
        <is>
          <t>ค่าเดินทาง</t>
        </is>
      </c>
      <c r="E148" s="116" t="n">
        <v>900</v>
      </c>
      <c r="F148" s="115" t="inlineStr">
        <is>
          <t>เติมเงินบัตร BTS/MRT</t>
        </is>
      </c>
      <c r="G148" s="117">
        <f>IF(COUNTA(B148:E148)=0,"",IF(COUNTA(B148:E148)&lt;4,"⚠ กรอกไม่ครบ",IF(NOT(ISNUMBER(B148)),"⚠ วันที่ไม่ถูกต้อง",IF(COUNTIFS(Setup!$L$6:$L$60,D148,Setup!$M$6:$M$60,C148)=0,"⚠ หมวดไม่ตรงประเภท","✓"))))</f>
        <v/>
      </c>
    </row>
    <row r="149">
      <c r="B149" s="113" t="n">
        <v>46176</v>
      </c>
      <c r="C149" s="114" t="inlineStr">
        <is>
          <t>รายจ่าย</t>
        </is>
      </c>
      <c r="D149" s="115" t="inlineStr">
        <is>
          <t>ค่าอาหาร</t>
        </is>
      </c>
      <c r="E149" s="116" t="n">
        <v>1380</v>
      </c>
      <c r="F149" s="115" t="inlineStr">
        <is>
          <t>ค่าอาหาร-กาแฟ สัปดาห์ที่ 1</t>
        </is>
      </c>
      <c r="G149" s="117">
        <f>IF(COUNTA(B149:E149)=0,"",IF(COUNTA(B149:E149)&lt;4,"⚠ กรอกไม่ครบ",IF(NOT(ISNUMBER(B149)),"⚠ วันที่ไม่ถูกต้อง",IF(COUNTIFS(Setup!$L$6:$L$60,D149,Setup!$M$6:$M$60,C149)=0,"⚠ หมวดไม่ตรงประเภท","✓"))))</f>
        <v/>
      </c>
    </row>
    <row r="150">
      <c r="B150" s="113" t="n">
        <v>46178</v>
      </c>
      <c r="C150" s="114" t="inlineStr">
        <is>
          <t>รายจ่าย</t>
        </is>
      </c>
      <c r="D150" s="115" t="inlineStr">
        <is>
          <t>ค่าน้ำ-ค่าไฟ</t>
        </is>
      </c>
      <c r="E150" s="116" t="n">
        <v>1110</v>
      </c>
      <c r="F150" s="115" t="inlineStr">
        <is>
          <t>ค่าไฟ + ค่าน้ำ</t>
        </is>
      </c>
      <c r="G150" s="117">
        <f>IF(COUNTA(B150:E150)=0,"",IF(COUNTA(B150:E150)&lt;4,"⚠ กรอกไม่ครบ",IF(NOT(ISNUMBER(B150)),"⚠ วันที่ไม่ถูกต้อง",IF(COUNTIFS(Setup!$L$6:$L$60,D150,Setup!$M$6:$M$60,C150)=0,"⚠ หมวดไม่ตรงประเภท","✓"))))</f>
        <v/>
      </c>
    </row>
    <row r="151">
      <c r="B151" s="113" t="n">
        <v>46178</v>
      </c>
      <c r="C151" s="114" t="inlineStr">
        <is>
          <t>รายจ่าย</t>
        </is>
      </c>
      <c r="D151" s="115" t="inlineStr">
        <is>
          <t>ของใช้ในบ้าน</t>
        </is>
      </c>
      <c r="E151" s="116" t="n">
        <v>1090</v>
      </c>
      <c r="F151" s="115" t="inlineStr">
        <is>
          <t>ของใช้ในบ้าน/ห้องน้ำ</t>
        </is>
      </c>
      <c r="G151" s="117">
        <f>IF(COUNTA(B151:E151)=0,"",IF(COUNTA(B151:E151)&lt;4,"⚠ กรอกไม่ครบ",IF(NOT(ISNUMBER(B151)),"⚠ วันที่ไม่ถูกต้อง",IF(COUNTIFS(Setup!$L$6:$L$60,D151,Setup!$M$6:$M$60,C151)=0,"⚠ หมวดไม่ตรงประเภท","✓"))))</f>
        <v/>
      </c>
    </row>
    <row r="152">
      <c r="B152" s="113" t="n">
        <v>46179</v>
      </c>
      <c r="C152" s="114" t="inlineStr">
        <is>
          <t>รายจ่าย</t>
        </is>
      </c>
      <c r="D152" s="115" t="inlineStr">
        <is>
          <t>ค่าอาหาร</t>
        </is>
      </c>
      <c r="E152" s="116" t="n">
        <v>1170</v>
      </c>
      <c r="F152" s="115" t="inlineStr">
        <is>
          <t>ซื้อของเข้าตู้เย็น</t>
        </is>
      </c>
      <c r="G152" s="117">
        <f>IF(COUNTA(B152:E152)=0,"",IF(COUNTA(B152:E152)&lt;4,"⚠ กรอกไม่ครบ",IF(NOT(ISNUMBER(B152)),"⚠ วันที่ไม่ถูกต้อง",IF(COUNTIFS(Setup!$L$6:$L$60,D152,Setup!$M$6:$M$60,C152)=0,"⚠ หมวดไม่ตรงประเภท","✓"))))</f>
        <v/>
      </c>
    </row>
    <row r="153">
      <c r="B153" s="113" t="n">
        <v>46179</v>
      </c>
      <c r="C153" s="114" t="inlineStr">
        <is>
          <t>รายจ่าย</t>
        </is>
      </c>
      <c r="D153" s="115" t="inlineStr">
        <is>
          <t>ช้อปปิ้ง</t>
        </is>
      </c>
      <c r="E153" s="116" t="n">
        <v>2370</v>
      </c>
      <c r="F153" s="115" t="inlineStr">
        <is>
          <t>ของแต่งห้อง</t>
        </is>
      </c>
      <c r="G153" s="117">
        <f>IF(COUNTA(B153:E153)=0,"",IF(COUNTA(B153:E153)&lt;4,"⚠ กรอกไม่ครบ",IF(NOT(ISNUMBER(B153)),"⚠ วันที่ไม่ถูกต้อง",IF(COUNTIFS(Setup!$L$6:$L$60,D153,Setup!$M$6:$M$60,C153)=0,"⚠ หมวดไม่ตรงประเภท","✓"))))</f>
        <v/>
      </c>
    </row>
    <row r="154">
      <c r="B154" s="113" t="n">
        <v>46181</v>
      </c>
      <c r="C154" s="114" t="inlineStr">
        <is>
          <t>รายจ่าย</t>
        </is>
      </c>
      <c r="D154" s="115" t="inlineStr">
        <is>
          <t>Subscription</t>
        </is>
      </c>
      <c r="E154" s="116" t="n">
        <v>419</v>
      </c>
      <c r="F154" s="115" t="inlineStr">
        <is>
          <t>Netflix</t>
        </is>
      </c>
      <c r="G154" s="117">
        <f>IF(COUNTA(B154:E154)=0,"",IF(COUNTA(B154:E154)&lt;4,"⚠ กรอกไม่ครบ",IF(NOT(ISNUMBER(B154)),"⚠ วันที่ไม่ถูกต้อง",IF(COUNTIFS(Setup!$L$6:$L$60,D154,Setup!$M$6:$M$60,C154)=0,"⚠ หมวดไม่ตรงประเภท","✓"))))</f>
        <v/>
      </c>
    </row>
    <row r="155">
      <c r="B155" s="113" t="n">
        <v>46183</v>
      </c>
      <c r="C155" s="114" t="inlineStr">
        <is>
          <t>รายจ่าย</t>
        </is>
      </c>
      <c r="D155" s="115" t="inlineStr">
        <is>
          <t>ค่าโทรศัพท์/เน็ต</t>
        </is>
      </c>
      <c r="E155" s="116" t="n">
        <v>599</v>
      </c>
      <c r="F155" s="115" t="inlineStr">
        <is>
          <t>ค่าโทรศัพท์รายเดือน</t>
        </is>
      </c>
      <c r="G155" s="117">
        <f>IF(COUNTA(B155:E155)=0,"",IF(COUNTA(B155:E155)&lt;4,"⚠ กรอกไม่ครบ",IF(NOT(ISNUMBER(B155)),"⚠ วันที่ไม่ถูกต้อง",IF(COUNTIFS(Setup!$L$6:$L$60,D155,Setup!$M$6:$M$60,C155)=0,"⚠ หมวดไม่ตรงประเภท","✓"))))</f>
        <v/>
      </c>
    </row>
    <row r="156">
      <c r="B156" s="113" t="n">
        <v>46183</v>
      </c>
      <c r="C156" s="114" t="inlineStr">
        <is>
          <t>รายจ่าย</t>
        </is>
      </c>
      <c r="D156" s="115" t="inlineStr">
        <is>
          <t>ค่าอาหาร</t>
        </is>
      </c>
      <c r="E156" s="116" t="n">
        <v>1770</v>
      </c>
      <c r="F156" s="115" t="inlineStr">
        <is>
          <t>ค่าอาหาร-กาแฟ สัปดาห์ที่ 2</t>
        </is>
      </c>
      <c r="G156" s="117">
        <f>IF(COUNTA(B156:E156)=0,"",IF(COUNTA(B156:E156)&lt;4,"⚠ กรอกไม่ครบ",IF(NOT(ISNUMBER(B156)),"⚠ วันที่ไม่ถูกต้อง",IF(COUNTIFS(Setup!$L$6:$L$60,D156,Setup!$M$6:$M$60,C156)=0,"⚠ หมวดไม่ตรงประเภท","✓"))))</f>
        <v/>
      </c>
    </row>
    <row r="157">
      <c r="B157" s="113" t="n">
        <v>46183</v>
      </c>
      <c r="C157" s="114" t="inlineStr">
        <is>
          <t>รายจ่าย</t>
        </is>
      </c>
      <c r="D157" s="115" t="inlineStr">
        <is>
          <t>ค่าเดินทาง</t>
        </is>
      </c>
      <c r="E157" s="116" t="n">
        <v>340</v>
      </c>
      <c r="F157" s="115" t="inlineStr">
        <is>
          <t>Grab / วินมอเตอร์ไซค์</t>
        </is>
      </c>
      <c r="G157" s="117">
        <f>IF(COUNTA(B157:E157)=0,"",IF(COUNTA(B157:E157)&lt;4,"⚠ กรอกไม่ครบ",IF(NOT(ISNUMBER(B157)),"⚠ วันที่ไม่ถูกต้อง",IF(COUNTIFS(Setup!$L$6:$L$60,D157,Setup!$M$6:$M$60,C157)=0,"⚠ หมวดไม่ตรงประเภท","✓"))))</f>
        <v/>
      </c>
    </row>
    <row r="158">
      <c r="B158" s="113" t="n">
        <v>46185</v>
      </c>
      <c r="C158" s="114" t="inlineStr">
        <is>
          <t>รายจ่าย</t>
        </is>
      </c>
      <c r="D158" s="115" t="inlineStr">
        <is>
          <t>ค่าโทรศัพท์/เน็ต</t>
        </is>
      </c>
      <c r="E158" s="116" t="n">
        <v>590</v>
      </c>
      <c r="F158" s="115" t="inlineStr">
        <is>
          <t>อินเทอร์เน็ตบ้าน</t>
        </is>
      </c>
      <c r="G158" s="117">
        <f>IF(COUNTA(B158:E158)=0,"",IF(COUNTA(B158:E158)&lt;4,"⚠ กรอกไม่ครบ",IF(NOT(ISNUMBER(B158)),"⚠ วันที่ไม่ถูกต้อง",IF(COUNTIFS(Setup!$L$6:$L$60,D158,Setup!$M$6:$M$60,C158)=0,"⚠ หมวดไม่ตรงประเภท","✓"))))</f>
        <v/>
      </c>
    </row>
    <row r="159">
      <c r="B159" s="113" t="n">
        <v>46186</v>
      </c>
      <c r="C159" s="114" t="inlineStr">
        <is>
          <t>รายรับ</t>
        </is>
      </c>
      <c r="D159" s="115" t="inlineStr">
        <is>
          <t>ขายของออนไลน์</t>
        </is>
      </c>
      <c r="E159" s="116" t="n">
        <v>1400</v>
      </c>
      <c r="F159" s="115" t="inlineStr">
        <is>
          <t>ขายของมือสองใน Marketplace</t>
        </is>
      </c>
      <c r="G159" s="117">
        <f>IF(COUNTA(B159:E159)=0,"",IF(COUNTA(B159:E159)&lt;4,"⚠ กรอกไม่ครบ",IF(NOT(ISNUMBER(B159)),"⚠ วันที่ไม่ถูกต้อง",IF(COUNTIFS(Setup!$L$6:$L$60,D159,Setup!$M$6:$M$60,C159)=0,"⚠ หมวดไม่ตรงประเภท","✓"))))</f>
        <v/>
      </c>
    </row>
    <row r="160">
      <c r="B160" s="113" t="n">
        <v>46188</v>
      </c>
      <c r="C160" s="114" t="inlineStr">
        <is>
          <t>รายจ่าย</t>
        </is>
      </c>
      <c r="D160" s="115" t="inlineStr">
        <is>
          <t>ผ่อนชำระ/หนี้</t>
        </is>
      </c>
      <c r="E160" s="116" t="n">
        <v>4200</v>
      </c>
      <c r="F160" s="115" t="inlineStr">
        <is>
          <t>ผ่อนโน้ตบุ๊ก 0% (10 งวด)</t>
        </is>
      </c>
      <c r="G160" s="117">
        <f>IF(COUNTA(B160:E160)=0,"",IF(COUNTA(B160:E160)&lt;4,"⚠ กรอกไม่ครบ",IF(NOT(ISNUMBER(B160)),"⚠ วันที่ไม่ถูกต้อง",IF(COUNTIFS(Setup!$L$6:$L$60,D160,Setup!$M$6:$M$60,C160)=0,"⚠ หมวดไม่ตรงประเภท","✓"))))</f>
        <v/>
      </c>
    </row>
    <row r="161">
      <c r="B161" s="113" t="n">
        <v>46188</v>
      </c>
      <c r="C161" s="114" t="inlineStr">
        <is>
          <t>รายจ่าย</t>
        </is>
      </c>
      <c r="D161" s="115" t="inlineStr">
        <is>
          <t>ช้อปปิ้ง</t>
        </is>
      </c>
      <c r="E161" s="116" t="n">
        <v>2610</v>
      </c>
      <c r="F161" s="115" t="inlineStr">
        <is>
          <t>โปรเซลล์กลางเดือน</t>
        </is>
      </c>
      <c r="G161" s="117">
        <f>IF(COUNTA(B161:E161)=0,"",IF(COUNTA(B161:E161)&lt;4,"⚠ กรอกไม่ครบ",IF(NOT(ISNUMBER(B161)),"⚠ วันที่ไม่ถูกต้อง",IF(COUNTIFS(Setup!$L$6:$L$60,D161,Setup!$M$6:$M$60,C161)=0,"⚠ หมวดไม่ตรงประเภท","✓"))))</f>
        <v/>
      </c>
    </row>
    <row r="162">
      <c r="B162" s="113" t="n">
        <v>46190</v>
      </c>
      <c r="C162" s="114" t="inlineStr">
        <is>
          <t>รายจ่าย</t>
        </is>
      </c>
      <c r="D162" s="115" t="inlineStr">
        <is>
          <t>ค่าอาหาร</t>
        </is>
      </c>
      <c r="E162" s="116" t="n">
        <v>1210</v>
      </c>
      <c r="F162" s="115" t="inlineStr">
        <is>
          <t>ค่าอาหาร-กาแฟ สัปดาห์ที่ 3</t>
        </is>
      </c>
      <c r="G162" s="117">
        <f>IF(COUNTA(B162:E162)=0,"",IF(COUNTA(B162:E162)&lt;4,"⚠ กรอกไม่ครบ",IF(NOT(ISNUMBER(B162)),"⚠ วันที่ไม่ถูกต้อง",IF(COUNTIFS(Setup!$L$6:$L$60,D162,Setup!$M$6:$M$60,C162)=0,"⚠ หมวดไม่ตรงประเภท","✓"))))</f>
        <v/>
      </c>
    </row>
    <row r="163">
      <c r="B163" s="113" t="n">
        <v>46191</v>
      </c>
      <c r="C163" s="114" t="inlineStr">
        <is>
          <t>รายจ่าย</t>
        </is>
      </c>
      <c r="D163" s="115" t="inlineStr">
        <is>
          <t>ประกันภัย</t>
        </is>
      </c>
      <c r="E163" s="116" t="n">
        <v>3200</v>
      </c>
      <c r="F163" s="115" t="inlineStr">
        <is>
          <t>ประกันสุขภาพ (รายไตรมาส)</t>
        </is>
      </c>
      <c r="G163" s="117">
        <f>IF(COUNTA(B163:E163)=0,"",IF(COUNTA(B163:E163)&lt;4,"⚠ กรอกไม่ครบ",IF(NOT(ISNUMBER(B163)),"⚠ วันที่ไม่ถูกต้อง",IF(COUNTIFS(Setup!$L$6:$L$60,D163,Setup!$M$6:$M$60,C163)=0,"⚠ หมวดไม่ตรงประเภท","✓"))))</f>
        <v/>
      </c>
    </row>
    <row r="164">
      <c r="B164" s="113" t="n">
        <v>46193</v>
      </c>
      <c r="C164" s="114" t="inlineStr">
        <is>
          <t>รายจ่าย</t>
        </is>
      </c>
      <c r="D164" s="115" t="inlineStr">
        <is>
          <t>Subscription</t>
        </is>
      </c>
      <c r="E164" s="116" t="n">
        <v>149</v>
      </c>
      <c r="F164" s="115" t="inlineStr">
        <is>
          <t>Spotify</t>
        </is>
      </c>
      <c r="G164" s="117">
        <f>IF(COUNTA(B164:E164)=0,"",IF(COUNTA(B164:E164)&lt;4,"⚠ กรอกไม่ครบ",IF(NOT(ISNUMBER(B164)),"⚠ วันที่ไม่ถูกต้อง",IF(COUNTIFS(Setup!$L$6:$L$60,D164,Setup!$M$6:$M$60,C164)=0,"⚠ หมวดไม่ตรงประเภท","✓"))))</f>
        <v/>
      </c>
    </row>
    <row r="165">
      <c r="B165" s="113" t="n">
        <v>46194</v>
      </c>
      <c r="C165" s="114" t="inlineStr">
        <is>
          <t>รายจ่าย</t>
        </is>
      </c>
      <c r="D165" s="115" t="inlineStr">
        <is>
          <t>สังสรรค์/บันเทิง</t>
        </is>
      </c>
      <c r="E165" s="116" t="n">
        <v>790</v>
      </c>
      <c r="F165" s="115" t="inlineStr">
        <is>
          <t>ดูหนัง</t>
        </is>
      </c>
      <c r="G165" s="117">
        <f>IF(COUNTA(B165:E165)=0,"",IF(COUNTA(B165:E165)&lt;4,"⚠ กรอกไม่ครบ",IF(NOT(ISNUMBER(B165)),"⚠ วันที่ไม่ถูกต้อง",IF(COUNTIFS(Setup!$L$6:$L$60,D165,Setup!$M$6:$M$60,C165)=0,"⚠ หมวดไม่ตรงประเภท","✓"))))</f>
        <v/>
      </c>
    </row>
    <row r="166">
      <c r="B166" s="113" t="n">
        <v>46195</v>
      </c>
      <c r="C166" s="114" t="inlineStr">
        <is>
          <t>รายจ่าย</t>
        </is>
      </c>
      <c r="D166" s="115" t="inlineStr">
        <is>
          <t>ค่าเดินทาง</t>
        </is>
      </c>
      <c r="E166" s="116" t="n">
        <v>750</v>
      </c>
      <c r="F166" s="115" t="inlineStr">
        <is>
          <t>เติมน้ำมัน</t>
        </is>
      </c>
      <c r="G166" s="117">
        <f>IF(COUNTA(B166:E166)=0,"",IF(COUNTA(B166:E166)&lt;4,"⚠ กรอกไม่ครบ",IF(NOT(ISNUMBER(B166)),"⚠ วันที่ไม่ถูกต้อง",IF(COUNTIFS(Setup!$L$6:$L$60,D166,Setup!$M$6:$M$60,C166)=0,"⚠ หมวดไม่ตรงประเภท","✓"))))</f>
        <v/>
      </c>
    </row>
    <row r="167">
      <c r="B167" s="113" t="n">
        <v>46197</v>
      </c>
      <c r="C167" s="114" t="inlineStr">
        <is>
          <t>รายจ่าย</t>
        </is>
      </c>
      <c r="D167" s="115" t="inlineStr">
        <is>
          <t>ค่าอาหาร</t>
        </is>
      </c>
      <c r="E167" s="116" t="n">
        <v>1310</v>
      </c>
      <c r="F167" s="115" t="inlineStr">
        <is>
          <t>ค่าอาหาร-กาแฟ สัปดาห์ที่ 4</t>
        </is>
      </c>
      <c r="G167" s="117">
        <f>IF(COUNTA(B167:E167)=0,"",IF(COUNTA(B167:E167)&lt;4,"⚠ กรอกไม่ครบ",IF(NOT(ISNUMBER(B167)),"⚠ วันที่ไม่ถูกต้อง",IF(COUNTIFS(Setup!$L$6:$L$60,D167,Setup!$M$6:$M$60,C167)=0,"⚠ หมวดไม่ตรงประเภท","✓"))))</f>
        <v/>
      </c>
    </row>
    <row r="168">
      <c r="B168" s="113" t="n">
        <v>46198</v>
      </c>
      <c r="C168" s="114" t="inlineStr">
        <is>
          <t>รายรับ</t>
        </is>
      </c>
      <c r="D168" s="115" t="inlineStr">
        <is>
          <t>เงินเดือน</t>
        </is>
      </c>
      <c r="E168" s="116" t="n">
        <v>42000</v>
      </c>
      <c r="F168" s="115" t="inlineStr">
        <is>
          <t>เงินเดือนประจำเดือน</t>
        </is>
      </c>
      <c r="G168" s="117">
        <f>IF(COUNTA(B168:E168)=0,"",IF(COUNTA(B168:E168)&lt;4,"⚠ กรอกไม่ครบ",IF(NOT(ISNUMBER(B168)),"⚠ วันที่ไม่ถูกต้อง",IF(COUNTIFS(Setup!$L$6:$L$60,D168,Setup!$M$6:$M$60,C168)=0,"⚠ หมวดไม่ตรงประเภท","✓"))))</f>
        <v/>
      </c>
    </row>
    <row r="169">
      <c r="B169" s="113" t="n">
        <v>46198</v>
      </c>
      <c r="C169" s="114" t="inlineStr">
        <is>
          <t>รายรับ</t>
        </is>
      </c>
      <c r="D169" s="115" t="inlineStr">
        <is>
          <t>ค่าล่วงเวลา (OT)</t>
        </is>
      </c>
      <c r="E169" s="116" t="n">
        <v>3800</v>
      </c>
      <c r="F169" s="115" t="inlineStr">
        <is>
          <t>ค่า OT ทำงานวันหยุด</t>
        </is>
      </c>
      <c r="G169" s="117">
        <f>IF(COUNTA(B169:E169)=0,"",IF(COUNTA(B169:E169)&lt;4,"⚠ กรอกไม่ครบ",IF(NOT(ISNUMBER(B169)),"⚠ วันที่ไม่ถูกต้อง",IF(COUNTIFS(Setup!$L$6:$L$60,D169,Setup!$M$6:$M$60,C169)=0,"⚠ หมวดไม่ตรงประเภท","✓"))))</f>
        <v/>
      </c>
    </row>
    <row r="170">
      <c r="B170" s="113" t="n">
        <v>46199</v>
      </c>
      <c r="C170" s="114" t="inlineStr">
        <is>
          <t>รายจ่าย</t>
        </is>
      </c>
      <c r="D170" s="115" t="inlineStr">
        <is>
          <t>ให้ครอบครัว</t>
        </is>
      </c>
      <c r="E170" s="116" t="n">
        <v>5000</v>
      </c>
      <c r="F170" s="115" t="inlineStr">
        <is>
          <t>ส่งเงินให้พ่อแม่</t>
        </is>
      </c>
      <c r="G170" s="117">
        <f>IF(COUNTA(B170:E170)=0,"",IF(COUNTA(B170:E170)&lt;4,"⚠ กรอกไม่ครบ",IF(NOT(ISNUMBER(B170)),"⚠ วันที่ไม่ถูกต้อง",IF(COUNTIFS(Setup!$L$6:$L$60,D170,Setup!$M$6:$M$60,C170)=0,"⚠ หมวดไม่ตรงประเภท","✓"))))</f>
        <v/>
      </c>
    </row>
    <row r="171">
      <c r="B171" s="113" t="n">
        <v>46199</v>
      </c>
      <c r="C171" s="114" t="inlineStr">
        <is>
          <t>เงินออม</t>
        </is>
      </c>
      <c r="D171" s="115" t="inlineStr">
        <is>
          <t>เงินฝากออมทรัพย์</t>
        </is>
      </c>
      <c r="E171" s="116" t="n">
        <v>3000</v>
      </c>
      <c r="F171" s="115" t="inlineStr">
        <is>
          <t>ฝากออมประจำเดือน</t>
        </is>
      </c>
      <c r="G171" s="117">
        <f>IF(COUNTA(B171:E171)=0,"",IF(COUNTA(B171:E171)&lt;4,"⚠ กรอกไม่ครบ",IF(NOT(ISNUMBER(B171)),"⚠ วันที่ไม่ถูกต้อง",IF(COUNTIFS(Setup!$L$6:$L$60,D171,Setup!$M$6:$M$60,C171)=0,"⚠ หมวดไม่ตรงประเภท","✓"))))</f>
        <v/>
      </c>
    </row>
    <row r="172">
      <c r="B172" s="113" t="n">
        <v>46199</v>
      </c>
      <c r="C172" s="114" t="inlineStr">
        <is>
          <t>เงินออม</t>
        </is>
      </c>
      <c r="D172" s="115" t="inlineStr">
        <is>
          <t>เงินสำรองฉุกเฉิน</t>
        </is>
      </c>
      <c r="E172" s="116" t="n">
        <v>2000</v>
      </c>
      <c r="F172" s="115" t="inlineStr">
        <is>
          <t>เติมเงินสำรองฉุกเฉิน</t>
        </is>
      </c>
      <c r="G172" s="117">
        <f>IF(COUNTA(B172:E172)=0,"",IF(COUNTA(B172:E172)&lt;4,"⚠ กรอกไม่ครบ",IF(NOT(ISNUMBER(B172)),"⚠ วันที่ไม่ถูกต้อง",IF(COUNTIFS(Setup!$L$6:$L$60,D172,Setup!$M$6:$M$60,C172)=0,"⚠ หมวดไม่ตรงประเภท","✓"))))</f>
        <v/>
      </c>
    </row>
    <row r="173">
      <c r="B173" s="113" t="n">
        <v>46200</v>
      </c>
      <c r="C173" s="114" t="inlineStr">
        <is>
          <t>เงินออม</t>
        </is>
      </c>
      <c r="D173" s="115" t="inlineStr">
        <is>
          <t>กองทุน SSF/RMF</t>
        </is>
      </c>
      <c r="E173" s="116" t="n">
        <v>2500</v>
      </c>
      <c r="F173" s="115" t="inlineStr">
        <is>
          <t>DCA กองทุนลดหย่อนภาษี</t>
        </is>
      </c>
      <c r="G173" s="117">
        <f>IF(COUNTA(B173:E173)=0,"",IF(COUNTA(B173:E173)&lt;4,"⚠ กรอกไม่ครบ",IF(NOT(ISNUMBER(B173)),"⚠ วันที่ไม่ถูกต้อง",IF(COUNTIFS(Setup!$L$6:$L$60,D173,Setup!$M$6:$M$60,C173)=0,"⚠ หมวดไม่ตรงประเภท","✓"))))</f>
        <v/>
      </c>
    </row>
    <row r="174">
      <c r="B174" s="113" t="n">
        <v>46200</v>
      </c>
      <c r="C174" s="114" t="inlineStr">
        <is>
          <t>เงินออม</t>
        </is>
      </c>
      <c r="D174" s="115" t="inlineStr">
        <is>
          <t>หุ้น/ETF</t>
        </is>
      </c>
      <c r="E174" s="116" t="n">
        <v>3000</v>
      </c>
      <c r="F174" s="115" t="inlineStr">
        <is>
          <t>DCA ETF</t>
        </is>
      </c>
      <c r="G174" s="117">
        <f>IF(COUNTA(B174:E174)=0,"",IF(COUNTA(B174:E174)&lt;4,"⚠ กรอกไม่ครบ",IF(NOT(ISNUMBER(B174)),"⚠ วันที่ไม่ถูกต้อง",IF(COUNTIFS(Setup!$L$6:$L$60,D174,Setup!$M$6:$M$60,C174)=0,"⚠ หมวดไม่ตรงประเภท","✓"))))</f>
        <v/>
      </c>
    </row>
    <row r="175">
      <c r="B175" s="113" t="n">
        <v>46203</v>
      </c>
      <c r="C175" s="114" t="inlineStr">
        <is>
          <t>รายรับ</t>
        </is>
      </c>
      <c r="D175" s="115" t="inlineStr">
        <is>
          <t>ดอกเบี้ย/ปันผล</t>
        </is>
      </c>
      <c r="E175" s="116" t="n">
        <v>820</v>
      </c>
      <c r="F175" s="115" t="inlineStr">
        <is>
          <t>ดอกเบี้ยบัญชีออมทรัพย์</t>
        </is>
      </c>
      <c r="G175" s="117">
        <f>IF(COUNTA(B175:E175)=0,"",IF(COUNTA(B175:E175)&lt;4,"⚠ กรอกไม่ครบ",IF(NOT(ISNUMBER(B175)),"⚠ วันที่ไม่ถูกต้อง",IF(COUNTIFS(Setup!$L$6:$L$60,D175,Setup!$M$6:$M$60,C175)=0,"⚠ หมวดไม่ตรงประเภท","✓"))))</f>
        <v/>
      </c>
    </row>
    <row r="176">
      <c r="B176" s="113" t="n">
        <v>46204</v>
      </c>
      <c r="C176" s="114" t="inlineStr">
        <is>
          <t>รายจ่าย</t>
        </is>
      </c>
      <c r="D176" s="115" t="inlineStr">
        <is>
          <t>ค่าที่พัก/ค่าเช่า</t>
        </is>
      </c>
      <c r="E176" s="116" t="n">
        <v>8500</v>
      </c>
      <c r="F176" s="115" t="inlineStr">
        <is>
          <t>ค่าเช่าคอนโด</t>
        </is>
      </c>
      <c r="G176" s="117">
        <f>IF(COUNTA(B176:E176)=0,"",IF(COUNTA(B176:E176)&lt;4,"⚠ กรอกไม่ครบ",IF(NOT(ISNUMBER(B176)),"⚠ วันที่ไม่ถูกต้อง",IF(COUNTIFS(Setup!$L$6:$L$60,D176,Setup!$M$6:$M$60,C176)=0,"⚠ หมวดไม่ตรงประเภท","✓"))))</f>
        <v/>
      </c>
    </row>
    <row r="177">
      <c r="B177" s="113" t="n">
        <v>46205</v>
      </c>
      <c r="C177" s="114" t="inlineStr">
        <is>
          <t>รายจ่าย</t>
        </is>
      </c>
      <c r="D177" s="115" t="inlineStr">
        <is>
          <t>ค่าเดินทาง</t>
        </is>
      </c>
      <c r="E177" s="116" t="n">
        <v>1000</v>
      </c>
      <c r="F177" s="115" t="inlineStr">
        <is>
          <t>เติมเงินบัตร BTS/MRT</t>
        </is>
      </c>
      <c r="G177" s="117">
        <f>IF(COUNTA(B177:E177)=0,"",IF(COUNTA(B177:E177)&lt;4,"⚠ กรอกไม่ครบ",IF(NOT(ISNUMBER(B177)),"⚠ วันที่ไม่ถูกต้อง",IF(COUNTIFS(Setup!$L$6:$L$60,D177,Setup!$M$6:$M$60,C177)=0,"⚠ หมวดไม่ตรงประเภท","✓"))))</f>
        <v/>
      </c>
    </row>
    <row r="178">
      <c r="B178" s="113" t="n">
        <v>46206</v>
      </c>
      <c r="C178" s="114" t="inlineStr">
        <is>
          <t>รายจ่าย</t>
        </is>
      </c>
      <c r="D178" s="115" t="inlineStr">
        <is>
          <t>ค่าอาหาร</t>
        </is>
      </c>
      <c r="E178" s="116" t="n">
        <v>1950</v>
      </c>
      <c r="F178" s="115" t="inlineStr">
        <is>
          <t>ค่าอาหาร-กาแฟ สัปดาห์ที่ 1</t>
        </is>
      </c>
      <c r="G178" s="117">
        <f>IF(COUNTA(B178:E178)=0,"",IF(COUNTA(B178:E178)&lt;4,"⚠ กรอกไม่ครบ",IF(NOT(ISNUMBER(B178)),"⚠ วันที่ไม่ถูกต้อง",IF(COUNTIFS(Setup!$L$6:$L$60,D178,Setup!$M$6:$M$60,C178)=0,"⚠ หมวดไม่ตรงประเภท","✓"))))</f>
        <v/>
      </c>
    </row>
    <row r="179">
      <c r="B179" s="113" t="n">
        <v>46208</v>
      </c>
      <c r="C179" s="114" t="inlineStr">
        <is>
          <t>รายจ่าย</t>
        </is>
      </c>
      <c r="D179" s="115" t="inlineStr">
        <is>
          <t>ค่าน้ำ-ค่าไฟ</t>
        </is>
      </c>
      <c r="E179" s="116" t="n">
        <v>1150</v>
      </c>
      <c r="F179" s="115" t="inlineStr">
        <is>
          <t>ค่าไฟ + ค่าน้ำ</t>
        </is>
      </c>
      <c r="G179" s="117">
        <f>IF(COUNTA(B179:E179)=0,"",IF(COUNTA(B179:E179)&lt;4,"⚠ กรอกไม่ครบ",IF(NOT(ISNUMBER(B179)),"⚠ วันที่ไม่ถูกต้อง",IF(COUNTIFS(Setup!$L$6:$L$60,D179,Setup!$M$6:$M$60,C179)=0,"⚠ หมวดไม่ตรงประเภท","✓"))))</f>
        <v/>
      </c>
    </row>
    <row r="180">
      <c r="B180" s="113" t="n">
        <v>46211</v>
      </c>
      <c r="C180" s="114" t="inlineStr">
        <is>
          <t>รายจ่าย</t>
        </is>
      </c>
      <c r="D180" s="115" t="inlineStr">
        <is>
          <t>Subscription</t>
        </is>
      </c>
      <c r="E180" s="116" t="n">
        <v>419</v>
      </c>
      <c r="F180" s="115" t="inlineStr">
        <is>
          <t>Netflix</t>
        </is>
      </c>
      <c r="G180" s="117">
        <f>IF(COUNTA(B180:E180)=0,"",IF(COUNTA(B180:E180)&lt;4,"⚠ กรอกไม่ครบ",IF(NOT(ISNUMBER(B180)),"⚠ วันที่ไม่ถูกต้อง",IF(COUNTIFS(Setup!$L$6:$L$60,D180,Setup!$M$6:$M$60,C180)=0,"⚠ หมวดไม่ตรงประเภท","✓"))))</f>
        <v/>
      </c>
    </row>
    <row r="181">
      <c r="B181" s="113" t="n">
        <v>46212</v>
      </c>
      <c r="C181" s="114" t="inlineStr">
        <is>
          <t>รายจ่าย</t>
        </is>
      </c>
      <c r="D181" s="115" t="inlineStr">
        <is>
          <t>การศึกษา</t>
        </is>
      </c>
      <c r="E181" s="116" t="n">
        <v>650</v>
      </c>
      <c r="F181" s="115" t="inlineStr">
        <is>
          <t>ซื้อหนังสือ</t>
        </is>
      </c>
      <c r="G181" s="117">
        <f>IF(COUNTA(B181:E181)=0,"",IF(COUNTA(B181:E181)&lt;4,"⚠ กรอกไม่ครบ",IF(NOT(ISNUMBER(B181)),"⚠ วันที่ไม่ถูกต้อง",IF(COUNTIFS(Setup!$L$6:$L$60,D181,Setup!$M$6:$M$60,C181)=0,"⚠ หมวดไม่ตรงประเภท","✓"))))</f>
        <v/>
      </c>
    </row>
    <row r="182">
      <c r="B182" s="113" t="n">
        <v>46213</v>
      </c>
      <c r="C182" s="114" t="inlineStr">
        <is>
          <t>รายจ่าย</t>
        </is>
      </c>
      <c r="D182" s="115" t="inlineStr">
        <is>
          <t>ค่าโทรศัพท์/เน็ต</t>
        </is>
      </c>
      <c r="E182" s="116" t="n">
        <v>599</v>
      </c>
      <c r="F182" s="115" t="inlineStr">
        <is>
          <t>ค่าโทรศัพท์รายเดือน</t>
        </is>
      </c>
      <c r="G182" s="117">
        <f>IF(COUNTA(B182:E182)=0,"",IF(COUNTA(B182:E182)&lt;4,"⚠ กรอกไม่ครบ",IF(NOT(ISNUMBER(B182)),"⚠ วันที่ไม่ถูกต้อง",IF(COUNTIFS(Setup!$L$6:$L$60,D182,Setup!$M$6:$M$60,C182)=0,"⚠ หมวดไม่ตรงประเภท","✓"))))</f>
        <v/>
      </c>
    </row>
    <row r="183">
      <c r="B183" s="113" t="n">
        <v>46213</v>
      </c>
      <c r="C183" s="114" t="inlineStr">
        <is>
          <t>รายจ่าย</t>
        </is>
      </c>
      <c r="D183" s="115" t="inlineStr">
        <is>
          <t>ค่าอาหาร</t>
        </is>
      </c>
      <c r="E183" s="116" t="n">
        <v>1360</v>
      </c>
      <c r="F183" s="115" t="inlineStr">
        <is>
          <t>ค่าอาหาร-กาแฟ สัปดาห์ที่ 2</t>
        </is>
      </c>
      <c r="G183" s="117">
        <f>IF(COUNTA(B183:E183)=0,"",IF(COUNTA(B183:E183)&lt;4,"⚠ กรอกไม่ครบ",IF(NOT(ISNUMBER(B183)),"⚠ วันที่ไม่ถูกต้อง",IF(COUNTIFS(Setup!$L$6:$L$60,D183,Setup!$M$6:$M$60,C183)=0,"⚠ หมวดไม่ตรงประเภท","✓"))))</f>
        <v/>
      </c>
    </row>
    <row r="184">
      <c r="B184" s="113" t="n">
        <v>46213</v>
      </c>
      <c r="C184" s="114" t="inlineStr">
        <is>
          <t>รายจ่าย</t>
        </is>
      </c>
      <c r="D184" s="115" t="inlineStr">
        <is>
          <t>สุขภาพ/ยา</t>
        </is>
      </c>
      <c r="E184" s="116" t="n">
        <v>1580</v>
      </c>
      <c r="F184" s="115" t="inlineStr">
        <is>
          <t>ค่ายา/ร้านขายยา</t>
        </is>
      </c>
      <c r="G184" s="117">
        <f>IF(COUNTA(B184:E184)=0,"",IF(COUNTA(B184:E184)&lt;4,"⚠ กรอกไม่ครบ",IF(NOT(ISNUMBER(B184)),"⚠ วันที่ไม่ถูกต้อง",IF(COUNTIFS(Setup!$L$6:$L$60,D184,Setup!$M$6:$M$60,C184)=0,"⚠ หมวดไม่ตรงประเภท","✓"))))</f>
        <v/>
      </c>
    </row>
    <row r="185">
      <c r="B185" s="113" t="n">
        <v>46214</v>
      </c>
      <c r="C185" s="114" t="inlineStr">
        <is>
          <t>รายจ่าย</t>
        </is>
      </c>
      <c r="D185" s="115" t="inlineStr">
        <is>
          <t>ค่าเดินทาง</t>
        </is>
      </c>
      <c r="E185" s="116" t="n">
        <v>440</v>
      </c>
      <c r="F185" s="115" t="inlineStr">
        <is>
          <t>Grab / วินมอเตอร์ไซค์</t>
        </is>
      </c>
      <c r="G185" s="117">
        <f>IF(COUNTA(B185:E185)=0,"",IF(COUNTA(B185:E185)&lt;4,"⚠ กรอกไม่ครบ",IF(NOT(ISNUMBER(B185)),"⚠ วันที่ไม่ถูกต้อง",IF(COUNTIFS(Setup!$L$6:$L$60,D185,Setup!$M$6:$M$60,C185)=0,"⚠ หมวดไม่ตรงประเภท","✓"))))</f>
        <v/>
      </c>
    </row>
    <row r="186">
      <c r="B186" s="113" t="n">
        <v>46215</v>
      </c>
      <c r="C186" s="114" t="inlineStr">
        <is>
          <t>รายจ่าย</t>
        </is>
      </c>
      <c r="D186" s="115" t="inlineStr">
        <is>
          <t>ค่าโทรศัพท์/เน็ต</t>
        </is>
      </c>
      <c r="E186" s="116" t="n">
        <v>590</v>
      </c>
      <c r="F186" s="115" t="inlineStr">
        <is>
          <t>อินเทอร์เน็ตบ้าน</t>
        </is>
      </c>
      <c r="G186" s="117">
        <f>IF(COUNTA(B186:E186)=0,"",IF(COUNTA(B186:E186)&lt;4,"⚠ กรอกไม่ครบ",IF(NOT(ISNUMBER(B186)),"⚠ วันที่ไม่ถูกต้อง",IF(COUNTIFS(Setup!$L$6:$L$60,D186,Setup!$M$6:$M$60,C186)=0,"⚠ หมวดไม่ตรงประเภท","✓"))))</f>
        <v/>
      </c>
    </row>
    <row r="187">
      <c r="B187" s="113" t="n">
        <v>46216</v>
      </c>
      <c r="C187" s="114" t="inlineStr">
        <is>
          <t>รายจ่าย</t>
        </is>
      </c>
      <c r="D187" s="115" t="inlineStr">
        <is>
          <t>ของใช้ในบ้าน</t>
        </is>
      </c>
      <c r="E187" s="116" t="n">
        <v>690</v>
      </c>
      <c r="F187" s="115" t="inlineStr">
        <is>
          <t>ของใช้ในบ้าน/ห้องน้ำ</t>
        </is>
      </c>
      <c r="G187" s="117">
        <f>IF(COUNTA(B187:E187)=0,"",IF(COUNTA(B187:E187)&lt;4,"⚠ กรอกไม่ครบ",IF(NOT(ISNUMBER(B187)),"⚠ วันที่ไม่ถูกต้อง",IF(COUNTIFS(Setup!$L$6:$L$60,D187,Setup!$M$6:$M$60,C187)=0,"⚠ หมวดไม่ตรงประเภท","✓"))))</f>
        <v/>
      </c>
    </row>
    <row r="188">
      <c r="B188" s="113" t="n">
        <v>46218</v>
      </c>
      <c r="C188" s="114" t="inlineStr">
        <is>
          <t>รายจ่าย</t>
        </is>
      </c>
      <c r="D188" s="115" t="inlineStr">
        <is>
          <t>ผ่อนชำระ/หนี้</t>
        </is>
      </c>
      <c r="E188" s="116" t="n">
        <v>4200</v>
      </c>
      <c r="F188" s="115" t="inlineStr">
        <is>
          <t>ผ่อนโน้ตบุ๊ก 0% (10 งวด)</t>
        </is>
      </c>
      <c r="G188" s="117">
        <f>IF(COUNTA(B188:E188)=0,"",IF(COUNTA(B188:E188)&lt;4,"⚠ กรอกไม่ครบ",IF(NOT(ISNUMBER(B188)),"⚠ วันที่ไม่ถูกต้อง",IF(COUNTIFS(Setup!$L$6:$L$60,D188,Setup!$M$6:$M$60,C188)=0,"⚠ หมวดไม่ตรงประเภท","✓"))))</f>
        <v/>
      </c>
    </row>
    <row r="189">
      <c r="B189" s="113" t="n">
        <v>46218</v>
      </c>
      <c r="C189" s="114" t="inlineStr">
        <is>
          <t>รายจ่าย</t>
        </is>
      </c>
      <c r="D189" s="115" t="inlineStr">
        <is>
          <t>ค่าอาหาร</t>
        </is>
      </c>
      <c r="E189" s="116" t="n">
        <v>700</v>
      </c>
      <c r="F189" s="115" t="inlineStr">
        <is>
          <t>ปิ้งย่างกับเพื่อน</t>
        </is>
      </c>
      <c r="G189" s="117">
        <f>IF(COUNTA(B189:E189)=0,"",IF(COUNTA(B189:E189)&lt;4,"⚠ กรอกไม่ครบ",IF(NOT(ISNUMBER(B189)),"⚠ วันที่ไม่ถูกต้อง",IF(COUNTIFS(Setup!$L$6:$L$60,D189,Setup!$M$6:$M$60,C189)=0,"⚠ หมวดไม่ตรงประเภท","✓"))))</f>
        <v/>
      </c>
    </row>
    <row r="190">
      <c r="B190" s="113" t="n">
        <v>46220</v>
      </c>
      <c r="C190" s="114" t="inlineStr">
        <is>
          <t>รายจ่าย</t>
        </is>
      </c>
      <c r="D190" s="115" t="inlineStr">
        <is>
          <t>ค่าอาหาร</t>
        </is>
      </c>
      <c r="E190" s="116" t="n">
        <v>1960</v>
      </c>
      <c r="F190" s="115" t="inlineStr">
        <is>
          <t>ค่าอาหาร-กาแฟ สัปดาห์ที่ 3</t>
        </is>
      </c>
      <c r="G190" s="117">
        <f>IF(COUNTA(B190:E190)=0,"",IF(COUNTA(B190:E190)&lt;4,"⚠ กรอกไม่ครบ",IF(NOT(ISNUMBER(B190)),"⚠ วันที่ไม่ถูกต้อง",IF(COUNTIFS(Setup!$L$6:$L$60,D190,Setup!$M$6:$M$60,C190)=0,"⚠ หมวดไม่ตรงประเภท","✓"))))</f>
        <v/>
      </c>
    </row>
    <row r="191">
      <c r="B191" s="113" t="n">
        <v>46220</v>
      </c>
      <c r="C191" s="114" t="inlineStr">
        <is>
          <t>รายจ่าย</t>
        </is>
      </c>
      <c r="D191" s="115" t="inlineStr">
        <is>
          <t>ทำบุญ/บริจาค</t>
        </is>
      </c>
      <c r="E191" s="116" t="n">
        <v>200</v>
      </c>
      <c r="F191" s="115" t="inlineStr">
        <is>
          <t>ทำบุญ/บริจาค</t>
        </is>
      </c>
      <c r="G191" s="117">
        <f>IF(COUNTA(B191:E191)=0,"",IF(COUNTA(B191:E191)&lt;4,"⚠ กรอกไม่ครบ",IF(NOT(ISNUMBER(B191)),"⚠ วันที่ไม่ถูกต้อง",IF(COUNTIFS(Setup!$L$6:$L$60,D191,Setup!$M$6:$M$60,C191)=0,"⚠ หมวดไม่ตรงประเภท","✓"))))</f>
        <v/>
      </c>
    </row>
    <row r="192">
      <c r="B192" s="113" t="n">
        <v>46222</v>
      </c>
      <c r="C192" s="114" t="inlineStr">
        <is>
          <t>รายรับ</t>
        </is>
      </c>
      <c r="D192" s="115" t="inlineStr">
        <is>
          <t>ฟรีแลนซ์/งานเสริม</t>
        </is>
      </c>
      <c r="E192" s="116" t="n">
        <v>5000</v>
      </c>
      <c r="F192" s="115" t="inlineStr">
        <is>
          <t>รับเขียนคอนเทนต์</t>
        </is>
      </c>
      <c r="G192" s="117">
        <f>IF(COUNTA(B192:E192)=0,"",IF(COUNTA(B192:E192)&lt;4,"⚠ กรอกไม่ครบ",IF(NOT(ISNUMBER(B192)),"⚠ วันที่ไม่ถูกต้อง",IF(COUNTIFS(Setup!$L$6:$L$60,D192,Setup!$M$6:$M$60,C192)=0,"⚠ หมวดไม่ตรงประเภท","✓"))))</f>
        <v/>
      </c>
    </row>
    <row r="193">
      <c r="B193" s="113" t="n">
        <v>46223</v>
      </c>
      <c r="C193" s="114" t="inlineStr">
        <is>
          <t>รายจ่าย</t>
        </is>
      </c>
      <c r="D193" s="115" t="inlineStr">
        <is>
          <t>Subscription</t>
        </is>
      </c>
      <c r="E193" s="116" t="n">
        <v>149</v>
      </c>
      <c r="F193" s="115" t="inlineStr">
        <is>
          <t>Spotify</t>
        </is>
      </c>
      <c r="G193" s="117">
        <f>IF(COUNTA(B193:E193)=0,"",IF(COUNTA(B193:E193)&lt;4,"⚠ กรอกไม่ครบ",IF(NOT(ISNUMBER(B193)),"⚠ วันที่ไม่ถูกต้อง",IF(COUNTIFS(Setup!$L$6:$L$60,D193,Setup!$M$6:$M$60,C193)=0,"⚠ หมวดไม่ตรงประเภท","✓"))))</f>
        <v/>
      </c>
    </row>
    <row r="194">
      <c r="B194" s="113" t="n">
        <v>46224</v>
      </c>
      <c r="C194" s="114" t="inlineStr">
        <is>
          <t>รายจ่าย</t>
        </is>
      </c>
      <c r="D194" s="115" t="inlineStr">
        <is>
          <t>ค่าเดินทาง</t>
        </is>
      </c>
      <c r="E194" s="116" t="n">
        <v>1100</v>
      </c>
      <c r="F194" s="115" t="inlineStr">
        <is>
          <t>เติมน้ำมัน</t>
        </is>
      </c>
      <c r="G194" s="117">
        <f>IF(COUNTA(B194:E194)=0,"",IF(COUNTA(B194:E194)&lt;4,"⚠ กรอกไม่ครบ",IF(NOT(ISNUMBER(B194)),"⚠ วันที่ไม่ถูกต้อง",IF(COUNTIFS(Setup!$L$6:$L$60,D194,Setup!$M$6:$M$60,C194)=0,"⚠ หมวดไม่ตรงประเภท","✓"))))</f>
        <v/>
      </c>
    </row>
    <row r="195">
      <c r="B195" s="113" t="n">
        <v>46224</v>
      </c>
      <c r="C195" s="114" t="inlineStr">
        <is>
          <t>รายจ่าย</t>
        </is>
      </c>
      <c r="D195" s="115" t="inlineStr">
        <is>
          <t>ช้อปปิ้ง</t>
        </is>
      </c>
      <c r="E195" s="116" t="n">
        <v>1500</v>
      </c>
      <c r="F195" s="115" t="inlineStr">
        <is>
          <t>อุปกรณ์ไอที</t>
        </is>
      </c>
      <c r="G195" s="117">
        <f>IF(COUNTA(B195:E195)=0,"",IF(COUNTA(B195:E195)&lt;4,"⚠ กรอกไม่ครบ",IF(NOT(ISNUMBER(B195)),"⚠ วันที่ไม่ถูกต้อง",IF(COUNTIFS(Setup!$L$6:$L$60,D195,Setup!$M$6:$M$60,C195)=0,"⚠ หมวดไม่ตรงประเภท","✓"))))</f>
        <v/>
      </c>
    </row>
    <row r="196">
      <c r="B196" s="113" t="n">
        <v>46225</v>
      </c>
      <c r="C196" s="114" t="inlineStr">
        <is>
          <t>รายจ่าย</t>
        </is>
      </c>
      <c r="D196" s="115" t="inlineStr">
        <is>
          <t>สังสรรค์/บันเทิง</t>
        </is>
      </c>
      <c r="E196" s="116" t="n">
        <v>430</v>
      </c>
      <c r="F196" s="115" t="inlineStr">
        <is>
          <t>ดูหนัง</t>
        </is>
      </c>
      <c r="G196" s="117">
        <f>IF(COUNTA(B196:E196)=0,"",IF(COUNTA(B196:E196)&lt;4,"⚠ กรอกไม่ครบ",IF(NOT(ISNUMBER(B196)),"⚠ วันที่ไม่ถูกต้อง",IF(COUNTIFS(Setup!$L$6:$L$60,D196,Setup!$M$6:$M$60,C196)=0,"⚠ หมวดไม่ตรงประเภท","✓"))))</f>
        <v/>
      </c>
    </row>
    <row r="197">
      <c r="B197" s="113" t="n">
        <v>46227</v>
      </c>
      <c r="C197" s="114" t="inlineStr">
        <is>
          <t>รายจ่าย</t>
        </is>
      </c>
      <c r="D197" s="115" t="inlineStr">
        <is>
          <t>ค่าอาหาร</t>
        </is>
      </c>
      <c r="E197" s="116" t="n">
        <v>1840</v>
      </c>
      <c r="F197" s="115" t="inlineStr">
        <is>
          <t>ค่าอาหาร-กาแฟ สัปดาห์ที่ 4</t>
        </is>
      </c>
      <c r="G197" s="117">
        <f>IF(COUNTA(B197:E197)=0,"",IF(COUNTA(B197:E197)&lt;4,"⚠ กรอกไม่ครบ",IF(NOT(ISNUMBER(B197)),"⚠ วันที่ไม่ถูกต้อง",IF(COUNTIFS(Setup!$L$6:$L$60,D197,Setup!$M$6:$M$60,C197)=0,"⚠ หมวดไม่ตรงประเภท","✓"))))</f>
        <v/>
      </c>
    </row>
    <row r="198">
      <c r="B198" s="113" t="n">
        <v>46228</v>
      </c>
      <c r="C198" s="114" t="inlineStr">
        <is>
          <t>รายรับ</t>
        </is>
      </c>
      <c r="D198" s="115" t="inlineStr">
        <is>
          <t>เงินเดือน</t>
        </is>
      </c>
      <c r="E198" s="116" t="n">
        <v>42000</v>
      </c>
      <c r="F198" s="115" t="inlineStr">
        <is>
          <t>เงินเดือนประจำเดือน</t>
        </is>
      </c>
      <c r="G198" s="117">
        <f>IF(COUNTA(B198:E198)=0,"",IF(COUNTA(B198:E198)&lt;4,"⚠ กรอกไม่ครบ",IF(NOT(ISNUMBER(B198)),"⚠ วันที่ไม่ถูกต้อง",IF(COUNTIFS(Setup!$L$6:$L$60,D198,Setup!$M$6:$M$60,C198)=0,"⚠ หมวดไม่ตรงประเภท","✓"))))</f>
        <v/>
      </c>
    </row>
    <row r="199">
      <c r="B199" s="113" t="n">
        <v>46228</v>
      </c>
      <c r="C199" s="114" t="inlineStr">
        <is>
          <t>รายรับ</t>
        </is>
      </c>
      <c r="D199" s="115" t="inlineStr">
        <is>
          <t>ค่าล่วงเวลา (OT)</t>
        </is>
      </c>
      <c r="E199" s="116" t="n">
        <v>4600</v>
      </c>
      <c r="F199" s="115" t="inlineStr">
        <is>
          <t>ค่า OT ทำงานวันหยุด</t>
        </is>
      </c>
      <c r="G199" s="117">
        <f>IF(COUNTA(B199:E199)=0,"",IF(COUNTA(B199:E199)&lt;4,"⚠ กรอกไม่ครบ",IF(NOT(ISNUMBER(B199)),"⚠ วันที่ไม่ถูกต้อง",IF(COUNTIFS(Setup!$L$6:$L$60,D199,Setup!$M$6:$M$60,C199)=0,"⚠ หมวดไม่ตรงประเภท","✓"))))</f>
        <v/>
      </c>
    </row>
    <row r="200">
      <c r="B200" s="113" t="n">
        <v>46229</v>
      </c>
      <c r="C200" s="114" t="inlineStr">
        <is>
          <t>รายจ่าย</t>
        </is>
      </c>
      <c r="D200" s="115" t="inlineStr">
        <is>
          <t>ให้ครอบครัว</t>
        </is>
      </c>
      <c r="E200" s="116" t="n">
        <v>5000</v>
      </c>
      <c r="F200" s="115" t="inlineStr">
        <is>
          <t>ส่งเงินให้พ่อแม่</t>
        </is>
      </c>
      <c r="G200" s="117">
        <f>IF(COUNTA(B200:E200)=0,"",IF(COUNTA(B200:E200)&lt;4,"⚠ กรอกไม่ครบ",IF(NOT(ISNUMBER(B200)),"⚠ วันที่ไม่ถูกต้อง",IF(COUNTIFS(Setup!$L$6:$L$60,D200,Setup!$M$6:$M$60,C200)=0,"⚠ หมวดไม่ตรงประเภท","✓"))))</f>
        <v/>
      </c>
    </row>
    <row r="201">
      <c r="B201" s="113" t="n">
        <v>46229</v>
      </c>
      <c r="C201" s="114" t="inlineStr">
        <is>
          <t>เงินออม</t>
        </is>
      </c>
      <c r="D201" s="115" t="inlineStr">
        <is>
          <t>เงินฝากออมทรัพย์</t>
        </is>
      </c>
      <c r="E201" s="116" t="n">
        <v>3000</v>
      </c>
      <c r="F201" s="115" t="inlineStr">
        <is>
          <t>ฝากออมประจำเดือน</t>
        </is>
      </c>
      <c r="G201" s="117">
        <f>IF(COUNTA(B201:E201)=0,"",IF(COUNTA(B201:E201)&lt;4,"⚠ กรอกไม่ครบ",IF(NOT(ISNUMBER(B201)),"⚠ วันที่ไม่ถูกต้อง",IF(COUNTIFS(Setup!$L$6:$L$60,D201,Setup!$M$6:$M$60,C201)=0,"⚠ หมวดไม่ตรงประเภท","✓"))))</f>
        <v/>
      </c>
    </row>
    <row r="202">
      <c r="B202" s="113" t="n">
        <v>46229</v>
      </c>
      <c r="C202" s="114" t="inlineStr">
        <is>
          <t>เงินออม</t>
        </is>
      </c>
      <c r="D202" s="115" t="inlineStr">
        <is>
          <t>เงินสำรองฉุกเฉิน</t>
        </is>
      </c>
      <c r="E202" s="116" t="n">
        <v>2000</v>
      </c>
      <c r="F202" s="115" t="inlineStr">
        <is>
          <t>เติมเงินสำรองฉุกเฉิน</t>
        </is>
      </c>
      <c r="G202" s="117">
        <f>IF(COUNTA(B202:E202)=0,"",IF(COUNTA(B202:E202)&lt;4,"⚠ กรอกไม่ครบ",IF(NOT(ISNUMBER(B202)),"⚠ วันที่ไม่ถูกต้อง",IF(COUNTIFS(Setup!$L$6:$L$60,D202,Setup!$M$6:$M$60,C202)=0,"⚠ หมวดไม่ตรงประเภท","✓"))))</f>
        <v/>
      </c>
    </row>
    <row r="203">
      <c r="B203" s="113" t="n">
        <v>46230</v>
      </c>
      <c r="C203" s="114" t="inlineStr">
        <is>
          <t>เงินออม</t>
        </is>
      </c>
      <c r="D203" s="115" t="inlineStr">
        <is>
          <t>กองทุน SSF/RMF</t>
        </is>
      </c>
      <c r="E203" s="116" t="n">
        <v>2500</v>
      </c>
      <c r="F203" s="115" t="inlineStr">
        <is>
          <t>DCA กองทุนลดหย่อนภาษี</t>
        </is>
      </c>
      <c r="G203" s="117">
        <f>IF(COUNTA(B203:E203)=0,"",IF(COUNTA(B203:E203)&lt;4,"⚠ กรอกไม่ครบ",IF(NOT(ISNUMBER(B203)),"⚠ วันที่ไม่ถูกต้อง",IF(COUNTIFS(Setup!$L$6:$L$60,D203,Setup!$M$6:$M$60,C203)=0,"⚠ หมวดไม่ตรงประเภท","✓"))))</f>
        <v/>
      </c>
    </row>
    <row r="204">
      <c r="B204" s="113" t="n">
        <v>46231</v>
      </c>
      <c r="C204" s="114" t="inlineStr">
        <is>
          <t>เงินออม</t>
        </is>
      </c>
      <c r="D204" s="115" t="inlineStr">
        <is>
          <t>ออมทอง</t>
        </is>
      </c>
      <c r="E204" s="116" t="n">
        <v>1000</v>
      </c>
      <c r="F204" s="115" t="inlineStr">
        <is>
          <t>ออมทองรายเดือน</t>
        </is>
      </c>
      <c r="G204" s="117">
        <f>IF(COUNTA(B204:E204)=0,"",IF(COUNTA(B204:E204)&lt;4,"⚠ กรอกไม่ครบ",IF(NOT(ISNUMBER(B204)),"⚠ วันที่ไม่ถูกต้อง",IF(COUNTIFS(Setup!$L$6:$L$60,D204,Setup!$M$6:$M$60,C204)=0,"⚠ หมวดไม่ตรงประเภท","✓"))))</f>
        <v/>
      </c>
    </row>
    <row r="205">
      <c r="B205" s="113" t="n">
        <v>46235</v>
      </c>
      <c r="C205" s="114" t="inlineStr">
        <is>
          <t>รายจ่าย</t>
        </is>
      </c>
      <c r="D205" s="115" t="inlineStr">
        <is>
          <t>ค่าที่พัก/ค่าเช่า</t>
        </is>
      </c>
      <c r="E205" s="116" t="n">
        <v>8500</v>
      </c>
      <c r="F205" s="115" t="inlineStr">
        <is>
          <t>ค่าเช่าคอนโด</t>
        </is>
      </c>
      <c r="G205" s="117">
        <f>IF(COUNTA(B205:E205)=0,"",IF(COUNTA(B205:E205)&lt;4,"⚠ กรอกไม่ครบ",IF(NOT(ISNUMBER(B205)),"⚠ วันที่ไม่ถูกต้อง",IF(COUNTIFS(Setup!$L$6:$L$60,D205,Setup!$M$6:$M$60,C205)=0,"⚠ หมวดไม่ตรงประเภท","✓"))))</f>
        <v/>
      </c>
    </row>
    <row r="206">
      <c r="B206" s="113" t="n">
        <v>46236</v>
      </c>
      <c r="C206" s="114" t="inlineStr">
        <is>
          <t>รายจ่าย</t>
        </is>
      </c>
      <c r="D206" s="115" t="inlineStr">
        <is>
          <t>ค่าเดินทาง</t>
        </is>
      </c>
      <c r="E206" s="116" t="n">
        <v>900</v>
      </c>
      <c r="F206" s="115" t="inlineStr">
        <is>
          <t>เติมเงินบัตร BTS/MRT</t>
        </is>
      </c>
      <c r="G206" s="117">
        <f>IF(COUNTA(B206:E206)=0,"",IF(COUNTA(B206:E206)&lt;4,"⚠ กรอกไม่ครบ",IF(NOT(ISNUMBER(B206)),"⚠ วันที่ไม่ถูกต้อง",IF(COUNTIFS(Setup!$L$6:$L$60,D206,Setup!$M$6:$M$60,C206)=0,"⚠ หมวดไม่ตรงประเภท","✓"))))</f>
        <v/>
      </c>
    </row>
    <row r="207">
      <c r="B207" s="113" t="n">
        <v>46237</v>
      </c>
      <c r="C207" s="114" t="inlineStr">
        <is>
          <t>รายจ่าย</t>
        </is>
      </c>
      <c r="D207" s="115" t="inlineStr">
        <is>
          <t>ค่าอาหาร</t>
        </is>
      </c>
      <c r="E207" s="116" t="n">
        <v>1610</v>
      </c>
      <c r="F207" s="115" t="inlineStr">
        <is>
          <t>ค่าอาหาร-กาแฟ สัปดาห์ที่ 1</t>
        </is>
      </c>
      <c r="G207" s="117">
        <f>IF(COUNTA(B207:E207)=0,"",IF(COUNTA(B207:E207)&lt;4,"⚠ กรอกไม่ครบ",IF(NOT(ISNUMBER(B207)),"⚠ วันที่ไม่ถูกต้อง",IF(COUNTIFS(Setup!$L$6:$L$60,D207,Setup!$M$6:$M$60,C207)=0,"⚠ หมวดไม่ตรงประเภท","✓"))))</f>
        <v/>
      </c>
    </row>
    <row r="208">
      <c r="B208" s="113" t="n">
        <v>46239</v>
      </c>
      <c r="C208" s="114" t="inlineStr">
        <is>
          <t>รายจ่าย</t>
        </is>
      </c>
      <c r="D208" s="115" t="inlineStr">
        <is>
          <t>ค่าน้ำ-ค่าไฟ</t>
        </is>
      </c>
      <c r="E208" s="116" t="n">
        <v>1150</v>
      </c>
      <c r="F208" s="115" t="inlineStr">
        <is>
          <t>ค่าไฟ + ค่าน้ำ</t>
        </is>
      </c>
      <c r="G208" s="117">
        <f>IF(COUNTA(B208:E208)=0,"",IF(COUNTA(B208:E208)&lt;4,"⚠ กรอกไม่ครบ",IF(NOT(ISNUMBER(B208)),"⚠ วันที่ไม่ถูกต้อง",IF(COUNTIFS(Setup!$L$6:$L$60,D208,Setup!$M$6:$M$60,C208)=0,"⚠ หมวดไม่ตรงประเภท","✓"))))</f>
        <v/>
      </c>
    </row>
    <row r="209">
      <c r="B209" s="113" t="n">
        <v>46242</v>
      </c>
      <c r="C209" s="114" t="inlineStr">
        <is>
          <t>รายจ่าย</t>
        </is>
      </c>
      <c r="D209" s="115" t="inlineStr">
        <is>
          <t>Subscription</t>
        </is>
      </c>
      <c r="E209" s="116" t="n">
        <v>419</v>
      </c>
      <c r="F209" s="115" t="inlineStr">
        <is>
          <t>Netflix</t>
        </is>
      </c>
      <c r="G209" s="117">
        <f>IF(COUNTA(B209:E209)=0,"",IF(COUNTA(B209:E209)&lt;4,"⚠ กรอกไม่ครบ",IF(NOT(ISNUMBER(B209)),"⚠ วันที่ไม่ถูกต้อง",IF(COUNTIFS(Setup!$L$6:$L$60,D209,Setup!$M$6:$M$60,C209)=0,"⚠ หมวดไม่ตรงประเภท","✓"))))</f>
        <v/>
      </c>
    </row>
    <row r="210">
      <c r="B210" s="113" t="n">
        <v>46243</v>
      </c>
      <c r="C210" s="114" t="inlineStr">
        <is>
          <t>รายจ่าย</t>
        </is>
      </c>
      <c r="D210" s="115" t="inlineStr">
        <is>
          <t>ค่าอาหาร</t>
        </is>
      </c>
      <c r="E210" s="116" t="n">
        <v>1230</v>
      </c>
      <c r="F210" s="115" t="inlineStr">
        <is>
          <t>ปิ้งย่างกับเพื่อน</t>
        </is>
      </c>
      <c r="G210" s="117">
        <f>IF(COUNTA(B210:E210)=0,"",IF(COUNTA(B210:E210)&lt;4,"⚠ กรอกไม่ครบ",IF(NOT(ISNUMBER(B210)),"⚠ วันที่ไม่ถูกต้อง",IF(COUNTIFS(Setup!$L$6:$L$60,D210,Setup!$M$6:$M$60,C210)=0,"⚠ หมวดไม่ตรงประเภท","✓"))))</f>
        <v/>
      </c>
    </row>
    <row r="211">
      <c r="B211" s="113" t="n">
        <v>46244</v>
      </c>
      <c r="C211" s="114" t="inlineStr">
        <is>
          <t>รายจ่าย</t>
        </is>
      </c>
      <c r="D211" s="115" t="inlineStr">
        <is>
          <t>ค่าโทรศัพท์/เน็ต</t>
        </is>
      </c>
      <c r="E211" s="116" t="n">
        <v>599</v>
      </c>
      <c r="F211" s="115" t="inlineStr">
        <is>
          <t>ค่าโทรศัพท์รายเดือน</t>
        </is>
      </c>
      <c r="G211" s="117">
        <f>IF(COUNTA(B211:E211)=0,"",IF(COUNTA(B211:E211)&lt;4,"⚠ กรอกไม่ครบ",IF(NOT(ISNUMBER(B211)),"⚠ วันที่ไม่ถูกต้อง",IF(COUNTIFS(Setup!$L$6:$L$60,D211,Setup!$M$6:$M$60,C211)=0,"⚠ หมวดไม่ตรงประเภท","✓"))))</f>
        <v/>
      </c>
    </row>
    <row r="212">
      <c r="B212" s="113" t="n">
        <v>46244</v>
      </c>
      <c r="C212" s="114" t="inlineStr">
        <is>
          <t>รายจ่าย</t>
        </is>
      </c>
      <c r="D212" s="115" t="inlineStr">
        <is>
          <t>ค่าอาหาร</t>
        </is>
      </c>
      <c r="E212" s="116" t="n">
        <v>1580</v>
      </c>
      <c r="F212" s="115" t="inlineStr">
        <is>
          <t>ค่าอาหาร-กาแฟ สัปดาห์ที่ 2</t>
        </is>
      </c>
      <c r="G212" s="117">
        <f>IF(COUNTA(B212:E212)=0,"",IF(COUNTA(B212:E212)&lt;4,"⚠ กรอกไม่ครบ",IF(NOT(ISNUMBER(B212)),"⚠ วันที่ไม่ถูกต้อง",IF(COUNTIFS(Setup!$L$6:$L$60,D212,Setup!$M$6:$M$60,C212)=0,"⚠ หมวดไม่ตรงประเภท","✓"))))</f>
        <v/>
      </c>
    </row>
    <row r="213">
      <c r="B213" s="113" t="n">
        <v>46245</v>
      </c>
      <c r="C213" s="114" t="inlineStr">
        <is>
          <t>รายจ่าย</t>
        </is>
      </c>
      <c r="D213" s="115" t="inlineStr">
        <is>
          <t>ช้อปปิ้ง</t>
        </is>
      </c>
      <c r="E213" s="116" t="n">
        <v>1560</v>
      </c>
      <c r="F213" s="115" t="inlineStr">
        <is>
          <t>ของแต่งห้อง</t>
        </is>
      </c>
      <c r="G213" s="117">
        <f>IF(COUNTA(B213:E213)=0,"",IF(COUNTA(B213:E213)&lt;4,"⚠ กรอกไม่ครบ",IF(NOT(ISNUMBER(B213)),"⚠ วันที่ไม่ถูกต้อง",IF(COUNTIFS(Setup!$L$6:$L$60,D213,Setup!$M$6:$M$60,C213)=0,"⚠ หมวดไม่ตรงประเภท","✓"))))</f>
        <v/>
      </c>
    </row>
    <row r="214">
      <c r="B214" s="113" t="n">
        <v>46246</v>
      </c>
      <c r="C214" s="114" t="inlineStr">
        <is>
          <t>รายรับ</t>
        </is>
      </c>
      <c r="D214" s="115" t="inlineStr">
        <is>
          <t>ขายของออนไลน์</t>
        </is>
      </c>
      <c r="E214" s="116" t="n">
        <v>2400</v>
      </c>
      <c r="F214" s="115" t="inlineStr">
        <is>
          <t>ขายของมือสองใน Marketplace</t>
        </is>
      </c>
      <c r="G214" s="117">
        <f>IF(COUNTA(B214:E214)=0,"",IF(COUNTA(B214:E214)&lt;4,"⚠ กรอกไม่ครบ",IF(NOT(ISNUMBER(B214)),"⚠ วันที่ไม่ถูกต้อง",IF(COUNTIFS(Setup!$L$6:$L$60,D214,Setup!$M$6:$M$60,C214)=0,"⚠ หมวดไม่ตรงประเภท","✓"))))</f>
        <v/>
      </c>
    </row>
    <row r="215">
      <c r="B215" s="113" t="n">
        <v>46246</v>
      </c>
      <c r="C215" s="114" t="inlineStr">
        <is>
          <t>รายจ่าย</t>
        </is>
      </c>
      <c r="D215" s="115" t="inlineStr">
        <is>
          <t>ค่าโทรศัพท์/เน็ต</t>
        </is>
      </c>
      <c r="E215" s="116" t="n">
        <v>590</v>
      </c>
      <c r="F215" s="115" t="inlineStr">
        <is>
          <t>อินเทอร์เน็ตบ้าน</t>
        </is>
      </c>
      <c r="G215" s="117">
        <f>IF(COUNTA(B215:E215)=0,"",IF(COUNTA(B215:E215)&lt;4,"⚠ กรอกไม่ครบ",IF(NOT(ISNUMBER(B215)),"⚠ วันที่ไม่ถูกต้อง",IF(COUNTIFS(Setup!$L$6:$L$60,D215,Setup!$M$6:$M$60,C215)=0,"⚠ หมวดไม่ตรงประเภท","✓"))))</f>
        <v/>
      </c>
    </row>
    <row r="216">
      <c r="B216" s="113" t="n">
        <v>46247</v>
      </c>
      <c r="C216" s="114" t="inlineStr">
        <is>
          <t>รายรับ</t>
        </is>
      </c>
      <c r="D216" s="115" t="inlineStr">
        <is>
          <t>ฟรีแลนซ์/งานเสริม</t>
        </is>
      </c>
      <c r="E216" s="116" t="n">
        <v>8500</v>
      </c>
      <c r="F216" s="115" t="inlineStr">
        <is>
          <t>งานออกแบบโลโก้</t>
        </is>
      </c>
      <c r="G216" s="117">
        <f>IF(COUNTA(B216:E216)=0,"",IF(COUNTA(B216:E216)&lt;4,"⚠ กรอกไม่ครบ",IF(NOT(ISNUMBER(B216)),"⚠ วันที่ไม่ถูกต้อง",IF(COUNTIFS(Setup!$L$6:$L$60,D216,Setup!$M$6:$M$60,C216)=0,"⚠ หมวดไม่ตรงประเภท","✓"))))</f>
        <v/>
      </c>
    </row>
    <row r="217">
      <c r="B217" s="113" t="n">
        <v>46247</v>
      </c>
      <c r="C217" s="114" t="inlineStr">
        <is>
          <t>รายจ่าย</t>
        </is>
      </c>
      <c r="D217" s="115" t="inlineStr">
        <is>
          <t>ของใช้ในบ้าน</t>
        </is>
      </c>
      <c r="E217" s="116" t="n">
        <v>960</v>
      </c>
      <c r="F217" s="115" t="inlineStr">
        <is>
          <t>ของใช้ในบ้าน/ห้องน้ำ</t>
        </is>
      </c>
      <c r="G217" s="117">
        <f>IF(COUNTA(B217:E217)=0,"",IF(COUNTA(B217:E217)&lt;4,"⚠ กรอกไม่ครบ",IF(NOT(ISNUMBER(B217)),"⚠ วันที่ไม่ถูกต้อง",IF(COUNTIFS(Setup!$L$6:$L$60,D217,Setup!$M$6:$M$60,C217)=0,"⚠ หมวดไม่ตรงประเภท","✓"))))</f>
        <v/>
      </c>
    </row>
    <row r="218">
      <c r="B218" s="113" t="n">
        <v>46249</v>
      </c>
      <c r="C218" s="114" t="inlineStr">
        <is>
          <t>รายจ่าย</t>
        </is>
      </c>
      <c r="D218" s="115" t="inlineStr">
        <is>
          <t>ผ่อนชำระ/หนี้</t>
        </is>
      </c>
      <c r="E218" s="116" t="n">
        <v>4200</v>
      </c>
      <c r="F218" s="115" t="inlineStr">
        <is>
          <t>ผ่อนโน้ตบุ๊ก 0% (10 งวด)</t>
        </is>
      </c>
      <c r="G218" s="117">
        <f>IF(COUNTA(B218:E218)=0,"",IF(COUNTA(B218:E218)&lt;4,"⚠ กรอกไม่ครบ",IF(NOT(ISNUMBER(B218)),"⚠ วันที่ไม่ถูกต้อง",IF(COUNTIFS(Setup!$L$6:$L$60,D218,Setup!$M$6:$M$60,C218)=0,"⚠ หมวดไม่ตรงประเภท","✓"))))</f>
        <v/>
      </c>
    </row>
    <row r="219">
      <c r="B219" s="113" t="n">
        <v>46250</v>
      </c>
      <c r="C219" s="114" t="inlineStr">
        <is>
          <t>รายจ่าย</t>
        </is>
      </c>
      <c r="D219" s="115" t="inlineStr">
        <is>
          <t>ท่องเที่ยว</t>
        </is>
      </c>
      <c r="E219" s="116" t="n">
        <v>6500</v>
      </c>
      <c r="F219" s="115" t="inlineStr">
        <is>
          <t>เที่ยวหัวหิน</t>
        </is>
      </c>
      <c r="G219" s="117">
        <f>IF(COUNTA(B219:E219)=0,"",IF(COUNTA(B219:E219)&lt;4,"⚠ กรอกไม่ครบ",IF(NOT(ISNUMBER(B219)),"⚠ วันที่ไม่ถูกต้อง",IF(COUNTIFS(Setup!$L$6:$L$60,D219,Setup!$M$6:$M$60,C219)=0,"⚠ หมวดไม่ตรงประเภท","✓"))))</f>
        <v/>
      </c>
    </row>
    <row r="220">
      <c r="B220" s="113" t="n">
        <v>46251</v>
      </c>
      <c r="C220" s="114" t="inlineStr">
        <is>
          <t>รายจ่าย</t>
        </is>
      </c>
      <c r="D220" s="115" t="inlineStr">
        <is>
          <t>ค่าอาหาร</t>
        </is>
      </c>
      <c r="E220" s="116" t="n">
        <v>1770</v>
      </c>
      <c r="F220" s="115" t="inlineStr">
        <is>
          <t>ค่าอาหาร-กาแฟ สัปดาห์ที่ 3</t>
        </is>
      </c>
      <c r="G220" s="117">
        <f>IF(COUNTA(B220:E220)=0,"",IF(COUNTA(B220:E220)&lt;4,"⚠ กรอกไม่ครบ",IF(NOT(ISNUMBER(B220)),"⚠ วันที่ไม่ถูกต้อง",IF(COUNTIFS(Setup!$L$6:$L$60,D220,Setup!$M$6:$M$60,C220)=0,"⚠ หมวดไม่ตรงประเภท","✓"))))</f>
        <v/>
      </c>
    </row>
    <row r="221">
      <c r="B221" s="113" t="n">
        <v>46252</v>
      </c>
      <c r="C221" s="114" t="inlineStr">
        <is>
          <t>รายจ่าย</t>
        </is>
      </c>
      <c r="D221" s="115" t="inlineStr">
        <is>
          <t>ค่าเดินทาง</t>
        </is>
      </c>
      <c r="E221" s="116" t="n">
        <v>400</v>
      </c>
      <c r="F221" s="115" t="inlineStr">
        <is>
          <t>Grab / วินมอเตอร์ไซค์</t>
        </is>
      </c>
      <c r="G221" s="117">
        <f>IF(COUNTA(B221:E221)=0,"",IF(COUNTA(B221:E221)&lt;4,"⚠ กรอกไม่ครบ",IF(NOT(ISNUMBER(B221)),"⚠ วันที่ไม่ถูกต้อง",IF(COUNTIFS(Setup!$L$6:$L$60,D221,Setup!$M$6:$M$60,C221)=0,"⚠ หมวดไม่ตรงประเภท","✓"))))</f>
        <v/>
      </c>
    </row>
    <row r="222">
      <c r="B222" s="113" t="n">
        <v>46254</v>
      </c>
      <c r="C222" s="114" t="inlineStr">
        <is>
          <t>รายจ่าย</t>
        </is>
      </c>
      <c r="D222" s="115" t="inlineStr">
        <is>
          <t>Subscription</t>
        </is>
      </c>
      <c r="E222" s="116" t="n">
        <v>149</v>
      </c>
      <c r="F222" s="115" t="inlineStr">
        <is>
          <t>Spotify</t>
        </is>
      </c>
      <c r="G222" s="117">
        <f>IF(COUNTA(B222:E222)=0,"",IF(COUNTA(B222:E222)&lt;4,"⚠ กรอกไม่ครบ",IF(NOT(ISNUMBER(B222)),"⚠ วันที่ไม่ถูกต้อง",IF(COUNTIFS(Setup!$L$6:$L$60,D222,Setup!$M$6:$M$60,C222)=0,"⚠ หมวดไม่ตรงประเภท","✓"))))</f>
        <v/>
      </c>
    </row>
    <row r="223">
      <c r="B223" s="113" t="n">
        <v>46255</v>
      </c>
      <c r="C223" s="114" t="inlineStr">
        <is>
          <t>รายจ่าย</t>
        </is>
      </c>
      <c r="D223" s="115" t="inlineStr">
        <is>
          <t>ค่าเดินทาง</t>
        </is>
      </c>
      <c r="E223" s="116" t="n">
        <v>690</v>
      </c>
      <c r="F223" s="115" t="inlineStr">
        <is>
          <t>เติมน้ำมัน</t>
        </is>
      </c>
      <c r="G223" s="117">
        <f>IF(COUNTA(B223:E223)=0,"",IF(COUNTA(B223:E223)&lt;4,"⚠ กรอกไม่ครบ",IF(NOT(ISNUMBER(B223)),"⚠ วันที่ไม่ถูกต้อง",IF(COUNTIFS(Setup!$L$6:$L$60,D223,Setup!$M$6:$M$60,C223)=0,"⚠ หมวดไม่ตรงประเภท","✓"))))</f>
        <v/>
      </c>
    </row>
    <row r="224">
      <c r="B224" s="113" t="n">
        <v>46256</v>
      </c>
      <c r="C224" s="114" t="inlineStr">
        <is>
          <t>รายจ่าย</t>
        </is>
      </c>
      <c r="D224" s="115" t="inlineStr">
        <is>
          <t>ทำบุญ/บริจาค</t>
        </is>
      </c>
      <c r="E224" s="116" t="n">
        <v>700</v>
      </c>
      <c r="F224" s="115" t="inlineStr">
        <is>
          <t>ทำบุญ/บริจาค</t>
        </is>
      </c>
      <c r="G224" s="117">
        <f>IF(COUNTA(B224:E224)=0,"",IF(COUNTA(B224:E224)&lt;4,"⚠ กรอกไม่ครบ",IF(NOT(ISNUMBER(B224)),"⚠ วันที่ไม่ถูกต้อง",IF(COUNTIFS(Setup!$L$6:$L$60,D224,Setup!$M$6:$M$60,C224)=0,"⚠ หมวดไม่ตรงประเภท","✓"))))</f>
        <v/>
      </c>
    </row>
    <row r="225">
      <c r="B225" s="113" t="n">
        <v>46258</v>
      </c>
      <c r="C225" s="114" t="inlineStr">
        <is>
          <t>รายจ่าย</t>
        </is>
      </c>
      <c r="D225" s="115" t="inlineStr">
        <is>
          <t>ค่าอาหาร</t>
        </is>
      </c>
      <c r="E225" s="116" t="n">
        <v>1610</v>
      </c>
      <c r="F225" s="115" t="inlineStr">
        <is>
          <t>ค่าอาหาร-กาแฟ สัปดาห์ที่ 4</t>
        </is>
      </c>
      <c r="G225" s="117">
        <f>IF(COUNTA(B225:E225)=0,"",IF(COUNTA(B225:E225)&lt;4,"⚠ กรอกไม่ครบ",IF(NOT(ISNUMBER(B225)),"⚠ วันที่ไม่ถูกต้อง",IF(COUNTIFS(Setup!$L$6:$L$60,D225,Setup!$M$6:$M$60,C225)=0,"⚠ หมวดไม่ตรงประเภท","✓"))))</f>
        <v/>
      </c>
    </row>
    <row r="226">
      <c r="B226" s="113" t="n">
        <v>46258</v>
      </c>
      <c r="C226" s="114" t="inlineStr">
        <is>
          <t>รายจ่าย</t>
        </is>
      </c>
      <c r="D226" s="115" t="inlineStr">
        <is>
          <t>สังสรรค์/บันเทิง</t>
        </is>
      </c>
      <c r="E226" s="116" t="n">
        <v>990</v>
      </c>
      <c r="F226" s="115" t="inlineStr">
        <is>
          <t>ดูหนัง</t>
        </is>
      </c>
      <c r="G226" s="117">
        <f>IF(COUNTA(B226:E226)=0,"",IF(COUNTA(B226:E226)&lt;4,"⚠ กรอกไม่ครบ",IF(NOT(ISNUMBER(B226)),"⚠ วันที่ไม่ถูกต้อง",IF(COUNTIFS(Setup!$L$6:$L$60,D226,Setup!$M$6:$M$60,C226)=0,"⚠ หมวดไม่ตรงประเภท","✓"))))</f>
        <v/>
      </c>
    </row>
    <row r="227">
      <c r="B227" s="113" t="n">
        <v>46259</v>
      </c>
      <c r="C227" s="114" t="inlineStr">
        <is>
          <t>รายรับ</t>
        </is>
      </c>
      <c r="D227" s="115" t="inlineStr">
        <is>
          <t>เงินเดือน</t>
        </is>
      </c>
      <c r="E227" s="116" t="n">
        <v>42000</v>
      </c>
      <c r="F227" s="115" t="inlineStr">
        <is>
          <t>เงินเดือนประจำเดือน</t>
        </is>
      </c>
      <c r="G227" s="117">
        <f>IF(COUNTA(B227:E227)=0,"",IF(COUNTA(B227:E227)&lt;4,"⚠ กรอกไม่ครบ",IF(NOT(ISNUMBER(B227)),"⚠ วันที่ไม่ถูกต้อง",IF(COUNTIFS(Setup!$L$6:$L$60,D227,Setup!$M$6:$M$60,C227)=0,"⚠ หมวดไม่ตรงประเภท","✓"))))</f>
        <v/>
      </c>
    </row>
    <row r="228">
      <c r="B228" s="113" t="n">
        <v>46260</v>
      </c>
      <c r="C228" s="114" t="inlineStr">
        <is>
          <t>รายจ่าย</t>
        </is>
      </c>
      <c r="D228" s="115" t="inlineStr">
        <is>
          <t>ให้ครอบครัว</t>
        </is>
      </c>
      <c r="E228" s="116" t="n">
        <v>5000</v>
      </c>
      <c r="F228" s="115" t="inlineStr">
        <is>
          <t>ส่งเงินให้พ่อแม่</t>
        </is>
      </c>
      <c r="G228" s="117">
        <f>IF(COUNTA(B228:E228)=0,"",IF(COUNTA(B228:E228)&lt;4,"⚠ กรอกไม่ครบ",IF(NOT(ISNUMBER(B228)),"⚠ วันที่ไม่ถูกต้อง",IF(COUNTIFS(Setup!$L$6:$L$60,D228,Setup!$M$6:$M$60,C228)=0,"⚠ หมวดไม่ตรงประเภท","✓"))))</f>
        <v/>
      </c>
    </row>
    <row r="229">
      <c r="B229" s="113" t="n">
        <v>46260</v>
      </c>
      <c r="C229" s="114" t="inlineStr">
        <is>
          <t>เงินออม</t>
        </is>
      </c>
      <c r="D229" s="115" t="inlineStr">
        <is>
          <t>เงินฝากออมทรัพย์</t>
        </is>
      </c>
      <c r="E229" s="116" t="n">
        <v>3000</v>
      </c>
      <c r="F229" s="115" t="inlineStr">
        <is>
          <t>ฝากออมประจำเดือน</t>
        </is>
      </c>
      <c r="G229" s="117">
        <f>IF(COUNTA(B229:E229)=0,"",IF(COUNTA(B229:E229)&lt;4,"⚠ กรอกไม่ครบ",IF(NOT(ISNUMBER(B229)),"⚠ วันที่ไม่ถูกต้อง",IF(COUNTIFS(Setup!$L$6:$L$60,D229,Setup!$M$6:$M$60,C229)=0,"⚠ หมวดไม่ตรงประเภท","✓"))))</f>
        <v/>
      </c>
    </row>
    <row r="230">
      <c r="B230" s="113" t="n">
        <v>46260</v>
      </c>
      <c r="C230" s="114" t="inlineStr">
        <is>
          <t>เงินออม</t>
        </is>
      </c>
      <c r="D230" s="115" t="inlineStr">
        <is>
          <t>เงินสำรองฉุกเฉิน</t>
        </is>
      </c>
      <c r="E230" s="116" t="n">
        <v>2000</v>
      </c>
      <c r="F230" s="115" t="inlineStr">
        <is>
          <t>เติมเงินสำรองฉุกเฉิน</t>
        </is>
      </c>
      <c r="G230" s="117">
        <f>IF(COUNTA(B230:E230)=0,"",IF(COUNTA(B230:E230)&lt;4,"⚠ กรอกไม่ครบ",IF(NOT(ISNUMBER(B230)),"⚠ วันที่ไม่ถูกต้อง",IF(COUNTIFS(Setup!$L$6:$L$60,D230,Setup!$M$6:$M$60,C230)=0,"⚠ หมวดไม่ตรงประเภท","✓"))))</f>
        <v/>
      </c>
    </row>
    <row r="231">
      <c r="B231" s="113" t="n">
        <v>46261</v>
      </c>
      <c r="C231" s="114" t="inlineStr">
        <is>
          <t>เงินออม</t>
        </is>
      </c>
      <c r="D231" s="115" t="inlineStr">
        <is>
          <t>กองทุน SSF/RMF</t>
        </is>
      </c>
      <c r="E231" s="116" t="n">
        <v>2500</v>
      </c>
      <c r="F231" s="115" t="inlineStr">
        <is>
          <t>DCA กองทุนลดหย่อนภาษี</t>
        </is>
      </c>
      <c r="G231" s="117">
        <f>IF(COUNTA(B231:E231)=0,"",IF(COUNTA(B231:E231)&lt;4,"⚠ กรอกไม่ครบ",IF(NOT(ISNUMBER(B231)),"⚠ วันที่ไม่ถูกต้อง",IF(COUNTIFS(Setup!$L$6:$L$60,D231,Setup!$M$6:$M$60,C231)=0,"⚠ หมวดไม่ตรงประเภท","✓"))))</f>
        <v/>
      </c>
    </row>
    <row r="232">
      <c r="B232" s="113" t="n">
        <v>46261</v>
      </c>
      <c r="C232" s="114" t="inlineStr">
        <is>
          <t>เงินออม</t>
        </is>
      </c>
      <c r="D232" s="115" t="inlineStr">
        <is>
          <t>หุ้น/ETF</t>
        </is>
      </c>
      <c r="E232" s="116" t="n">
        <v>2000</v>
      </c>
      <c r="F232" s="115" t="inlineStr">
        <is>
          <t>DCA ETF</t>
        </is>
      </c>
      <c r="G232" s="117">
        <f>IF(COUNTA(B232:E232)=0,"",IF(COUNTA(B232:E232)&lt;4,"⚠ กรอกไม่ครบ",IF(NOT(ISNUMBER(B232)),"⚠ วันที่ไม่ถูกต้อง",IF(COUNTIFS(Setup!$L$6:$L$60,D232,Setup!$M$6:$M$60,C232)=0,"⚠ หมวดไม่ตรงประเภท","✓"))))</f>
        <v/>
      </c>
    </row>
    <row r="233">
      <c r="B233" s="113" t="n">
        <v>46266</v>
      </c>
      <c r="C233" s="114" t="inlineStr">
        <is>
          <t>รายจ่าย</t>
        </is>
      </c>
      <c r="D233" s="115" t="inlineStr">
        <is>
          <t>ค่าที่พัก/ค่าเช่า</t>
        </is>
      </c>
      <c r="E233" s="116" t="n">
        <v>8500</v>
      </c>
      <c r="F233" s="115" t="inlineStr">
        <is>
          <t>ค่าเช่าคอนโด</t>
        </is>
      </c>
      <c r="G233" s="117">
        <f>IF(COUNTA(B233:E233)=0,"",IF(COUNTA(B233:E233)&lt;4,"⚠ กรอกไม่ครบ",IF(NOT(ISNUMBER(B233)),"⚠ วันที่ไม่ถูกต้อง",IF(COUNTIFS(Setup!$L$6:$L$60,D233,Setup!$M$6:$M$60,C233)=0,"⚠ หมวดไม่ตรงประเภท","✓"))))</f>
        <v/>
      </c>
    </row>
    <row r="234">
      <c r="B234" s="113" t="n">
        <v>46267</v>
      </c>
      <c r="C234" s="114" t="inlineStr">
        <is>
          <t>รายจ่าย</t>
        </is>
      </c>
      <c r="D234" s="115" t="inlineStr">
        <is>
          <t>ค่าเดินทาง</t>
        </is>
      </c>
      <c r="E234" s="116" t="n">
        <v>600</v>
      </c>
      <c r="F234" s="115" t="inlineStr">
        <is>
          <t>เติมเงินบัตร BTS/MRT</t>
        </is>
      </c>
      <c r="G234" s="117">
        <f>IF(COUNTA(B234:E234)=0,"",IF(COUNTA(B234:E234)&lt;4,"⚠ กรอกไม่ครบ",IF(NOT(ISNUMBER(B234)),"⚠ วันที่ไม่ถูกต้อง",IF(COUNTIFS(Setup!$L$6:$L$60,D234,Setup!$M$6:$M$60,C234)=0,"⚠ หมวดไม่ตรงประเภท","✓"))))</f>
        <v/>
      </c>
    </row>
    <row r="235">
      <c r="B235" s="113" t="n">
        <v>46268</v>
      </c>
      <c r="C235" s="114" t="inlineStr">
        <is>
          <t>รายจ่าย</t>
        </is>
      </c>
      <c r="D235" s="115" t="inlineStr">
        <is>
          <t>ค่าอาหาร</t>
        </is>
      </c>
      <c r="E235" s="116" t="n">
        <v>1770</v>
      </c>
      <c r="F235" s="115" t="inlineStr">
        <is>
          <t>ค่าอาหาร-กาแฟ สัปดาห์ที่ 1</t>
        </is>
      </c>
      <c r="G235" s="117">
        <f>IF(COUNTA(B235:E235)=0,"",IF(COUNTA(B235:E235)&lt;4,"⚠ กรอกไม่ครบ",IF(NOT(ISNUMBER(B235)),"⚠ วันที่ไม่ถูกต้อง",IF(COUNTIFS(Setup!$L$6:$L$60,D235,Setup!$M$6:$M$60,C235)=0,"⚠ หมวดไม่ตรงประเภท","✓"))))</f>
        <v/>
      </c>
    </row>
    <row r="236">
      <c r="B236" s="113" t="n">
        <v>46270</v>
      </c>
      <c r="C236" s="114" t="inlineStr">
        <is>
          <t>รายจ่าย</t>
        </is>
      </c>
      <c r="D236" s="115" t="inlineStr">
        <is>
          <t>ค่าน้ำ-ค่าไฟ</t>
        </is>
      </c>
      <c r="E236" s="116" t="n">
        <v>880</v>
      </c>
      <c r="F236" s="115" t="inlineStr">
        <is>
          <t>ค่าไฟ + ค่าน้ำ</t>
        </is>
      </c>
      <c r="G236" s="117">
        <f>IF(COUNTA(B236:E236)=0,"",IF(COUNTA(B236:E236)&lt;4,"⚠ กรอกไม่ครบ",IF(NOT(ISNUMBER(B236)),"⚠ วันที่ไม่ถูกต้อง",IF(COUNTIFS(Setup!$L$6:$L$60,D236,Setup!$M$6:$M$60,C236)=0,"⚠ หมวดไม่ตรงประเภท","✓"))))</f>
        <v/>
      </c>
    </row>
    <row r="237">
      <c r="B237" s="113" t="n">
        <v>46273</v>
      </c>
      <c r="C237" s="114" t="inlineStr">
        <is>
          <t>รายจ่าย</t>
        </is>
      </c>
      <c r="D237" s="115" t="inlineStr">
        <is>
          <t>Subscription</t>
        </is>
      </c>
      <c r="E237" s="116" t="n">
        <v>419</v>
      </c>
      <c r="F237" s="115" t="inlineStr">
        <is>
          <t>Netflix</t>
        </is>
      </c>
      <c r="G237" s="117">
        <f>IF(COUNTA(B237:E237)=0,"",IF(COUNTA(B237:E237)&lt;4,"⚠ กรอกไม่ครบ",IF(NOT(ISNUMBER(B237)),"⚠ วันที่ไม่ถูกต้อง",IF(COUNTIFS(Setup!$L$6:$L$60,D237,Setup!$M$6:$M$60,C237)=0,"⚠ หมวดไม่ตรงประเภท","✓"))))</f>
        <v/>
      </c>
    </row>
    <row r="238">
      <c r="B238" s="113" t="n">
        <v>46274</v>
      </c>
      <c r="C238" s="114" t="inlineStr">
        <is>
          <t>รายจ่าย</t>
        </is>
      </c>
      <c r="D238" s="115" t="inlineStr">
        <is>
          <t>ช้อปปิ้ง</t>
        </is>
      </c>
      <c r="E238" s="116" t="n">
        <v>2260</v>
      </c>
      <c r="F238" s="115" t="inlineStr">
        <is>
          <t>โปรเซลล์กลางเดือน</t>
        </is>
      </c>
      <c r="G238" s="117">
        <f>IF(COUNTA(B238:E238)=0,"",IF(COUNTA(B238:E238)&lt;4,"⚠ กรอกไม่ครบ",IF(NOT(ISNUMBER(B238)),"⚠ วันที่ไม่ถูกต้อง",IF(COUNTIFS(Setup!$L$6:$L$60,D238,Setup!$M$6:$M$60,C238)=0,"⚠ หมวดไม่ตรงประเภท","✓"))))</f>
        <v/>
      </c>
    </row>
    <row r="239">
      <c r="B239" s="113" t="n">
        <v>46275</v>
      </c>
      <c r="C239" s="114" t="inlineStr">
        <is>
          <t>รายจ่าย</t>
        </is>
      </c>
      <c r="D239" s="115" t="inlineStr">
        <is>
          <t>ค่าโทรศัพท์/เน็ต</t>
        </is>
      </c>
      <c r="E239" s="116" t="n">
        <v>599</v>
      </c>
      <c r="F239" s="115" t="inlineStr">
        <is>
          <t>ค่าโทรศัพท์รายเดือน</t>
        </is>
      </c>
      <c r="G239" s="117">
        <f>IF(COUNTA(B239:E239)=0,"",IF(COUNTA(B239:E239)&lt;4,"⚠ กรอกไม่ครบ",IF(NOT(ISNUMBER(B239)),"⚠ วันที่ไม่ถูกต้อง",IF(COUNTIFS(Setup!$L$6:$L$60,D239,Setup!$M$6:$M$60,C239)=0,"⚠ หมวดไม่ตรงประเภท","✓"))))</f>
        <v/>
      </c>
    </row>
    <row r="240">
      <c r="B240" s="113" t="n">
        <v>46275</v>
      </c>
      <c r="C240" s="114" t="inlineStr">
        <is>
          <t>รายจ่าย</t>
        </is>
      </c>
      <c r="D240" s="115" t="inlineStr">
        <is>
          <t>ค่าอาหาร</t>
        </is>
      </c>
      <c r="E240" s="116" t="n">
        <v>1440</v>
      </c>
      <c r="F240" s="115" t="inlineStr">
        <is>
          <t>ค่าอาหาร-กาแฟ สัปดาห์ที่ 2</t>
        </is>
      </c>
      <c r="G240" s="117">
        <f>IF(COUNTA(B240:E240)=0,"",IF(COUNTA(B240:E240)&lt;4,"⚠ กรอกไม่ครบ",IF(NOT(ISNUMBER(B240)),"⚠ วันที่ไม่ถูกต้อง",IF(COUNTIFS(Setup!$L$6:$L$60,D240,Setup!$M$6:$M$60,C240)=0,"⚠ หมวดไม่ตรงประเภท","✓"))))</f>
        <v/>
      </c>
    </row>
    <row r="241">
      <c r="B241" s="113" t="n">
        <v>46275</v>
      </c>
      <c r="C241" s="114" t="inlineStr">
        <is>
          <t>รายจ่าย</t>
        </is>
      </c>
      <c r="D241" s="115" t="inlineStr">
        <is>
          <t>ค่าอาหาร</t>
        </is>
      </c>
      <c r="E241" s="116" t="n">
        <v>1420</v>
      </c>
      <c r="F241" s="115" t="inlineStr">
        <is>
          <t>ซื้อของเข้าตู้เย็น</t>
        </is>
      </c>
      <c r="G241" s="117">
        <f>IF(COUNTA(B241:E241)=0,"",IF(COUNTA(B241:E241)&lt;4,"⚠ กรอกไม่ครบ",IF(NOT(ISNUMBER(B241)),"⚠ วันที่ไม่ถูกต้อง",IF(COUNTIFS(Setup!$L$6:$L$60,D241,Setup!$M$6:$M$60,C241)=0,"⚠ หมวดไม่ตรงประเภท","✓"))))</f>
        <v/>
      </c>
    </row>
    <row r="242">
      <c r="B242" s="113" t="n">
        <v>46277</v>
      </c>
      <c r="C242" s="114" t="inlineStr">
        <is>
          <t>รายจ่าย</t>
        </is>
      </c>
      <c r="D242" s="115" t="inlineStr">
        <is>
          <t>ค่าโทรศัพท์/เน็ต</t>
        </is>
      </c>
      <c r="E242" s="116" t="n">
        <v>590</v>
      </c>
      <c r="F242" s="115" t="inlineStr">
        <is>
          <t>อินเทอร์เน็ตบ้าน</t>
        </is>
      </c>
      <c r="G242" s="117">
        <f>IF(COUNTA(B242:E242)=0,"",IF(COUNTA(B242:E242)&lt;4,"⚠ กรอกไม่ครบ",IF(NOT(ISNUMBER(B242)),"⚠ วันที่ไม่ถูกต้อง",IF(COUNTIFS(Setup!$L$6:$L$60,D242,Setup!$M$6:$M$60,C242)=0,"⚠ หมวดไม่ตรงประเภท","✓"))))</f>
        <v/>
      </c>
    </row>
    <row r="243">
      <c r="B243" s="113" t="n">
        <v>46279</v>
      </c>
      <c r="C243" s="114" t="inlineStr">
        <is>
          <t>รายจ่าย</t>
        </is>
      </c>
      <c r="D243" s="115" t="inlineStr">
        <is>
          <t>ของใช้ในบ้าน</t>
        </is>
      </c>
      <c r="E243" s="116" t="n">
        <v>530</v>
      </c>
      <c r="F243" s="115" t="inlineStr">
        <is>
          <t>ของใช้ในบ้าน/ห้องน้ำ</t>
        </is>
      </c>
      <c r="G243" s="117">
        <f>IF(COUNTA(B243:E243)=0,"",IF(COUNTA(B243:E243)&lt;4,"⚠ กรอกไม่ครบ",IF(NOT(ISNUMBER(B243)),"⚠ วันที่ไม่ถูกต้อง",IF(COUNTIFS(Setup!$L$6:$L$60,D243,Setup!$M$6:$M$60,C243)=0,"⚠ หมวดไม่ตรงประเภท","✓"))))</f>
        <v/>
      </c>
    </row>
    <row r="244">
      <c r="B244" s="113" t="n">
        <v>46280</v>
      </c>
      <c r="C244" s="114" t="inlineStr">
        <is>
          <t>รายจ่าย</t>
        </is>
      </c>
      <c r="D244" s="115" t="inlineStr">
        <is>
          <t>ผ่อนชำระ/หนี้</t>
        </is>
      </c>
      <c r="E244" s="116" t="n">
        <v>4200</v>
      </c>
      <c r="F244" s="115" t="inlineStr">
        <is>
          <t>ผ่อนโน้ตบุ๊ก 0% (10 งวด)</t>
        </is>
      </c>
      <c r="G244" s="117">
        <f>IF(COUNTA(B244:E244)=0,"",IF(COUNTA(B244:E244)&lt;4,"⚠ กรอกไม่ครบ",IF(NOT(ISNUMBER(B244)),"⚠ วันที่ไม่ถูกต้อง",IF(COUNTIFS(Setup!$L$6:$L$60,D244,Setup!$M$6:$M$60,C244)=0,"⚠ หมวดไม่ตรงประเภท","✓"))))</f>
        <v/>
      </c>
    </row>
    <row r="245">
      <c r="B245" s="113" t="n">
        <v>46282</v>
      </c>
      <c r="C245" s="114" t="inlineStr">
        <is>
          <t>รายจ่าย</t>
        </is>
      </c>
      <c r="D245" s="115" t="inlineStr">
        <is>
          <t>ค่าอาหาร</t>
        </is>
      </c>
      <c r="E245" s="116" t="n">
        <v>1810</v>
      </c>
      <c r="F245" s="115" t="inlineStr">
        <is>
          <t>ค่าอาหาร-กาแฟ สัปดาห์ที่ 3</t>
        </is>
      </c>
      <c r="G245" s="117">
        <f>IF(COUNTA(B245:E245)=0,"",IF(COUNTA(B245:E245)&lt;4,"⚠ กรอกไม่ครบ",IF(NOT(ISNUMBER(B245)),"⚠ วันที่ไม่ถูกต้อง",IF(COUNTIFS(Setup!$L$6:$L$60,D245,Setup!$M$6:$M$60,C245)=0,"⚠ หมวดไม่ตรงประเภท","✓"))))</f>
        <v/>
      </c>
    </row>
    <row r="246">
      <c r="B246" s="113" t="n">
        <v>46282</v>
      </c>
      <c r="C246" s="114" t="inlineStr">
        <is>
          <t>รายจ่าย</t>
        </is>
      </c>
      <c r="D246" s="115" t="inlineStr">
        <is>
          <t>ค่าเดินทาง</t>
        </is>
      </c>
      <c r="E246" s="116" t="n">
        <v>430</v>
      </c>
      <c r="F246" s="115" t="inlineStr">
        <is>
          <t>Grab / วินมอเตอร์ไซค์</t>
        </is>
      </c>
      <c r="G246" s="117">
        <f>IF(COUNTA(B246:E246)=0,"",IF(COUNTA(B246:E246)&lt;4,"⚠ กรอกไม่ครบ",IF(NOT(ISNUMBER(B246)),"⚠ วันที่ไม่ถูกต้อง",IF(COUNTIFS(Setup!$L$6:$L$60,D246,Setup!$M$6:$M$60,C246)=0,"⚠ หมวดไม่ตรงประเภท","✓"))))</f>
        <v/>
      </c>
    </row>
    <row r="247">
      <c r="B247" s="113" t="n">
        <v>46282</v>
      </c>
      <c r="C247" s="114" t="inlineStr">
        <is>
          <t>รายจ่าย</t>
        </is>
      </c>
      <c r="D247" s="115" t="inlineStr">
        <is>
          <t>ช้อปปิ้ง</t>
        </is>
      </c>
      <c r="E247" s="116" t="n">
        <v>1140</v>
      </c>
      <c r="F247" s="115" t="inlineStr">
        <is>
          <t>อุปกรณ์ไอที</t>
        </is>
      </c>
      <c r="G247" s="117">
        <f>IF(COUNTA(B247:E247)=0,"",IF(COUNTA(B247:E247)&lt;4,"⚠ กรอกไม่ครบ",IF(NOT(ISNUMBER(B247)),"⚠ วันที่ไม่ถูกต้อง",IF(COUNTIFS(Setup!$L$6:$L$60,D247,Setup!$M$6:$M$60,C247)=0,"⚠ หมวดไม่ตรงประเภท","✓"))))</f>
        <v/>
      </c>
    </row>
    <row r="248">
      <c r="B248" s="113" t="n">
        <v>46283</v>
      </c>
      <c r="C248" s="114" t="inlineStr">
        <is>
          <t>รายรับ</t>
        </is>
      </c>
      <c r="D248" s="115" t="inlineStr">
        <is>
          <t>ฟรีแลนซ์/งานเสริม</t>
        </is>
      </c>
      <c r="E248" s="116" t="n">
        <v>5500</v>
      </c>
      <c r="F248" s="115" t="inlineStr">
        <is>
          <t>งานออกแบบโลโก้</t>
        </is>
      </c>
      <c r="G248" s="117">
        <f>IF(COUNTA(B248:E248)=0,"",IF(COUNTA(B248:E248)&lt;4,"⚠ กรอกไม่ครบ",IF(NOT(ISNUMBER(B248)),"⚠ วันที่ไม่ถูกต้อง",IF(COUNTIFS(Setup!$L$6:$L$60,D248,Setup!$M$6:$M$60,C248)=0,"⚠ หมวดไม่ตรงประเภท","✓"))))</f>
        <v/>
      </c>
    </row>
    <row r="249">
      <c r="B249" s="113" t="n">
        <v>46283</v>
      </c>
      <c r="C249" s="114" t="inlineStr">
        <is>
          <t>รายจ่าย</t>
        </is>
      </c>
      <c r="D249" s="115" t="inlineStr">
        <is>
          <t>ประกันภัย</t>
        </is>
      </c>
      <c r="E249" s="116" t="n">
        <v>3200</v>
      </c>
      <c r="F249" s="115" t="inlineStr">
        <is>
          <t>ประกันสุขภาพ (รายไตรมาส)</t>
        </is>
      </c>
      <c r="G249" s="117">
        <f>IF(COUNTA(B249:E249)=0,"",IF(COUNTA(B249:E249)&lt;4,"⚠ กรอกไม่ครบ",IF(NOT(ISNUMBER(B249)),"⚠ วันที่ไม่ถูกต้อง",IF(COUNTIFS(Setup!$L$6:$L$60,D249,Setup!$M$6:$M$60,C249)=0,"⚠ หมวดไม่ตรงประเภท","✓"))))</f>
        <v/>
      </c>
    </row>
    <row r="250">
      <c r="B250" s="113" t="n">
        <v>46284</v>
      </c>
      <c r="C250" s="114" t="inlineStr">
        <is>
          <t>รายจ่าย</t>
        </is>
      </c>
      <c r="D250" s="115" t="inlineStr">
        <is>
          <t>สุขภาพ/ยา</t>
        </is>
      </c>
      <c r="E250" s="116" t="n">
        <v>450</v>
      </c>
      <c r="F250" s="115" t="inlineStr">
        <is>
          <t>ทำฟัน</t>
        </is>
      </c>
      <c r="G250" s="117">
        <f>IF(COUNTA(B250:E250)=0,"",IF(COUNTA(B250:E250)&lt;4,"⚠ กรอกไม่ครบ",IF(NOT(ISNUMBER(B250)),"⚠ วันที่ไม่ถูกต้อง",IF(COUNTIFS(Setup!$L$6:$L$60,D250,Setup!$M$6:$M$60,C250)=0,"⚠ หมวดไม่ตรงประเภท","✓"))))</f>
        <v/>
      </c>
    </row>
    <row r="251">
      <c r="B251" s="113" t="n">
        <v>46284</v>
      </c>
      <c r="C251" s="114" t="inlineStr">
        <is>
          <t>รายจ่าย</t>
        </is>
      </c>
      <c r="D251" s="115" t="inlineStr">
        <is>
          <t>สังสรรค์/บันเทิง</t>
        </is>
      </c>
      <c r="E251" s="116" t="n">
        <v>870</v>
      </c>
      <c r="F251" s="115" t="inlineStr">
        <is>
          <t>คอนเสิร์ต</t>
        </is>
      </c>
      <c r="G251" s="117">
        <f>IF(COUNTA(B251:E251)=0,"",IF(COUNTA(B251:E251)&lt;4,"⚠ กรอกไม่ครบ",IF(NOT(ISNUMBER(B251)),"⚠ วันที่ไม่ถูกต้อง",IF(COUNTIFS(Setup!$L$6:$L$60,D251,Setup!$M$6:$M$60,C251)=0,"⚠ หมวดไม่ตรงประเภท","✓"))))</f>
        <v/>
      </c>
    </row>
    <row r="252">
      <c r="B252" s="113" t="n">
        <v>46285</v>
      </c>
      <c r="C252" s="114" t="inlineStr">
        <is>
          <t>รายจ่าย</t>
        </is>
      </c>
      <c r="D252" s="115" t="inlineStr">
        <is>
          <t>Subscription</t>
        </is>
      </c>
      <c r="E252" s="116" t="n">
        <v>149</v>
      </c>
      <c r="F252" s="115" t="inlineStr">
        <is>
          <t>Spotify</t>
        </is>
      </c>
      <c r="G252" s="117">
        <f>IF(COUNTA(B252:E252)=0,"",IF(COUNTA(B252:E252)&lt;4,"⚠ กรอกไม่ครบ",IF(NOT(ISNUMBER(B252)),"⚠ วันที่ไม่ถูกต้อง",IF(COUNTIFS(Setup!$L$6:$L$60,D252,Setup!$M$6:$M$60,C252)=0,"⚠ หมวดไม่ตรงประเภท","✓"))))</f>
        <v/>
      </c>
    </row>
    <row r="253">
      <c r="B253" s="113" t="n">
        <v>46286</v>
      </c>
      <c r="C253" s="114" t="inlineStr">
        <is>
          <t>รายจ่าย</t>
        </is>
      </c>
      <c r="D253" s="115" t="inlineStr">
        <is>
          <t>ค่าเดินทาง</t>
        </is>
      </c>
      <c r="E253" s="116" t="n">
        <v>700</v>
      </c>
      <c r="F253" s="115" t="inlineStr">
        <is>
          <t>เติมน้ำมัน</t>
        </is>
      </c>
      <c r="G253" s="117">
        <f>IF(COUNTA(B253:E253)=0,"",IF(COUNTA(B253:E253)&lt;4,"⚠ กรอกไม่ครบ",IF(NOT(ISNUMBER(B253)),"⚠ วันที่ไม่ถูกต้อง",IF(COUNTIFS(Setup!$L$6:$L$60,D253,Setup!$M$6:$M$60,C253)=0,"⚠ หมวดไม่ตรงประเภท","✓"))))</f>
        <v/>
      </c>
    </row>
    <row r="254">
      <c r="B254" s="113" t="n">
        <v>46287</v>
      </c>
      <c r="C254" s="114" t="inlineStr">
        <is>
          <t>รายรับ</t>
        </is>
      </c>
      <c r="D254" s="115" t="inlineStr">
        <is>
          <t>ขายของออนไลน์</t>
        </is>
      </c>
      <c r="E254" s="116" t="n">
        <v>2500</v>
      </c>
      <c r="F254" s="115" t="inlineStr">
        <is>
          <t>ขายของมือสองใน Marketplace</t>
        </is>
      </c>
      <c r="G254" s="117">
        <f>IF(COUNTA(B254:E254)=0,"",IF(COUNTA(B254:E254)&lt;4,"⚠ กรอกไม่ครบ",IF(NOT(ISNUMBER(B254)),"⚠ วันที่ไม่ถูกต้อง",IF(COUNTIFS(Setup!$L$6:$L$60,D254,Setup!$M$6:$M$60,C254)=0,"⚠ หมวดไม่ตรงประเภท","✓"))))</f>
        <v/>
      </c>
    </row>
    <row r="255">
      <c r="B255" s="113" t="n">
        <v>46289</v>
      </c>
      <c r="C255" s="114" t="inlineStr">
        <is>
          <t>รายจ่าย</t>
        </is>
      </c>
      <c r="D255" s="115" t="inlineStr">
        <is>
          <t>ค่าอาหาร</t>
        </is>
      </c>
      <c r="E255" s="116" t="n">
        <v>1220</v>
      </c>
      <c r="F255" s="115" t="inlineStr">
        <is>
          <t>ค่าอาหาร-กาแฟ สัปดาห์ที่ 4</t>
        </is>
      </c>
      <c r="G255" s="117">
        <f>IF(COUNTA(B255:E255)=0,"",IF(COUNTA(B255:E255)&lt;4,"⚠ กรอกไม่ครบ",IF(NOT(ISNUMBER(B255)),"⚠ วันที่ไม่ถูกต้อง",IF(COUNTIFS(Setup!$L$6:$L$60,D255,Setup!$M$6:$M$60,C255)=0,"⚠ หมวดไม่ตรงประเภท","✓"))))</f>
        <v/>
      </c>
    </row>
    <row r="256">
      <c r="B256" s="113" t="n">
        <v>46290</v>
      </c>
      <c r="C256" s="114" t="inlineStr">
        <is>
          <t>รายรับ</t>
        </is>
      </c>
      <c r="D256" s="115" t="inlineStr">
        <is>
          <t>เงินเดือน</t>
        </is>
      </c>
      <c r="E256" s="116" t="n">
        <v>42000</v>
      </c>
      <c r="F256" s="115" t="inlineStr">
        <is>
          <t>เงินเดือนประจำเดือน</t>
        </is>
      </c>
      <c r="G256" s="117">
        <f>IF(COUNTA(B256:E256)=0,"",IF(COUNTA(B256:E256)&lt;4,"⚠ กรอกไม่ครบ",IF(NOT(ISNUMBER(B256)),"⚠ วันที่ไม่ถูกต้อง",IF(COUNTIFS(Setup!$L$6:$L$60,D256,Setup!$M$6:$M$60,C256)=0,"⚠ หมวดไม่ตรงประเภท","✓"))))</f>
        <v/>
      </c>
    </row>
    <row r="257">
      <c r="B257" s="113" t="n">
        <v>46290</v>
      </c>
      <c r="C257" s="114" t="inlineStr">
        <is>
          <t>รายรับ</t>
        </is>
      </c>
      <c r="D257" s="115" t="inlineStr">
        <is>
          <t>ค่าล่วงเวลา (OT)</t>
        </is>
      </c>
      <c r="E257" s="116" t="n">
        <v>2700</v>
      </c>
      <c r="F257" s="115" t="inlineStr">
        <is>
          <t>ค่า OT ทำงานวันหยุด</t>
        </is>
      </c>
      <c r="G257" s="117">
        <f>IF(COUNTA(B257:E257)=0,"",IF(COUNTA(B257:E257)&lt;4,"⚠ กรอกไม่ครบ",IF(NOT(ISNUMBER(B257)),"⚠ วันที่ไม่ถูกต้อง",IF(COUNTIFS(Setup!$L$6:$L$60,D257,Setup!$M$6:$M$60,C257)=0,"⚠ หมวดไม่ตรงประเภท","✓"))))</f>
        <v/>
      </c>
    </row>
    <row r="258">
      <c r="B258" s="113" t="n">
        <v>46291</v>
      </c>
      <c r="C258" s="114" t="inlineStr">
        <is>
          <t>รายจ่าย</t>
        </is>
      </c>
      <c r="D258" s="115" t="inlineStr">
        <is>
          <t>ให้ครอบครัว</t>
        </is>
      </c>
      <c r="E258" s="116" t="n">
        <v>5000</v>
      </c>
      <c r="F258" s="115" t="inlineStr">
        <is>
          <t>ส่งเงินให้พ่อแม่</t>
        </is>
      </c>
      <c r="G258" s="117">
        <f>IF(COUNTA(B258:E258)=0,"",IF(COUNTA(B258:E258)&lt;4,"⚠ กรอกไม่ครบ",IF(NOT(ISNUMBER(B258)),"⚠ วันที่ไม่ถูกต้อง",IF(COUNTIFS(Setup!$L$6:$L$60,D258,Setup!$M$6:$M$60,C258)=0,"⚠ หมวดไม่ตรงประเภท","✓"))))</f>
        <v/>
      </c>
    </row>
    <row r="259">
      <c r="B259" s="113" t="n">
        <v>46291</v>
      </c>
      <c r="C259" s="114" t="inlineStr">
        <is>
          <t>เงินออม</t>
        </is>
      </c>
      <c r="D259" s="115" t="inlineStr">
        <is>
          <t>เงินฝากออมทรัพย์</t>
        </is>
      </c>
      <c r="E259" s="116" t="n">
        <v>3000</v>
      </c>
      <c r="F259" s="115" t="inlineStr">
        <is>
          <t>ฝากออมประจำเดือน</t>
        </is>
      </c>
      <c r="G259" s="117">
        <f>IF(COUNTA(B259:E259)=0,"",IF(COUNTA(B259:E259)&lt;4,"⚠ กรอกไม่ครบ",IF(NOT(ISNUMBER(B259)),"⚠ วันที่ไม่ถูกต้อง",IF(COUNTIFS(Setup!$L$6:$L$60,D259,Setup!$M$6:$M$60,C259)=0,"⚠ หมวดไม่ตรงประเภท","✓"))))</f>
        <v/>
      </c>
    </row>
    <row r="260">
      <c r="B260" s="113" t="n">
        <v>46291</v>
      </c>
      <c r="C260" s="114" t="inlineStr">
        <is>
          <t>เงินออม</t>
        </is>
      </c>
      <c r="D260" s="115" t="inlineStr">
        <is>
          <t>เงินสำรองฉุกเฉิน</t>
        </is>
      </c>
      <c r="E260" s="116" t="n">
        <v>2000</v>
      </c>
      <c r="F260" s="115" t="inlineStr">
        <is>
          <t>เติมเงินสำรองฉุกเฉิน</t>
        </is>
      </c>
      <c r="G260" s="117">
        <f>IF(COUNTA(B260:E260)=0,"",IF(COUNTA(B260:E260)&lt;4,"⚠ กรอกไม่ครบ",IF(NOT(ISNUMBER(B260)),"⚠ วันที่ไม่ถูกต้อง",IF(COUNTIFS(Setup!$L$6:$L$60,D260,Setup!$M$6:$M$60,C260)=0,"⚠ หมวดไม่ตรงประเภท","✓"))))</f>
        <v/>
      </c>
    </row>
    <row r="261">
      <c r="B261" s="113" t="n">
        <v>46292</v>
      </c>
      <c r="C261" s="114" t="inlineStr">
        <is>
          <t>เงินออม</t>
        </is>
      </c>
      <c r="D261" s="115" t="inlineStr">
        <is>
          <t>กองทุน SSF/RMF</t>
        </is>
      </c>
      <c r="E261" s="116" t="n">
        <v>2500</v>
      </c>
      <c r="F261" s="115" t="inlineStr">
        <is>
          <t>DCA กองทุนลดหย่อนภาษี</t>
        </is>
      </c>
      <c r="G261" s="117">
        <f>IF(COUNTA(B261:E261)=0,"",IF(COUNTA(B261:E261)&lt;4,"⚠ กรอกไม่ครบ",IF(NOT(ISNUMBER(B261)),"⚠ วันที่ไม่ถูกต้อง",IF(COUNTIFS(Setup!$L$6:$L$60,D261,Setup!$M$6:$M$60,C261)=0,"⚠ หมวดไม่ตรงประเภท","✓"))))</f>
        <v/>
      </c>
    </row>
    <row r="262">
      <c r="B262" s="113" t="n">
        <v>46293</v>
      </c>
      <c r="C262" s="114" t="inlineStr">
        <is>
          <t>เงินออม</t>
        </is>
      </c>
      <c r="D262" s="115" t="inlineStr">
        <is>
          <t>ออมทอง</t>
        </is>
      </c>
      <c r="E262" s="116" t="n">
        <v>1000</v>
      </c>
      <c r="F262" s="115" t="inlineStr">
        <is>
          <t>ออมทองรายเดือน</t>
        </is>
      </c>
      <c r="G262" s="117">
        <f>IF(COUNTA(B262:E262)=0,"",IF(COUNTA(B262:E262)&lt;4,"⚠ กรอกไม่ครบ",IF(NOT(ISNUMBER(B262)),"⚠ วันที่ไม่ถูกต้อง",IF(COUNTIFS(Setup!$L$6:$L$60,D262,Setup!$M$6:$M$60,C262)=0,"⚠ หมวดไม่ตรงประเภท","✓"))))</f>
        <v/>
      </c>
    </row>
    <row r="263">
      <c r="B263" s="113" t="n">
        <v>46295</v>
      </c>
      <c r="C263" s="114" t="inlineStr">
        <is>
          <t>รายรับ</t>
        </is>
      </c>
      <c r="D263" s="115" t="inlineStr">
        <is>
          <t>ดอกเบี้ย/ปันผล</t>
        </is>
      </c>
      <c r="E263" s="116" t="n">
        <v>880</v>
      </c>
      <c r="F263" s="115" t="inlineStr">
        <is>
          <t>ดอกเบี้ยบัญชีออมทรัพย์</t>
        </is>
      </c>
      <c r="G263" s="117">
        <f>IF(COUNTA(B263:E263)=0,"",IF(COUNTA(B263:E263)&lt;4,"⚠ กรอกไม่ครบ",IF(NOT(ISNUMBER(B263)),"⚠ วันที่ไม่ถูกต้อง",IF(COUNTIFS(Setup!$L$6:$L$60,D263,Setup!$M$6:$M$60,C263)=0,"⚠ หมวดไม่ตรงประเภท","✓"))))</f>
        <v/>
      </c>
    </row>
    <row r="264">
      <c r="B264" s="113" t="n"/>
      <c r="C264" s="114" t="n"/>
      <c r="D264" s="115" t="n"/>
      <c r="E264" s="116" t="n"/>
      <c r="F264" s="115" t="n"/>
      <c r="G264" s="117">
        <f>IF(COUNTA(B264:E264)=0,"",IF(COUNTA(B264:E264)&lt;4,"⚠ กรอกไม่ครบ",IF(NOT(ISNUMBER(B264)),"⚠ วันที่ไม่ถูกต้อง",IF(COUNTIFS(Setup!$L$6:$L$60,D264,Setup!$M$6:$M$60,C264)=0,"⚠ หมวดไม่ตรงประเภท","✓"))))</f>
        <v/>
      </c>
    </row>
    <row r="265">
      <c r="B265" s="113" t="n"/>
      <c r="C265" s="114" t="n"/>
      <c r="D265" s="115" t="n"/>
      <c r="E265" s="116" t="n"/>
      <c r="F265" s="115" t="n"/>
      <c r="G265" s="117">
        <f>IF(COUNTA(B265:E265)=0,"",IF(COUNTA(B265:E265)&lt;4,"⚠ กรอกไม่ครบ",IF(NOT(ISNUMBER(B265)),"⚠ วันที่ไม่ถูกต้อง",IF(COUNTIFS(Setup!$L$6:$L$60,D265,Setup!$M$6:$M$60,C265)=0,"⚠ หมวดไม่ตรงประเภท","✓"))))</f>
        <v/>
      </c>
    </row>
    <row r="266">
      <c r="B266" s="113" t="n"/>
      <c r="C266" s="114" t="n"/>
      <c r="D266" s="115" t="n"/>
      <c r="E266" s="116" t="n"/>
      <c r="F266" s="115" t="n"/>
      <c r="G266" s="117">
        <f>IF(COUNTA(B266:E266)=0,"",IF(COUNTA(B266:E266)&lt;4,"⚠ กรอกไม่ครบ",IF(NOT(ISNUMBER(B266)),"⚠ วันที่ไม่ถูกต้อง",IF(COUNTIFS(Setup!$L$6:$L$60,D266,Setup!$M$6:$M$60,C266)=0,"⚠ หมวดไม่ตรงประเภท","✓"))))</f>
        <v/>
      </c>
    </row>
    <row r="267">
      <c r="B267" s="113" t="n"/>
      <c r="C267" s="114" t="n"/>
      <c r="D267" s="115" t="n"/>
      <c r="E267" s="116" t="n"/>
      <c r="F267" s="115" t="n"/>
      <c r="G267" s="117">
        <f>IF(COUNTA(B267:E267)=0,"",IF(COUNTA(B267:E267)&lt;4,"⚠ กรอกไม่ครบ",IF(NOT(ISNUMBER(B267)),"⚠ วันที่ไม่ถูกต้อง",IF(COUNTIFS(Setup!$L$6:$L$60,D267,Setup!$M$6:$M$60,C267)=0,"⚠ หมวดไม่ตรงประเภท","✓"))))</f>
        <v/>
      </c>
    </row>
    <row r="268">
      <c r="B268" s="113" t="n"/>
      <c r="C268" s="114" t="n"/>
      <c r="D268" s="115" t="n"/>
      <c r="E268" s="116" t="n"/>
      <c r="F268" s="115" t="n"/>
      <c r="G268" s="117">
        <f>IF(COUNTA(B268:E268)=0,"",IF(COUNTA(B268:E268)&lt;4,"⚠ กรอกไม่ครบ",IF(NOT(ISNUMBER(B268)),"⚠ วันที่ไม่ถูกต้อง",IF(COUNTIFS(Setup!$L$6:$L$60,D268,Setup!$M$6:$M$60,C268)=0,"⚠ หมวดไม่ตรงประเภท","✓"))))</f>
        <v/>
      </c>
    </row>
    <row r="269">
      <c r="B269" s="113" t="n"/>
      <c r="C269" s="114" t="n"/>
      <c r="D269" s="115" t="n"/>
      <c r="E269" s="116" t="n"/>
      <c r="F269" s="115" t="n"/>
      <c r="G269" s="117">
        <f>IF(COUNTA(B269:E269)=0,"",IF(COUNTA(B269:E269)&lt;4,"⚠ กรอกไม่ครบ",IF(NOT(ISNUMBER(B269)),"⚠ วันที่ไม่ถูกต้อง",IF(COUNTIFS(Setup!$L$6:$L$60,D269,Setup!$M$6:$M$60,C269)=0,"⚠ หมวดไม่ตรงประเภท","✓"))))</f>
        <v/>
      </c>
    </row>
    <row r="270">
      <c r="B270" s="113" t="n"/>
      <c r="C270" s="114" t="n"/>
      <c r="D270" s="115" t="n"/>
      <c r="E270" s="116" t="n"/>
      <c r="F270" s="115" t="n"/>
      <c r="G270" s="117">
        <f>IF(COUNTA(B270:E270)=0,"",IF(COUNTA(B270:E270)&lt;4,"⚠ กรอกไม่ครบ",IF(NOT(ISNUMBER(B270)),"⚠ วันที่ไม่ถูกต้อง",IF(COUNTIFS(Setup!$L$6:$L$60,D270,Setup!$M$6:$M$60,C270)=0,"⚠ หมวดไม่ตรงประเภท","✓"))))</f>
        <v/>
      </c>
    </row>
    <row r="271">
      <c r="B271" s="113" t="n"/>
      <c r="C271" s="114" t="n"/>
      <c r="D271" s="115" t="n"/>
      <c r="E271" s="116" t="n"/>
      <c r="F271" s="115" t="n"/>
      <c r="G271" s="117">
        <f>IF(COUNTA(B271:E271)=0,"",IF(COUNTA(B271:E271)&lt;4,"⚠ กรอกไม่ครบ",IF(NOT(ISNUMBER(B271)),"⚠ วันที่ไม่ถูกต้อง",IF(COUNTIFS(Setup!$L$6:$L$60,D271,Setup!$M$6:$M$60,C271)=0,"⚠ หมวดไม่ตรงประเภท","✓"))))</f>
        <v/>
      </c>
    </row>
    <row r="272">
      <c r="B272" s="113" t="n"/>
      <c r="C272" s="114" t="n"/>
      <c r="D272" s="115" t="n"/>
      <c r="E272" s="116" t="n"/>
      <c r="F272" s="115" t="n"/>
      <c r="G272" s="117">
        <f>IF(COUNTA(B272:E272)=0,"",IF(COUNTA(B272:E272)&lt;4,"⚠ กรอกไม่ครบ",IF(NOT(ISNUMBER(B272)),"⚠ วันที่ไม่ถูกต้อง",IF(COUNTIFS(Setup!$L$6:$L$60,D272,Setup!$M$6:$M$60,C272)=0,"⚠ หมวดไม่ตรงประเภท","✓"))))</f>
        <v/>
      </c>
    </row>
    <row r="273">
      <c r="B273" s="113" t="n"/>
      <c r="C273" s="114" t="n"/>
      <c r="D273" s="115" t="n"/>
      <c r="E273" s="116" t="n"/>
      <c r="F273" s="115" t="n"/>
      <c r="G273" s="117">
        <f>IF(COUNTA(B273:E273)=0,"",IF(COUNTA(B273:E273)&lt;4,"⚠ กรอกไม่ครบ",IF(NOT(ISNUMBER(B273)),"⚠ วันที่ไม่ถูกต้อง",IF(COUNTIFS(Setup!$L$6:$L$60,D273,Setup!$M$6:$M$60,C273)=0,"⚠ หมวดไม่ตรงประเภท","✓"))))</f>
        <v/>
      </c>
    </row>
    <row r="274">
      <c r="B274" s="113" t="n"/>
      <c r="C274" s="114" t="n"/>
      <c r="D274" s="115" t="n"/>
      <c r="E274" s="116" t="n"/>
      <c r="F274" s="115" t="n"/>
      <c r="G274" s="117">
        <f>IF(COUNTA(B274:E274)=0,"",IF(COUNTA(B274:E274)&lt;4,"⚠ กรอกไม่ครบ",IF(NOT(ISNUMBER(B274)),"⚠ วันที่ไม่ถูกต้อง",IF(COUNTIFS(Setup!$L$6:$L$60,D274,Setup!$M$6:$M$60,C274)=0,"⚠ หมวดไม่ตรงประเภท","✓"))))</f>
        <v/>
      </c>
    </row>
    <row r="275">
      <c r="B275" s="113" t="n"/>
      <c r="C275" s="114" t="n"/>
      <c r="D275" s="115" t="n"/>
      <c r="E275" s="116" t="n"/>
      <c r="F275" s="115" t="n"/>
      <c r="G275" s="117">
        <f>IF(COUNTA(B275:E275)=0,"",IF(COUNTA(B275:E275)&lt;4,"⚠ กรอกไม่ครบ",IF(NOT(ISNUMBER(B275)),"⚠ วันที่ไม่ถูกต้อง",IF(COUNTIFS(Setup!$L$6:$L$60,D275,Setup!$M$6:$M$60,C275)=0,"⚠ หมวดไม่ตรงประเภท","✓"))))</f>
        <v/>
      </c>
    </row>
    <row r="276">
      <c r="B276" s="113" t="n"/>
      <c r="C276" s="114" t="n"/>
      <c r="D276" s="115" t="n"/>
      <c r="E276" s="116" t="n"/>
      <c r="F276" s="115" t="n"/>
      <c r="G276" s="117">
        <f>IF(COUNTA(B276:E276)=0,"",IF(COUNTA(B276:E276)&lt;4,"⚠ กรอกไม่ครบ",IF(NOT(ISNUMBER(B276)),"⚠ วันที่ไม่ถูกต้อง",IF(COUNTIFS(Setup!$L$6:$L$60,D276,Setup!$M$6:$M$60,C276)=0,"⚠ หมวดไม่ตรงประเภท","✓"))))</f>
        <v/>
      </c>
    </row>
    <row r="277">
      <c r="B277" s="113" t="n"/>
      <c r="C277" s="114" t="n"/>
      <c r="D277" s="115" t="n"/>
      <c r="E277" s="116" t="n"/>
      <c r="F277" s="115" t="n"/>
      <c r="G277" s="117">
        <f>IF(COUNTA(B277:E277)=0,"",IF(COUNTA(B277:E277)&lt;4,"⚠ กรอกไม่ครบ",IF(NOT(ISNUMBER(B277)),"⚠ วันที่ไม่ถูกต้อง",IF(COUNTIFS(Setup!$L$6:$L$60,D277,Setup!$M$6:$M$60,C277)=0,"⚠ หมวดไม่ตรงประเภท","✓"))))</f>
        <v/>
      </c>
    </row>
    <row r="278">
      <c r="B278" s="113" t="n"/>
      <c r="C278" s="114" t="n"/>
      <c r="D278" s="115" t="n"/>
      <c r="E278" s="116" t="n"/>
      <c r="F278" s="115" t="n"/>
      <c r="G278" s="117">
        <f>IF(COUNTA(B278:E278)=0,"",IF(COUNTA(B278:E278)&lt;4,"⚠ กรอกไม่ครบ",IF(NOT(ISNUMBER(B278)),"⚠ วันที่ไม่ถูกต้อง",IF(COUNTIFS(Setup!$L$6:$L$60,D278,Setup!$M$6:$M$60,C278)=0,"⚠ หมวดไม่ตรงประเภท","✓"))))</f>
        <v/>
      </c>
    </row>
    <row r="279">
      <c r="B279" s="113" t="n"/>
      <c r="C279" s="114" t="n"/>
      <c r="D279" s="115" t="n"/>
      <c r="E279" s="116" t="n"/>
      <c r="F279" s="115" t="n"/>
      <c r="G279" s="117">
        <f>IF(COUNTA(B279:E279)=0,"",IF(COUNTA(B279:E279)&lt;4,"⚠ กรอกไม่ครบ",IF(NOT(ISNUMBER(B279)),"⚠ วันที่ไม่ถูกต้อง",IF(COUNTIFS(Setup!$L$6:$L$60,D279,Setup!$M$6:$M$60,C279)=0,"⚠ หมวดไม่ตรงประเภท","✓"))))</f>
        <v/>
      </c>
    </row>
    <row r="280">
      <c r="B280" s="113" t="n"/>
      <c r="C280" s="114" t="n"/>
      <c r="D280" s="115" t="n"/>
      <c r="E280" s="116" t="n"/>
      <c r="F280" s="115" t="n"/>
      <c r="G280" s="117">
        <f>IF(COUNTA(B280:E280)=0,"",IF(COUNTA(B280:E280)&lt;4,"⚠ กรอกไม่ครบ",IF(NOT(ISNUMBER(B280)),"⚠ วันที่ไม่ถูกต้อง",IF(COUNTIFS(Setup!$L$6:$L$60,D280,Setup!$M$6:$M$60,C280)=0,"⚠ หมวดไม่ตรงประเภท","✓"))))</f>
        <v/>
      </c>
    </row>
    <row r="281">
      <c r="B281" s="113" t="n"/>
      <c r="C281" s="114" t="n"/>
      <c r="D281" s="115" t="n"/>
      <c r="E281" s="116" t="n"/>
      <c r="F281" s="115" t="n"/>
      <c r="G281" s="117">
        <f>IF(COUNTA(B281:E281)=0,"",IF(COUNTA(B281:E281)&lt;4,"⚠ กรอกไม่ครบ",IF(NOT(ISNUMBER(B281)),"⚠ วันที่ไม่ถูกต้อง",IF(COUNTIFS(Setup!$L$6:$L$60,D281,Setup!$M$6:$M$60,C281)=0,"⚠ หมวดไม่ตรงประเภท","✓"))))</f>
        <v/>
      </c>
    </row>
    <row r="282">
      <c r="B282" s="113" t="n"/>
      <c r="C282" s="114" t="n"/>
      <c r="D282" s="115" t="n"/>
      <c r="E282" s="116" t="n"/>
      <c r="F282" s="115" t="n"/>
      <c r="G282" s="117">
        <f>IF(COUNTA(B282:E282)=0,"",IF(COUNTA(B282:E282)&lt;4,"⚠ กรอกไม่ครบ",IF(NOT(ISNUMBER(B282)),"⚠ วันที่ไม่ถูกต้อง",IF(COUNTIFS(Setup!$L$6:$L$60,D282,Setup!$M$6:$M$60,C282)=0,"⚠ หมวดไม่ตรงประเภท","✓"))))</f>
        <v/>
      </c>
    </row>
    <row r="283">
      <c r="B283" s="113" t="n"/>
      <c r="C283" s="114" t="n"/>
      <c r="D283" s="115" t="n"/>
      <c r="E283" s="116" t="n"/>
      <c r="F283" s="115" t="n"/>
      <c r="G283" s="117">
        <f>IF(COUNTA(B283:E283)=0,"",IF(COUNTA(B283:E283)&lt;4,"⚠ กรอกไม่ครบ",IF(NOT(ISNUMBER(B283)),"⚠ วันที่ไม่ถูกต้อง",IF(COUNTIFS(Setup!$L$6:$L$60,D283,Setup!$M$6:$M$60,C283)=0,"⚠ หมวดไม่ตรงประเภท","✓"))))</f>
        <v/>
      </c>
    </row>
    <row r="284">
      <c r="B284" s="113" t="n"/>
      <c r="C284" s="114" t="n"/>
      <c r="D284" s="115" t="n"/>
      <c r="E284" s="116" t="n"/>
      <c r="F284" s="115" t="n"/>
      <c r="G284" s="117">
        <f>IF(COUNTA(B284:E284)=0,"",IF(COUNTA(B284:E284)&lt;4,"⚠ กรอกไม่ครบ",IF(NOT(ISNUMBER(B284)),"⚠ วันที่ไม่ถูกต้อง",IF(COUNTIFS(Setup!$L$6:$L$60,D284,Setup!$M$6:$M$60,C284)=0,"⚠ หมวดไม่ตรงประเภท","✓"))))</f>
        <v/>
      </c>
    </row>
    <row r="285">
      <c r="B285" s="113" t="n"/>
      <c r="C285" s="114" t="n"/>
      <c r="D285" s="115" t="n"/>
      <c r="E285" s="116" t="n"/>
      <c r="F285" s="115" t="n"/>
      <c r="G285" s="117">
        <f>IF(COUNTA(B285:E285)=0,"",IF(COUNTA(B285:E285)&lt;4,"⚠ กรอกไม่ครบ",IF(NOT(ISNUMBER(B285)),"⚠ วันที่ไม่ถูกต้อง",IF(COUNTIFS(Setup!$L$6:$L$60,D285,Setup!$M$6:$M$60,C285)=0,"⚠ หมวดไม่ตรงประเภท","✓"))))</f>
        <v/>
      </c>
    </row>
    <row r="286">
      <c r="B286" s="113" t="n"/>
      <c r="C286" s="114" t="n"/>
      <c r="D286" s="115" t="n"/>
      <c r="E286" s="116" t="n"/>
      <c r="F286" s="115" t="n"/>
      <c r="G286" s="117">
        <f>IF(COUNTA(B286:E286)=0,"",IF(COUNTA(B286:E286)&lt;4,"⚠ กรอกไม่ครบ",IF(NOT(ISNUMBER(B286)),"⚠ วันที่ไม่ถูกต้อง",IF(COUNTIFS(Setup!$L$6:$L$60,D286,Setup!$M$6:$M$60,C286)=0,"⚠ หมวดไม่ตรงประเภท","✓"))))</f>
        <v/>
      </c>
    </row>
    <row r="287">
      <c r="B287" s="113" t="n"/>
      <c r="C287" s="114" t="n"/>
      <c r="D287" s="115" t="n"/>
      <c r="E287" s="116" t="n"/>
      <c r="F287" s="115" t="n"/>
      <c r="G287" s="117">
        <f>IF(COUNTA(B287:E287)=0,"",IF(COUNTA(B287:E287)&lt;4,"⚠ กรอกไม่ครบ",IF(NOT(ISNUMBER(B287)),"⚠ วันที่ไม่ถูกต้อง",IF(COUNTIFS(Setup!$L$6:$L$60,D287,Setup!$M$6:$M$60,C287)=0,"⚠ หมวดไม่ตรงประเภท","✓"))))</f>
        <v/>
      </c>
    </row>
    <row r="288">
      <c r="B288" s="113" t="n"/>
      <c r="C288" s="114" t="n"/>
      <c r="D288" s="115" t="n"/>
      <c r="E288" s="116" t="n"/>
      <c r="F288" s="115" t="n"/>
      <c r="G288" s="117">
        <f>IF(COUNTA(B288:E288)=0,"",IF(COUNTA(B288:E288)&lt;4,"⚠ กรอกไม่ครบ",IF(NOT(ISNUMBER(B288)),"⚠ วันที่ไม่ถูกต้อง",IF(COUNTIFS(Setup!$L$6:$L$60,D288,Setup!$M$6:$M$60,C288)=0,"⚠ หมวดไม่ตรงประเภท","✓"))))</f>
        <v/>
      </c>
    </row>
    <row r="289">
      <c r="B289" s="113" t="n"/>
      <c r="C289" s="114" t="n"/>
      <c r="D289" s="115" t="n"/>
      <c r="E289" s="116" t="n"/>
      <c r="F289" s="115" t="n"/>
      <c r="G289" s="117">
        <f>IF(COUNTA(B289:E289)=0,"",IF(COUNTA(B289:E289)&lt;4,"⚠ กรอกไม่ครบ",IF(NOT(ISNUMBER(B289)),"⚠ วันที่ไม่ถูกต้อง",IF(COUNTIFS(Setup!$L$6:$L$60,D289,Setup!$M$6:$M$60,C289)=0,"⚠ หมวดไม่ตรงประเภท","✓"))))</f>
        <v/>
      </c>
    </row>
    <row r="290">
      <c r="B290" s="113" t="n"/>
      <c r="C290" s="114" t="n"/>
      <c r="D290" s="115" t="n"/>
      <c r="E290" s="116" t="n"/>
      <c r="F290" s="115" t="n"/>
      <c r="G290" s="117">
        <f>IF(COUNTA(B290:E290)=0,"",IF(COUNTA(B290:E290)&lt;4,"⚠ กรอกไม่ครบ",IF(NOT(ISNUMBER(B290)),"⚠ วันที่ไม่ถูกต้อง",IF(COUNTIFS(Setup!$L$6:$L$60,D290,Setup!$M$6:$M$60,C290)=0,"⚠ หมวดไม่ตรงประเภท","✓"))))</f>
        <v/>
      </c>
    </row>
    <row r="291">
      <c r="B291" s="113" t="n"/>
      <c r="C291" s="114" t="n"/>
      <c r="D291" s="115" t="n"/>
      <c r="E291" s="116" t="n"/>
      <c r="F291" s="115" t="n"/>
      <c r="G291" s="117">
        <f>IF(COUNTA(B291:E291)=0,"",IF(COUNTA(B291:E291)&lt;4,"⚠ กรอกไม่ครบ",IF(NOT(ISNUMBER(B291)),"⚠ วันที่ไม่ถูกต้อง",IF(COUNTIFS(Setup!$L$6:$L$60,D291,Setup!$M$6:$M$60,C291)=0,"⚠ หมวดไม่ตรงประเภท","✓"))))</f>
        <v/>
      </c>
    </row>
    <row r="292">
      <c r="B292" s="113" t="n"/>
      <c r="C292" s="114" t="n"/>
      <c r="D292" s="115" t="n"/>
      <c r="E292" s="116" t="n"/>
      <c r="F292" s="115" t="n"/>
      <c r="G292" s="117">
        <f>IF(COUNTA(B292:E292)=0,"",IF(COUNTA(B292:E292)&lt;4,"⚠ กรอกไม่ครบ",IF(NOT(ISNUMBER(B292)),"⚠ วันที่ไม่ถูกต้อง",IF(COUNTIFS(Setup!$L$6:$L$60,D292,Setup!$M$6:$M$60,C292)=0,"⚠ หมวดไม่ตรงประเภท","✓"))))</f>
        <v/>
      </c>
    </row>
    <row r="293">
      <c r="B293" s="113" t="n"/>
      <c r="C293" s="114" t="n"/>
      <c r="D293" s="115" t="n"/>
      <c r="E293" s="116" t="n"/>
      <c r="F293" s="115" t="n"/>
      <c r="G293" s="117">
        <f>IF(COUNTA(B293:E293)=0,"",IF(COUNTA(B293:E293)&lt;4,"⚠ กรอกไม่ครบ",IF(NOT(ISNUMBER(B293)),"⚠ วันที่ไม่ถูกต้อง",IF(COUNTIFS(Setup!$L$6:$L$60,D293,Setup!$M$6:$M$60,C293)=0,"⚠ หมวดไม่ตรงประเภท","✓"))))</f>
        <v/>
      </c>
    </row>
    <row r="294">
      <c r="B294" s="113" t="n"/>
      <c r="C294" s="114" t="n"/>
      <c r="D294" s="115" t="n"/>
      <c r="E294" s="116" t="n"/>
      <c r="F294" s="115" t="n"/>
      <c r="G294" s="117">
        <f>IF(COUNTA(B294:E294)=0,"",IF(COUNTA(B294:E294)&lt;4,"⚠ กรอกไม่ครบ",IF(NOT(ISNUMBER(B294)),"⚠ วันที่ไม่ถูกต้อง",IF(COUNTIFS(Setup!$L$6:$L$60,D294,Setup!$M$6:$M$60,C294)=0,"⚠ หมวดไม่ตรงประเภท","✓"))))</f>
        <v/>
      </c>
    </row>
    <row r="295">
      <c r="B295" s="113" t="n"/>
      <c r="C295" s="114" t="n"/>
      <c r="D295" s="115" t="n"/>
      <c r="E295" s="116" t="n"/>
      <c r="F295" s="115" t="n"/>
      <c r="G295" s="117">
        <f>IF(COUNTA(B295:E295)=0,"",IF(COUNTA(B295:E295)&lt;4,"⚠ กรอกไม่ครบ",IF(NOT(ISNUMBER(B295)),"⚠ วันที่ไม่ถูกต้อง",IF(COUNTIFS(Setup!$L$6:$L$60,D295,Setup!$M$6:$M$60,C295)=0,"⚠ หมวดไม่ตรงประเภท","✓"))))</f>
        <v/>
      </c>
    </row>
    <row r="296">
      <c r="B296" s="113" t="n"/>
      <c r="C296" s="114" t="n"/>
      <c r="D296" s="115" t="n"/>
      <c r="E296" s="116" t="n"/>
      <c r="F296" s="115" t="n"/>
      <c r="G296" s="117">
        <f>IF(COUNTA(B296:E296)=0,"",IF(COUNTA(B296:E296)&lt;4,"⚠ กรอกไม่ครบ",IF(NOT(ISNUMBER(B296)),"⚠ วันที่ไม่ถูกต้อง",IF(COUNTIFS(Setup!$L$6:$L$60,D296,Setup!$M$6:$M$60,C296)=0,"⚠ หมวดไม่ตรงประเภท","✓"))))</f>
        <v/>
      </c>
    </row>
    <row r="297">
      <c r="B297" s="113" t="n"/>
      <c r="C297" s="114" t="n"/>
      <c r="D297" s="115" t="n"/>
      <c r="E297" s="116" t="n"/>
      <c r="F297" s="115" t="n"/>
      <c r="G297" s="117">
        <f>IF(COUNTA(B297:E297)=0,"",IF(COUNTA(B297:E297)&lt;4,"⚠ กรอกไม่ครบ",IF(NOT(ISNUMBER(B297)),"⚠ วันที่ไม่ถูกต้อง",IF(COUNTIFS(Setup!$L$6:$L$60,D297,Setup!$M$6:$M$60,C297)=0,"⚠ หมวดไม่ตรงประเภท","✓"))))</f>
        <v/>
      </c>
    </row>
    <row r="298">
      <c r="B298" s="113" t="n"/>
      <c r="C298" s="114" t="n"/>
      <c r="D298" s="115" t="n"/>
      <c r="E298" s="116" t="n"/>
      <c r="F298" s="115" t="n"/>
      <c r="G298" s="117">
        <f>IF(COUNTA(B298:E298)=0,"",IF(COUNTA(B298:E298)&lt;4,"⚠ กรอกไม่ครบ",IF(NOT(ISNUMBER(B298)),"⚠ วันที่ไม่ถูกต้อง",IF(COUNTIFS(Setup!$L$6:$L$60,D298,Setup!$M$6:$M$60,C298)=0,"⚠ หมวดไม่ตรงประเภท","✓"))))</f>
        <v/>
      </c>
    </row>
    <row r="299">
      <c r="B299" s="113" t="n"/>
      <c r="C299" s="114" t="n"/>
      <c r="D299" s="115" t="n"/>
      <c r="E299" s="116" t="n"/>
      <c r="F299" s="115" t="n"/>
      <c r="G299" s="117">
        <f>IF(COUNTA(B299:E299)=0,"",IF(COUNTA(B299:E299)&lt;4,"⚠ กรอกไม่ครบ",IF(NOT(ISNUMBER(B299)),"⚠ วันที่ไม่ถูกต้อง",IF(COUNTIFS(Setup!$L$6:$L$60,D299,Setup!$M$6:$M$60,C299)=0,"⚠ หมวดไม่ตรงประเภท","✓"))))</f>
        <v/>
      </c>
    </row>
    <row r="300">
      <c r="B300" s="113" t="n"/>
      <c r="C300" s="114" t="n"/>
      <c r="D300" s="115" t="n"/>
      <c r="E300" s="116" t="n"/>
      <c r="F300" s="115" t="n"/>
      <c r="G300" s="117">
        <f>IF(COUNTA(B300:E300)=0,"",IF(COUNTA(B300:E300)&lt;4,"⚠ กรอกไม่ครบ",IF(NOT(ISNUMBER(B300)),"⚠ วันที่ไม่ถูกต้อง",IF(COUNTIFS(Setup!$L$6:$L$60,D300,Setup!$M$6:$M$60,C300)=0,"⚠ หมวดไม่ตรงประเภท","✓"))))</f>
        <v/>
      </c>
    </row>
    <row r="301">
      <c r="B301" s="113" t="n"/>
      <c r="C301" s="114" t="n"/>
      <c r="D301" s="115" t="n"/>
      <c r="E301" s="116" t="n"/>
      <c r="F301" s="115" t="n"/>
      <c r="G301" s="117">
        <f>IF(COUNTA(B301:E301)=0,"",IF(COUNTA(B301:E301)&lt;4,"⚠ กรอกไม่ครบ",IF(NOT(ISNUMBER(B301)),"⚠ วันที่ไม่ถูกต้อง",IF(COUNTIFS(Setup!$L$6:$L$60,D301,Setup!$M$6:$M$60,C301)=0,"⚠ หมวดไม่ตรงประเภท","✓"))))</f>
        <v/>
      </c>
    </row>
    <row r="302">
      <c r="B302" s="113" t="n"/>
      <c r="C302" s="114" t="n"/>
      <c r="D302" s="115" t="n"/>
      <c r="E302" s="116" t="n"/>
      <c r="F302" s="115" t="n"/>
      <c r="G302" s="117">
        <f>IF(COUNTA(B302:E302)=0,"",IF(COUNTA(B302:E302)&lt;4,"⚠ กรอกไม่ครบ",IF(NOT(ISNUMBER(B302)),"⚠ วันที่ไม่ถูกต้อง",IF(COUNTIFS(Setup!$L$6:$L$60,D302,Setup!$M$6:$M$60,C302)=0,"⚠ หมวดไม่ตรงประเภท","✓"))))</f>
        <v/>
      </c>
    </row>
    <row r="303">
      <c r="B303" s="113" t="n"/>
      <c r="C303" s="114" t="n"/>
      <c r="D303" s="115" t="n"/>
      <c r="E303" s="116" t="n"/>
      <c r="F303" s="115" t="n"/>
      <c r="G303" s="117">
        <f>IF(COUNTA(B303:E303)=0,"",IF(COUNTA(B303:E303)&lt;4,"⚠ กรอกไม่ครบ",IF(NOT(ISNUMBER(B303)),"⚠ วันที่ไม่ถูกต้อง",IF(COUNTIFS(Setup!$L$6:$L$60,D303,Setup!$M$6:$M$60,C303)=0,"⚠ หมวดไม่ตรงประเภท","✓"))))</f>
        <v/>
      </c>
    </row>
    <row r="304">
      <c r="B304" s="113" t="n"/>
      <c r="C304" s="114" t="n"/>
      <c r="D304" s="115" t="n"/>
      <c r="E304" s="116" t="n"/>
      <c r="F304" s="115" t="n"/>
      <c r="G304" s="117">
        <f>IF(COUNTA(B304:E304)=0,"",IF(COUNTA(B304:E304)&lt;4,"⚠ กรอกไม่ครบ",IF(NOT(ISNUMBER(B304)),"⚠ วันที่ไม่ถูกต้อง",IF(COUNTIFS(Setup!$L$6:$L$60,D304,Setup!$M$6:$M$60,C304)=0,"⚠ หมวดไม่ตรงประเภท","✓"))))</f>
        <v/>
      </c>
    </row>
    <row r="305">
      <c r="B305" s="113" t="n"/>
      <c r="C305" s="114" t="n"/>
      <c r="D305" s="115" t="n"/>
      <c r="E305" s="116" t="n"/>
      <c r="F305" s="115" t="n"/>
      <c r="G305" s="117">
        <f>IF(COUNTA(B305:E305)=0,"",IF(COUNTA(B305:E305)&lt;4,"⚠ กรอกไม่ครบ",IF(NOT(ISNUMBER(B305)),"⚠ วันที่ไม่ถูกต้อง",IF(COUNTIFS(Setup!$L$6:$L$60,D305,Setup!$M$6:$M$60,C305)=0,"⚠ หมวดไม่ตรงประเภท","✓"))))</f>
        <v/>
      </c>
    </row>
    <row r="306">
      <c r="B306" s="113" t="n"/>
      <c r="C306" s="114" t="n"/>
      <c r="D306" s="115" t="n"/>
      <c r="E306" s="116" t="n"/>
      <c r="F306" s="115" t="n"/>
      <c r="G306" s="117">
        <f>IF(COUNTA(B306:E306)=0,"",IF(COUNTA(B306:E306)&lt;4,"⚠ กรอกไม่ครบ",IF(NOT(ISNUMBER(B306)),"⚠ วันที่ไม่ถูกต้อง",IF(COUNTIFS(Setup!$L$6:$L$60,D306,Setup!$M$6:$M$60,C306)=0,"⚠ หมวดไม่ตรงประเภท","✓"))))</f>
        <v/>
      </c>
    </row>
    <row r="307">
      <c r="B307" s="113" t="n"/>
      <c r="C307" s="114" t="n"/>
      <c r="D307" s="115" t="n"/>
      <c r="E307" s="116" t="n"/>
      <c r="F307" s="115" t="n"/>
      <c r="G307" s="117">
        <f>IF(COUNTA(B307:E307)=0,"",IF(COUNTA(B307:E307)&lt;4,"⚠ กรอกไม่ครบ",IF(NOT(ISNUMBER(B307)),"⚠ วันที่ไม่ถูกต้อง",IF(COUNTIFS(Setup!$L$6:$L$60,D307,Setup!$M$6:$M$60,C307)=0,"⚠ หมวดไม่ตรงประเภท","✓"))))</f>
        <v/>
      </c>
    </row>
    <row r="308">
      <c r="B308" s="113" t="n"/>
      <c r="C308" s="114" t="n"/>
      <c r="D308" s="115" t="n"/>
      <c r="E308" s="116" t="n"/>
      <c r="F308" s="115" t="n"/>
      <c r="G308" s="117">
        <f>IF(COUNTA(B308:E308)=0,"",IF(COUNTA(B308:E308)&lt;4,"⚠ กรอกไม่ครบ",IF(NOT(ISNUMBER(B308)),"⚠ วันที่ไม่ถูกต้อง",IF(COUNTIFS(Setup!$L$6:$L$60,D308,Setup!$M$6:$M$60,C308)=0,"⚠ หมวดไม่ตรงประเภท","✓"))))</f>
        <v/>
      </c>
    </row>
    <row r="309">
      <c r="B309" s="113" t="n"/>
      <c r="C309" s="114" t="n"/>
      <c r="D309" s="115" t="n"/>
      <c r="E309" s="116" t="n"/>
      <c r="F309" s="115" t="n"/>
      <c r="G309" s="117">
        <f>IF(COUNTA(B309:E309)=0,"",IF(COUNTA(B309:E309)&lt;4,"⚠ กรอกไม่ครบ",IF(NOT(ISNUMBER(B309)),"⚠ วันที่ไม่ถูกต้อง",IF(COUNTIFS(Setup!$L$6:$L$60,D309,Setup!$M$6:$M$60,C309)=0,"⚠ หมวดไม่ตรงประเภท","✓"))))</f>
        <v/>
      </c>
    </row>
    <row r="310">
      <c r="B310" s="113" t="n"/>
      <c r="C310" s="114" t="n"/>
      <c r="D310" s="115" t="n"/>
      <c r="E310" s="116" t="n"/>
      <c r="F310" s="115" t="n"/>
      <c r="G310" s="117">
        <f>IF(COUNTA(B310:E310)=0,"",IF(COUNTA(B310:E310)&lt;4,"⚠ กรอกไม่ครบ",IF(NOT(ISNUMBER(B310)),"⚠ วันที่ไม่ถูกต้อง",IF(COUNTIFS(Setup!$L$6:$L$60,D310,Setup!$M$6:$M$60,C310)=0,"⚠ หมวดไม่ตรงประเภท","✓"))))</f>
        <v/>
      </c>
    </row>
    <row r="311">
      <c r="B311" s="113" t="n"/>
      <c r="C311" s="114" t="n"/>
      <c r="D311" s="115" t="n"/>
      <c r="E311" s="116" t="n"/>
      <c r="F311" s="115" t="n"/>
      <c r="G311" s="117">
        <f>IF(COUNTA(B311:E311)=0,"",IF(COUNTA(B311:E311)&lt;4,"⚠ กรอกไม่ครบ",IF(NOT(ISNUMBER(B311)),"⚠ วันที่ไม่ถูกต้อง",IF(COUNTIFS(Setup!$L$6:$L$60,D311,Setup!$M$6:$M$60,C311)=0,"⚠ หมวดไม่ตรงประเภท","✓"))))</f>
        <v/>
      </c>
    </row>
    <row r="312">
      <c r="B312" s="113" t="n"/>
      <c r="C312" s="114" t="n"/>
      <c r="D312" s="115" t="n"/>
      <c r="E312" s="116" t="n"/>
      <c r="F312" s="115" t="n"/>
      <c r="G312" s="117">
        <f>IF(COUNTA(B312:E312)=0,"",IF(COUNTA(B312:E312)&lt;4,"⚠ กรอกไม่ครบ",IF(NOT(ISNUMBER(B312)),"⚠ วันที่ไม่ถูกต้อง",IF(COUNTIFS(Setup!$L$6:$L$60,D312,Setup!$M$6:$M$60,C312)=0,"⚠ หมวดไม่ตรงประเภท","✓"))))</f>
        <v/>
      </c>
    </row>
    <row r="313">
      <c r="B313" s="113" t="n"/>
      <c r="C313" s="114" t="n"/>
      <c r="D313" s="115" t="n"/>
      <c r="E313" s="116" t="n"/>
      <c r="F313" s="115" t="n"/>
      <c r="G313" s="117">
        <f>IF(COUNTA(B313:E313)=0,"",IF(COUNTA(B313:E313)&lt;4,"⚠ กรอกไม่ครบ",IF(NOT(ISNUMBER(B313)),"⚠ วันที่ไม่ถูกต้อง",IF(COUNTIFS(Setup!$L$6:$L$60,D313,Setup!$M$6:$M$60,C313)=0,"⚠ หมวดไม่ตรงประเภท","✓"))))</f>
        <v/>
      </c>
    </row>
    <row r="314">
      <c r="B314" s="113" t="n"/>
      <c r="C314" s="114" t="n"/>
      <c r="D314" s="115" t="n"/>
      <c r="E314" s="116" t="n"/>
      <c r="F314" s="115" t="n"/>
      <c r="G314" s="117">
        <f>IF(COUNTA(B314:E314)=0,"",IF(COUNTA(B314:E314)&lt;4,"⚠ กรอกไม่ครบ",IF(NOT(ISNUMBER(B314)),"⚠ วันที่ไม่ถูกต้อง",IF(COUNTIFS(Setup!$L$6:$L$60,D314,Setup!$M$6:$M$60,C314)=0,"⚠ หมวดไม่ตรงประเภท","✓"))))</f>
        <v/>
      </c>
    </row>
    <row r="315">
      <c r="B315" s="113" t="n"/>
      <c r="C315" s="114" t="n"/>
      <c r="D315" s="115" t="n"/>
      <c r="E315" s="116" t="n"/>
      <c r="F315" s="115" t="n"/>
      <c r="G315" s="117">
        <f>IF(COUNTA(B315:E315)=0,"",IF(COUNTA(B315:E315)&lt;4,"⚠ กรอกไม่ครบ",IF(NOT(ISNUMBER(B315)),"⚠ วันที่ไม่ถูกต้อง",IF(COUNTIFS(Setup!$L$6:$L$60,D315,Setup!$M$6:$M$60,C315)=0,"⚠ หมวดไม่ตรงประเภท","✓"))))</f>
        <v/>
      </c>
    </row>
    <row r="316">
      <c r="B316" s="113" t="n"/>
      <c r="C316" s="114" t="n"/>
      <c r="D316" s="115" t="n"/>
      <c r="E316" s="116" t="n"/>
      <c r="F316" s="115" t="n"/>
      <c r="G316" s="117">
        <f>IF(COUNTA(B316:E316)=0,"",IF(COUNTA(B316:E316)&lt;4,"⚠ กรอกไม่ครบ",IF(NOT(ISNUMBER(B316)),"⚠ วันที่ไม่ถูกต้อง",IF(COUNTIFS(Setup!$L$6:$L$60,D316,Setup!$M$6:$M$60,C316)=0,"⚠ หมวดไม่ตรงประเภท","✓"))))</f>
        <v/>
      </c>
    </row>
    <row r="317">
      <c r="B317" s="113" t="n"/>
      <c r="C317" s="114" t="n"/>
      <c r="D317" s="115" t="n"/>
      <c r="E317" s="116" t="n"/>
      <c r="F317" s="115" t="n"/>
      <c r="G317" s="117">
        <f>IF(COUNTA(B317:E317)=0,"",IF(COUNTA(B317:E317)&lt;4,"⚠ กรอกไม่ครบ",IF(NOT(ISNUMBER(B317)),"⚠ วันที่ไม่ถูกต้อง",IF(COUNTIFS(Setup!$L$6:$L$60,D317,Setup!$M$6:$M$60,C317)=0,"⚠ หมวดไม่ตรงประเภท","✓"))))</f>
        <v/>
      </c>
    </row>
    <row r="318">
      <c r="B318" s="113" t="n"/>
      <c r="C318" s="114" t="n"/>
      <c r="D318" s="115" t="n"/>
      <c r="E318" s="116" t="n"/>
      <c r="F318" s="115" t="n"/>
      <c r="G318" s="117">
        <f>IF(COUNTA(B318:E318)=0,"",IF(COUNTA(B318:E318)&lt;4,"⚠ กรอกไม่ครบ",IF(NOT(ISNUMBER(B318)),"⚠ วันที่ไม่ถูกต้อง",IF(COUNTIFS(Setup!$L$6:$L$60,D318,Setup!$M$6:$M$60,C318)=0,"⚠ หมวดไม่ตรงประเภท","✓"))))</f>
        <v/>
      </c>
    </row>
    <row r="319">
      <c r="B319" s="113" t="n"/>
      <c r="C319" s="114" t="n"/>
      <c r="D319" s="115" t="n"/>
      <c r="E319" s="116" t="n"/>
      <c r="F319" s="115" t="n"/>
      <c r="G319" s="117">
        <f>IF(COUNTA(B319:E319)=0,"",IF(COUNTA(B319:E319)&lt;4,"⚠ กรอกไม่ครบ",IF(NOT(ISNUMBER(B319)),"⚠ วันที่ไม่ถูกต้อง",IF(COUNTIFS(Setup!$L$6:$L$60,D319,Setup!$M$6:$M$60,C319)=0,"⚠ หมวดไม่ตรงประเภท","✓"))))</f>
        <v/>
      </c>
    </row>
    <row r="320">
      <c r="B320" s="113" t="n"/>
      <c r="C320" s="114" t="n"/>
      <c r="D320" s="115" t="n"/>
      <c r="E320" s="116" t="n"/>
      <c r="F320" s="115" t="n"/>
      <c r="G320" s="117">
        <f>IF(COUNTA(B320:E320)=0,"",IF(COUNTA(B320:E320)&lt;4,"⚠ กรอกไม่ครบ",IF(NOT(ISNUMBER(B320)),"⚠ วันที่ไม่ถูกต้อง",IF(COUNTIFS(Setup!$L$6:$L$60,D320,Setup!$M$6:$M$60,C320)=0,"⚠ หมวดไม่ตรงประเภท","✓"))))</f>
        <v/>
      </c>
    </row>
    <row r="321">
      <c r="B321" s="113" t="n"/>
      <c r="C321" s="114" t="n"/>
      <c r="D321" s="115" t="n"/>
      <c r="E321" s="116" t="n"/>
      <c r="F321" s="115" t="n"/>
      <c r="G321" s="117">
        <f>IF(COUNTA(B321:E321)=0,"",IF(COUNTA(B321:E321)&lt;4,"⚠ กรอกไม่ครบ",IF(NOT(ISNUMBER(B321)),"⚠ วันที่ไม่ถูกต้อง",IF(COUNTIFS(Setup!$L$6:$L$60,D321,Setup!$M$6:$M$60,C321)=0,"⚠ หมวดไม่ตรงประเภท","✓"))))</f>
        <v/>
      </c>
    </row>
    <row r="322">
      <c r="B322" s="113" t="n"/>
      <c r="C322" s="114" t="n"/>
      <c r="D322" s="115" t="n"/>
      <c r="E322" s="116" t="n"/>
      <c r="F322" s="115" t="n"/>
      <c r="G322" s="117">
        <f>IF(COUNTA(B322:E322)=0,"",IF(COUNTA(B322:E322)&lt;4,"⚠ กรอกไม่ครบ",IF(NOT(ISNUMBER(B322)),"⚠ วันที่ไม่ถูกต้อง",IF(COUNTIFS(Setup!$L$6:$L$60,D322,Setup!$M$6:$M$60,C322)=0,"⚠ หมวดไม่ตรงประเภท","✓"))))</f>
        <v/>
      </c>
    </row>
    <row r="323">
      <c r="B323" s="113" t="n"/>
      <c r="C323" s="114" t="n"/>
      <c r="D323" s="115" t="n"/>
      <c r="E323" s="116" t="n"/>
      <c r="F323" s="115" t="n"/>
      <c r="G323" s="117">
        <f>IF(COUNTA(B323:E323)=0,"",IF(COUNTA(B323:E323)&lt;4,"⚠ กรอกไม่ครบ",IF(NOT(ISNUMBER(B323)),"⚠ วันที่ไม่ถูกต้อง",IF(COUNTIFS(Setup!$L$6:$L$60,D323,Setup!$M$6:$M$60,C323)=0,"⚠ หมวดไม่ตรงประเภท","✓"))))</f>
        <v/>
      </c>
    </row>
    <row r="324">
      <c r="B324" s="113" t="n"/>
      <c r="C324" s="114" t="n"/>
      <c r="D324" s="115" t="n"/>
      <c r="E324" s="116" t="n"/>
      <c r="F324" s="115" t="n"/>
      <c r="G324" s="117">
        <f>IF(COUNTA(B324:E324)=0,"",IF(COUNTA(B324:E324)&lt;4,"⚠ กรอกไม่ครบ",IF(NOT(ISNUMBER(B324)),"⚠ วันที่ไม่ถูกต้อง",IF(COUNTIFS(Setup!$L$6:$L$60,D324,Setup!$M$6:$M$60,C324)=0,"⚠ หมวดไม่ตรงประเภท","✓"))))</f>
        <v/>
      </c>
    </row>
    <row r="325">
      <c r="B325" s="113" t="n"/>
      <c r="C325" s="114" t="n"/>
      <c r="D325" s="115" t="n"/>
      <c r="E325" s="116" t="n"/>
      <c r="F325" s="115" t="n"/>
      <c r="G325" s="117">
        <f>IF(COUNTA(B325:E325)=0,"",IF(COUNTA(B325:E325)&lt;4,"⚠ กรอกไม่ครบ",IF(NOT(ISNUMBER(B325)),"⚠ วันที่ไม่ถูกต้อง",IF(COUNTIFS(Setup!$L$6:$L$60,D325,Setup!$M$6:$M$60,C325)=0,"⚠ หมวดไม่ตรงประเภท","✓"))))</f>
        <v/>
      </c>
    </row>
    <row r="326">
      <c r="B326" s="113" t="n"/>
      <c r="C326" s="114" t="n"/>
      <c r="D326" s="115" t="n"/>
      <c r="E326" s="116" t="n"/>
      <c r="F326" s="115" t="n"/>
      <c r="G326" s="117">
        <f>IF(COUNTA(B326:E326)=0,"",IF(COUNTA(B326:E326)&lt;4,"⚠ กรอกไม่ครบ",IF(NOT(ISNUMBER(B326)),"⚠ วันที่ไม่ถูกต้อง",IF(COUNTIFS(Setup!$L$6:$L$60,D326,Setup!$M$6:$M$60,C326)=0,"⚠ หมวดไม่ตรงประเภท","✓"))))</f>
        <v/>
      </c>
    </row>
    <row r="327">
      <c r="B327" s="113" t="n"/>
      <c r="C327" s="114" t="n"/>
      <c r="D327" s="115" t="n"/>
      <c r="E327" s="116" t="n"/>
      <c r="F327" s="115" t="n"/>
      <c r="G327" s="117">
        <f>IF(COUNTA(B327:E327)=0,"",IF(COUNTA(B327:E327)&lt;4,"⚠ กรอกไม่ครบ",IF(NOT(ISNUMBER(B327)),"⚠ วันที่ไม่ถูกต้อง",IF(COUNTIFS(Setup!$L$6:$L$60,D327,Setup!$M$6:$M$60,C327)=0,"⚠ หมวดไม่ตรงประเภท","✓"))))</f>
        <v/>
      </c>
    </row>
    <row r="328">
      <c r="B328" s="113" t="n"/>
      <c r="C328" s="114" t="n"/>
      <c r="D328" s="115" t="n"/>
      <c r="E328" s="116" t="n"/>
      <c r="F328" s="115" t="n"/>
      <c r="G328" s="117">
        <f>IF(COUNTA(B328:E328)=0,"",IF(COUNTA(B328:E328)&lt;4,"⚠ กรอกไม่ครบ",IF(NOT(ISNUMBER(B328)),"⚠ วันที่ไม่ถูกต้อง",IF(COUNTIFS(Setup!$L$6:$L$60,D328,Setup!$M$6:$M$60,C328)=0,"⚠ หมวดไม่ตรงประเภท","✓"))))</f>
        <v/>
      </c>
    </row>
    <row r="329">
      <c r="B329" s="113" t="n"/>
      <c r="C329" s="114" t="n"/>
      <c r="D329" s="115" t="n"/>
      <c r="E329" s="116" t="n"/>
      <c r="F329" s="115" t="n"/>
      <c r="G329" s="117">
        <f>IF(COUNTA(B329:E329)=0,"",IF(COUNTA(B329:E329)&lt;4,"⚠ กรอกไม่ครบ",IF(NOT(ISNUMBER(B329)),"⚠ วันที่ไม่ถูกต้อง",IF(COUNTIFS(Setup!$L$6:$L$60,D329,Setup!$M$6:$M$60,C329)=0,"⚠ หมวดไม่ตรงประเภท","✓"))))</f>
        <v/>
      </c>
    </row>
    <row r="330">
      <c r="B330" s="113" t="n"/>
      <c r="C330" s="114" t="n"/>
      <c r="D330" s="115" t="n"/>
      <c r="E330" s="116" t="n"/>
      <c r="F330" s="115" t="n"/>
      <c r="G330" s="117">
        <f>IF(COUNTA(B330:E330)=0,"",IF(COUNTA(B330:E330)&lt;4,"⚠ กรอกไม่ครบ",IF(NOT(ISNUMBER(B330)),"⚠ วันที่ไม่ถูกต้อง",IF(COUNTIFS(Setup!$L$6:$L$60,D330,Setup!$M$6:$M$60,C330)=0,"⚠ หมวดไม่ตรงประเภท","✓"))))</f>
        <v/>
      </c>
    </row>
    <row r="331">
      <c r="B331" s="113" t="n"/>
      <c r="C331" s="114" t="n"/>
      <c r="D331" s="115" t="n"/>
      <c r="E331" s="116" t="n"/>
      <c r="F331" s="115" t="n"/>
      <c r="G331" s="117">
        <f>IF(COUNTA(B331:E331)=0,"",IF(COUNTA(B331:E331)&lt;4,"⚠ กรอกไม่ครบ",IF(NOT(ISNUMBER(B331)),"⚠ วันที่ไม่ถูกต้อง",IF(COUNTIFS(Setup!$L$6:$L$60,D331,Setup!$M$6:$M$60,C331)=0,"⚠ หมวดไม่ตรงประเภท","✓"))))</f>
        <v/>
      </c>
    </row>
    <row r="332">
      <c r="B332" s="113" t="n"/>
      <c r="C332" s="114" t="n"/>
      <c r="D332" s="115" t="n"/>
      <c r="E332" s="116" t="n"/>
      <c r="F332" s="115" t="n"/>
      <c r="G332" s="117">
        <f>IF(COUNTA(B332:E332)=0,"",IF(COUNTA(B332:E332)&lt;4,"⚠ กรอกไม่ครบ",IF(NOT(ISNUMBER(B332)),"⚠ วันที่ไม่ถูกต้อง",IF(COUNTIFS(Setup!$L$6:$L$60,D332,Setup!$M$6:$M$60,C332)=0,"⚠ หมวดไม่ตรงประเภท","✓"))))</f>
        <v/>
      </c>
    </row>
    <row r="333">
      <c r="B333" s="113" t="n"/>
      <c r="C333" s="114" t="n"/>
      <c r="D333" s="115" t="n"/>
      <c r="E333" s="116" t="n"/>
      <c r="F333" s="115" t="n"/>
      <c r="G333" s="117">
        <f>IF(COUNTA(B333:E333)=0,"",IF(COUNTA(B333:E333)&lt;4,"⚠ กรอกไม่ครบ",IF(NOT(ISNUMBER(B333)),"⚠ วันที่ไม่ถูกต้อง",IF(COUNTIFS(Setup!$L$6:$L$60,D333,Setup!$M$6:$M$60,C333)=0,"⚠ หมวดไม่ตรงประเภท","✓"))))</f>
        <v/>
      </c>
    </row>
    <row r="334">
      <c r="B334" s="113" t="n"/>
      <c r="C334" s="114" t="n"/>
      <c r="D334" s="115" t="n"/>
      <c r="E334" s="116" t="n"/>
      <c r="F334" s="115" t="n"/>
      <c r="G334" s="117">
        <f>IF(COUNTA(B334:E334)=0,"",IF(COUNTA(B334:E334)&lt;4,"⚠ กรอกไม่ครบ",IF(NOT(ISNUMBER(B334)),"⚠ วันที่ไม่ถูกต้อง",IF(COUNTIFS(Setup!$L$6:$L$60,D334,Setup!$M$6:$M$60,C334)=0,"⚠ หมวดไม่ตรงประเภท","✓"))))</f>
        <v/>
      </c>
    </row>
    <row r="335">
      <c r="B335" s="113" t="n"/>
      <c r="C335" s="114" t="n"/>
      <c r="D335" s="115" t="n"/>
      <c r="E335" s="116" t="n"/>
      <c r="F335" s="115" t="n"/>
      <c r="G335" s="117">
        <f>IF(COUNTA(B335:E335)=0,"",IF(COUNTA(B335:E335)&lt;4,"⚠ กรอกไม่ครบ",IF(NOT(ISNUMBER(B335)),"⚠ วันที่ไม่ถูกต้อง",IF(COUNTIFS(Setup!$L$6:$L$60,D335,Setup!$M$6:$M$60,C335)=0,"⚠ หมวดไม่ตรงประเภท","✓"))))</f>
        <v/>
      </c>
    </row>
    <row r="336">
      <c r="B336" s="113" t="n"/>
      <c r="C336" s="114" t="n"/>
      <c r="D336" s="115" t="n"/>
      <c r="E336" s="116" t="n"/>
      <c r="F336" s="115" t="n"/>
      <c r="G336" s="117">
        <f>IF(COUNTA(B336:E336)=0,"",IF(COUNTA(B336:E336)&lt;4,"⚠ กรอกไม่ครบ",IF(NOT(ISNUMBER(B336)),"⚠ วันที่ไม่ถูกต้อง",IF(COUNTIFS(Setup!$L$6:$L$60,D336,Setup!$M$6:$M$60,C336)=0,"⚠ หมวดไม่ตรงประเภท","✓"))))</f>
        <v/>
      </c>
    </row>
    <row r="337">
      <c r="B337" s="113" t="n"/>
      <c r="C337" s="114" t="n"/>
      <c r="D337" s="115" t="n"/>
      <c r="E337" s="116" t="n"/>
      <c r="F337" s="115" t="n"/>
      <c r="G337" s="117">
        <f>IF(COUNTA(B337:E337)=0,"",IF(COUNTA(B337:E337)&lt;4,"⚠ กรอกไม่ครบ",IF(NOT(ISNUMBER(B337)),"⚠ วันที่ไม่ถูกต้อง",IF(COUNTIFS(Setup!$L$6:$L$60,D337,Setup!$M$6:$M$60,C337)=0,"⚠ หมวดไม่ตรงประเภท","✓"))))</f>
        <v/>
      </c>
    </row>
    <row r="338">
      <c r="B338" s="113" t="n"/>
      <c r="C338" s="114" t="n"/>
      <c r="D338" s="115" t="n"/>
      <c r="E338" s="116" t="n"/>
      <c r="F338" s="115" t="n"/>
      <c r="G338" s="117">
        <f>IF(COUNTA(B338:E338)=0,"",IF(COUNTA(B338:E338)&lt;4,"⚠ กรอกไม่ครบ",IF(NOT(ISNUMBER(B338)),"⚠ วันที่ไม่ถูกต้อง",IF(COUNTIFS(Setup!$L$6:$L$60,D338,Setup!$M$6:$M$60,C338)=0,"⚠ หมวดไม่ตรงประเภท","✓"))))</f>
        <v/>
      </c>
    </row>
    <row r="339">
      <c r="B339" s="113" t="n"/>
      <c r="C339" s="114" t="n"/>
      <c r="D339" s="115" t="n"/>
      <c r="E339" s="116" t="n"/>
      <c r="F339" s="115" t="n"/>
      <c r="G339" s="117">
        <f>IF(COUNTA(B339:E339)=0,"",IF(COUNTA(B339:E339)&lt;4,"⚠ กรอกไม่ครบ",IF(NOT(ISNUMBER(B339)),"⚠ วันที่ไม่ถูกต้อง",IF(COUNTIFS(Setup!$L$6:$L$60,D339,Setup!$M$6:$M$60,C339)=0,"⚠ หมวดไม่ตรงประเภท","✓"))))</f>
        <v/>
      </c>
    </row>
    <row r="340">
      <c r="B340" s="113" t="n"/>
      <c r="C340" s="114" t="n"/>
      <c r="D340" s="115" t="n"/>
      <c r="E340" s="116" t="n"/>
      <c r="F340" s="115" t="n"/>
      <c r="G340" s="117">
        <f>IF(COUNTA(B340:E340)=0,"",IF(COUNTA(B340:E340)&lt;4,"⚠ กรอกไม่ครบ",IF(NOT(ISNUMBER(B340)),"⚠ วันที่ไม่ถูกต้อง",IF(COUNTIFS(Setup!$L$6:$L$60,D340,Setup!$M$6:$M$60,C340)=0,"⚠ หมวดไม่ตรงประเภท","✓"))))</f>
        <v/>
      </c>
    </row>
    <row r="341">
      <c r="B341" s="113" t="n"/>
      <c r="C341" s="114" t="n"/>
      <c r="D341" s="115" t="n"/>
      <c r="E341" s="116" t="n"/>
      <c r="F341" s="115" t="n"/>
      <c r="G341" s="117">
        <f>IF(COUNTA(B341:E341)=0,"",IF(COUNTA(B341:E341)&lt;4,"⚠ กรอกไม่ครบ",IF(NOT(ISNUMBER(B341)),"⚠ วันที่ไม่ถูกต้อง",IF(COUNTIFS(Setup!$L$6:$L$60,D341,Setup!$M$6:$M$60,C341)=0,"⚠ หมวดไม่ตรงประเภท","✓"))))</f>
        <v/>
      </c>
    </row>
    <row r="342">
      <c r="B342" s="113" t="n"/>
      <c r="C342" s="114" t="n"/>
      <c r="D342" s="115" t="n"/>
      <c r="E342" s="116" t="n"/>
      <c r="F342" s="115" t="n"/>
      <c r="G342" s="117">
        <f>IF(COUNTA(B342:E342)=0,"",IF(COUNTA(B342:E342)&lt;4,"⚠ กรอกไม่ครบ",IF(NOT(ISNUMBER(B342)),"⚠ วันที่ไม่ถูกต้อง",IF(COUNTIFS(Setup!$L$6:$L$60,D342,Setup!$M$6:$M$60,C342)=0,"⚠ หมวดไม่ตรงประเภท","✓"))))</f>
        <v/>
      </c>
    </row>
    <row r="343">
      <c r="B343" s="113" t="n"/>
      <c r="C343" s="114" t="n"/>
      <c r="D343" s="115" t="n"/>
      <c r="E343" s="116" t="n"/>
      <c r="F343" s="115" t="n"/>
      <c r="G343" s="117">
        <f>IF(COUNTA(B343:E343)=0,"",IF(COUNTA(B343:E343)&lt;4,"⚠ กรอกไม่ครบ",IF(NOT(ISNUMBER(B343)),"⚠ วันที่ไม่ถูกต้อง",IF(COUNTIFS(Setup!$L$6:$L$60,D343,Setup!$M$6:$M$60,C343)=0,"⚠ หมวดไม่ตรงประเภท","✓"))))</f>
        <v/>
      </c>
    </row>
    <row r="344">
      <c r="B344" s="113" t="n"/>
      <c r="C344" s="114" t="n"/>
      <c r="D344" s="115" t="n"/>
      <c r="E344" s="116" t="n"/>
      <c r="F344" s="115" t="n"/>
      <c r="G344" s="117">
        <f>IF(COUNTA(B344:E344)=0,"",IF(COUNTA(B344:E344)&lt;4,"⚠ กรอกไม่ครบ",IF(NOT(ISNUMBER(B344)),"⚠ วันที่ไม่ถูกต้อง",IF(COUNTIFS(Setup!$L$6:$L$60,D344,Setup!$M$6:$M$60,C344)=0,"⚠ หมวดไม่ตรงประเภท","✓"))))</f>
        <v/>
      </c>
    </row>
    <row r="345">
      <c r="B345" s="113" t="n"/>
      <c r="C345" s="114" t="n"/>
      <c r="D345" s="115" t="n"/>
      <c r="E345" s="116" t="n"/>
      <c r="F345" s="115" t="n"/>
      <c r="G345" s="117">
        <f>IF(COUNTA(B345:E345)=0,"",IF(COUNTA(B345:E345)&lt;4,"⚠ กรอกไม่ครบ",IF(NOT(ISNUMBER(B345)),"⚠ วันที่ไม่ถูกต้อง",IF(COUNTIFS(Setup!$L$6:$L$60,D345,Setup!$M$6:$M$60,C345)=0,"⚠ หมวดไม่ตรงประเภท","✓"))))</f>
        <v/>
      </c>
    </row>
    <row r="346">
      <c r="B346" s="113" t="n"/>
      <c r="C346" s="114" t="n"/>
      <c r="D346" s="115" t="n"/>
      <c r="E346" s="116" t="n"/>
      <c r="F346" s="115" t="n"/>
      <c r="G346" s="117">
        <f>IF(COUNTA(B346:E346)=0,"",IF(COUNTA(B346:E346)&lt;4,"⚠ กรอกไม่ครบ",IF(NOT(ISNUMBER(B346)),"⚠ วันที่ไม่ถูกต้อง",IF(COUNTIFS(Setup!$L$6:$L$60,D346,Setup!$M$6:$M$60,C346)=0,"⚠ หมวดไม่ตรงประเภท","✓"))))</f>
        <v/>
      </c>
    </row>
    <row r="347">
      <c r="B347" s="113" t="n"/>
      <c r="C347" s="114" t="n"/>
      <c r="D347" s="115" t="n"/>
      <c r="E347" s="116" t="n"/>
      <c r="F347" s="115" t="n"/>
      <c r="G347" s="117">
        <f>IF(COUNTA(B347:E347)=0,"",IF(COUNTA(B347:E347)&lt;4,"⚠ กรอกไม่ครบ",IF(NOT(ISNUMBER(B347)),"⚠ วันที่ไม่ถูกต้อง",IF(COUNTIFS(Setup!$L$6:$L$60,D347,Setup!$M$6:$M$60,C347)=0,"⚠ หมวดไม่ตรงประเภท","✓"))))</f>
        <v/>
      </c>
    </row>
    <row r="348">
      <c r="B348" s="113" t="n"/>
      <c r="C348" s="114" t="n"/>
      <c r="D348" s="115" t="n"/>
      <c r="E348" s="116" t="n"/>
      <c r="F348" s="115" t="n"/>
      <c r="G348" s="117">
        <f>IF(COUNTA(B348:E348)=0,"",IF(COUNTA(B348:E348)&lt;4,"⚠ กรอกไม่ครบ",IF(NOT(ISNUMBER(B348)),"⚠ วันที่ไม่ถูกต้อง",IF(COUNTIFS(Setup!$L$6:$L$60,D348,Setup!$M$6:$M$60,C348)=0,"⚠ หมวดไม่ตรงประเภท","✓"))))</f>
        <v/>
      </c>
    </row>
    <row r="349">
      <c r="B349" s="113" t="n"/>
      <c r="C349" s="114" t="n"/>
      <c r="D349" s="115" t="n"/>
      <c r="E349" s="116" t="n"/>
      <c r="F349" s="115" t="n"/>
      <c r="G349" s="117">
        <f>IF(COUNTA(B349:E349)=0,"",IF(COUNTA(B349:E349)&lt;4,"⚠ กรอกไม่ครบ",IF(NOT(ISNUMBER(B349)),"⚠ วันที่ไม่ถูกต้อง",IF(COUNTIFS(Setup!$L$6:$L$60,D349,Setup!$M$6:$M$60,C349)=0,"⚠ หมวดไม่ตรงประเภท","✓"))))</f>
        <v/>
      </c>
    </row>
    <row r="350">
      <c r="B350" s="113" t="n"/>
      <c r="C350" s="114" t="n"/>
      <c r="D350" s="115" t="n"/>
      <c r="E350" s="116" t="n"/>
      <c r="F350" s="115" t="n"/>
      <c r="G350" s="117">
        <f>IF(COUNTA(B350:E350)=0,"",IF(COUNTA(B350:E350)&lt;4,"⚠ กรอกไม่ครบ",IF(NOT(ISNUMBER(B350)),"⚠ วันที่ไม่ถูกต้อง",IF(COUNTIFS(Setup!$L$6:$L$60,D350,Setup!$M$6:$M$60,C350)=0,"⚠ หมวดไม่ตรงประเภท","✓"))))</f>
        <v/>
      </c>
    </row>
    <row r="351">
      <c r="B351" s="113" t="n"/>
      <c r="C351" s="114" t="n"/>
      <c r="D351" s="115" t="n"/>
      <c r="E351" s="116" t="n"/>
      <c r="F351" s="115" t="n"/>
      <c r="G351" s="117">
        <f>IF(COUNTA(B351:E351)=0,"",IF(COUNTA(B351:E351)&lt;4,"⚠ กรอกไม่ครบ",IF(NOT(ISNUMBER(B351)),"⚠ วันที่ไม่ถูกต้อง",IF(COUNTIFS(Setup!$L$6:$L$60,D351,Setup!$M$6:$M$60,C351)=0,"⚠ หมวดไม่ตรงประเภท","✓"))))</f>
        <v/>
      </c>
    </row>
    <row r="352">
      <c r="B352" s="113" t="n"/>
      <c r="C352" s="114" t="n"/>
      <c r="D352" s="115" t="n"/>
      <c r="E352" s="116" t="n"/>
      <c r="F352" s="115" t="n"/>
      <c r="G352" s="117">
        <f>IF(COUNTA(B352:E352)=0,"",IF(COUNTA(B352:E352)&lt;4,"⚠ กรอกไม่ครบ",IF(NOT(ISNUMBER(B352)),"⚠ วันที่ไม่ถูกต้อง",IF(COUNTIFS(Setup!$L$6:$L$60,D352,Setup!$M$6:$M$60,C352)=0,"⚠ หมวดไม่ตรงประเภท","✓"))))</f>
        <v/>
      </c>
    </row>
    <row r="353">
      <c r="B353" s="113" t="n"/>
      <c r="C353" s="114" t="n"/>
      <c r="D353" s="115" t="n"/>
      <c r="E353" s="116" t="n"/>
      <c r="F353" s="115" t="n"/>
      <c r="G353" s="117">
        <f>IF(COUNTA(B353:E353)=0,"",IF(COUNTA(B353:E353)&lt;4,"⚠ กรอกไม่ครบ",IF(NOT(ISNUMBER(B353)),"⚠ วันที่ไม่ถูกต้อง",IF(COUNTIFS(Setup!$L$6:$L$60,D353,Setup!$M$6:$M$60,C353)=0,"⚠ หมวดไม่ตรงประเภท","✓"))))</f>
        <v/>
      </c>
    </row>
    <row r="354">
      <c r="B354" s="113" t="n"/>
      <c r="C354" s="114" t="n"/>
      <c r="D354" s="115" t="n"/>
      <c r="E354" s="116" t="n"/>
      <c r="F354" s="115" t="n"/>
      <c r="G354" s="117">
        <f>IF(COUNTA(B354:E354)=0,"",IF(COUNTA(B354:E354)&lt;4,"⚠ กรอกไม่ครบ",IF(NOT(ISNUMBER(B354)),"⚠ วันที่ไม่ถูกต้อง",IF(COUNTIFS(Setup!$L$6:$L$60,D354,Setup!$M$6:$M$60,C354)=0,"⚠ หมวดไม่ตรงประเภท","✓"))))</f>
        <v/>
      </c>
    </row>
    <row r="355">
      <c r="B355" s="113" t="n"/>
      <c r="C355" s="114" t="n"/>
      <c r="D355" s="115" t="n"/>
      <c r="E355" s="116" t="n"/>
      <c r="F355" s="115" t="n"/>
      <c r="G355" s="117">
        <f>IF(COUNTA(B355:E355)=0,"",IF(COUNTA(B355:E355)&lt;4,"⚠ กรอกไม่ครบ",IF(NOT(ISNUMBER(B355)),"⚠ วันที่ไม่ถูกต้อง",IF(COUNTIFS(Setup!$L$6:$L$60,D355,Setup!$M$6:$M$60,C355)=0,"⚠ หมวดไม่ตรงประเภท","✓"))))</f>
        <v/>
      </c>
    </row>
    <row r="356">
      <c r="B356" s="113" t="n"/>
      <c r="C356" s="114" t="n"/>
      <c r="D356" s="115" t="n"/>
      <c r="E356" s="116" t="n"/>
      <c r="F356" s="115" t="n"/>
      <c r="G356" s="117">
        <f>IF(COUNTA(B356:E356)=0,"",IF(COUNTA(B356:E356)&lt;4,"⚠ กรอกไม่ครบ",IF(NOT(ISNUMBER(B356)),"⚠ วันที่ไม่ถูกต้อง",IF(COUNTIFS(Setup!$L$6:$L$60,D356,Setup!$M$6:$M$60,C356)=0,"⚠ หมวดไม่ตรงประเภท","✓"))))</f>
        <v/>
      </c>
    </row>
    <row r="357">
      <c r="B357" s="113" t="n"/>
      <c r="C357" s="114" t="n"/>
      <c r="D357" s="115" t="n"/>
      <c r="E357" s="116" t="n"/>
      <c r="F357" s="115" t="n"/>
      <c r="G357" s="117">
        <f>IF(COUNTA(B357:E357)=0,"",IF(COUNTA(B357:E357)&lt;4,"⚠ กรอกไม่ครบ",IF(NOT(ISNUMBER(B357)),"⚠ วันที่ไม่ถูกต้อง",IF(COUNTIFS(Setup!$L$6:$L$60,D357,Setup!$M$6:$M$60,C357)=0,"⚠ หมวดไม่ตรงประเภท","✓"))))</f>
        <v/>
      </c>
    </row>
    <row r="358">
      <c r="B358" s="113" t="n"/>
      <c r="C358" s="114" t="n"/>
      <c r="D358" s="115" t="n"/>
      <c r="E358" s="116" t="n"/>
      <c r="F358" s="115" t="n"/>
      <c r="G358" s="117">
        <f>IF(COUNTA(B358:E358)=0,"",IF(COUNTA(B358:E358)&lt;4,"⚠ กรอกไม่ครบ",IF(NOT(ISNUMBER(B358)),"⚠ วันที่ไม่ถูกต้อง",IF(COUNTIFS(Setup!$L$6:$L$60,D358,Setup!$M$6:$M$60,C358)=0,"⚠ หมวดไม่ตรงประเภท","✓"))))</f>
        <v/>
      </c>
    </row>
    <row r="359">
      <c r="B359" s="113" t="n"/>
      <c r="C359" s="114" t="n"/>
      <c r="D359" s="115" t="n"/>
      <c r="E359" s="116" t="n"/>
      <c r="F359" s="115" t="n"/>
      <c r="G359" s="117">
        <f>IF(COUNTA(B359:E359)=0,"",IF(COUNTA(B359:E359)&lt;4,"⚠ กรอกไม่ครบ",IF(NOT(ISNUMBER(B359)),"⚠ วันที่ไม่ถูกต้อง",IF(COUNTIFS(Setup!$L$6:$L$60,D359,Setup!$M$6:$M$60,C359)=0,"⚠ หมวดไม่ตรงประเภท","✓"))))</f>
        <v/>
      </c>
    </row>
    <row r="360">
      <c r="B360" s="113" t="n"/>
      <c r="C360" s="114" t="n"/>
      <c r="D360" s="115" t="n"/>
      <c r="E360" s="116" t="n"/>
      <c r="F360" s="115" t="n"/>
      <c r="G360" s="117">
        <f>IF(COUNTA(B360:E360)=0,"",IF(COUNTA(B360:E360)&lt;4,"⚠ กรอกไม่ครบ",IF(NOT(ISNUMBER(B360)),"⚠ วันที่ไม่ถูกต้อง",IF(COUNTIFS(Setup!$L$6:$L$60,D360,Setup!$M$6:$M$60,C360)=0,"⚠ หมวดไม่ตรงประเภท","✓"))))</f>
        <v/>
      </c>
    </row>
    <row r="361">
      <c r="B361" s="113" t="n"/>
      <c r="C361" s="114" t="n"/>
      <c r="D361" s="115" t="n"/>
      <c r="E361" s="116" t="n"/>
      <c r="F361" s="115" t="n"/>
      <c r="G361" s="117">
        <f>IF(COUNTA(B361:E361)=0,"",IF(COUNTA(B361:E361)&lt;4,"⚠ กรอกไม่ครบ",IF(NOT(ISNUMBER(B361)),"⚠ วันที่ไม่ถูกต้อง",IF(COUNTIFS(Setup!$L$6:$L$60,D361,Setup!$M$6:$M$60,C361)=0,"⚠ หมวดไม่ตรงประเภท","✓"))))</f>
        <v/>
      </c>
    </row>
    <row r="362">
      <c r="B362" s="113" t="n"/>
      <c r="C362" s="114" t="n"/>
      <c r="D362" s="115" t="n"/>
      <c r="E362" s="116" t="n"/>
      <c r="F362" s="115" t="n"/>
      <c r="G362" s="117">
        <f>IF(COUNTA(B362:E362)=0,"",IF(COUNTA(B362:E362)&lt;4,"⚠ กรอกไม่ครบ",IF(NOT(ISNUMBER(B362)),"⚠ วันที่ไม่ถูกต้อง",IF(COUNTIFS(Setup!$L$6:$L$60,D362,Setup!$M$6:$M$60,C362)=0,"⚠ หมวดไม่ตรงประเภท","✓"))))</f>
        <v/>
      </c>
    </row>
    <row r="363">
      <c r="B363" s="113" t="n"/>
      <c r="C363" s="114" t="n"/>
      <c r="D363" s="115" t="n"/>
      <c r="E363" s="116" t="n"/>
      <c r="F363" s="115" t="n"/>
      <c r="G363" s="117">
        <f>IF(COUNTA(B363:E363)=0,"",IF(COUNTA(B363:E363)&lt;4,"⚠ กรอกไม่ครบ",IF(NOT(ISNUMBER(B363)),"⚠ วันที่ไม่ถูกต้อง",IF(COUNTIFS(Setup!$L$6:$L$60,D363,Setup!$M$6:$M$60,C363)=0,"⚠ หมวดไม่ตรงประเภท","✓"))))</f>
        <v/>
      </c>
    </row>
    <row r="364">
      <c r="B364" s="113" t="n"/>
      <c r="C364" s="114" t="n"/>
      <c r="D364" s="115" t="n"/>
      <c r="E364" s="116" t="n"/>
      <c r="F364" s="115" t="n"/>
      <c r="G364" s="117">
        <f>IF(COUNTA(B364:E364)=0,"",IF(COUNTA(B364:E364)&lt;4,"⚠ กรอกไม่ครบ",IF(NOT(ISNUMBER(B364)),"⚠ วันที่ไม่ถูกต้อง",IF(COUNTIFS(Setup!$L$6:$L$60,D364,Setup!$M$6:$M$60,C364)=0,"⚠ หมวดไม่ตรงประเภท","✓"))))</f>
        <v/>
      </c>
    </row>
    <row r="365">
      <c r="B365" s="113" t="n"/>
      <c r="C365" s="114" t="n"/>
      <c r="D365" s="115" t="n"/>
      <c r="E365" s="116" t="n"/>
      <c r="F365" s="115" t="n"/>
      <c r="G365" s="117">
        <f>IF(COUNTA(B365:E365)=0,"",IF(COUNTA(B365:E365)&lt;4,"⚠ กรอกไม่ครบ",IF(NOT(ISNUMBER(B365)),"⚠ วันที่ไม่ถูกต้อง",IF(COUNTIFS(Setup!$L$6:$L$60,D365,Setup!$M$6:$M$60,C365)=0,"⚠ หมวดไม่ตรงประเภท","✓"))))</f>
        <v/>
      </c>
    </row>
    <row r="366">
      <c r="B366" s="113" t="n"/>
      <c r="C366" s="114" t="n"/>
      <c r="D366" s="115" t="n"/>
      <c r="E366" s="116" t="n"/>
      <c r="F366" s="115" t="n"/>
      <c r="G366" s="117">
        <f>IF(COUNTA(B366:E366)=0,"",IF(COUNTA(B366:E366)&lt;4,"⚠ กรอกไม่ครบ",IF(NOT(ISNUMBER(B366)),"⚠ วันที่ไม่ถูกต้อง",IF(COUNTIFS(Setup!$L$6:$L$60,D366,Setup!$M$6:$M$60,C366)=0,"⚠ หมวดไม่ตรงประเภท","✓"))))</f>
        <v/>
      </c>
    </row>
    <row r="367">
      <c r="B367" s="113" t="n"/>
      <c r="C367" s="114" t="n"/>
      <c r="D367" s="115" t="n"/>
      <c r="E367" s="116" t="n"/>
      <c r="F367" s="115" t="n"/>
      <c r="G367" s="117">
        <f>IF(COUNTA(B367:E367)=0,"",IF(COUNTA(B367:E367)&lt;4,"⚠ กรอกไม่ครบ",IF(NOT(ISNUMBER(B367)),"⚠ วันที่ไม่ถูกต้อง",IF(COUNTIFS(Setup!$L$6:$L$60,D367,Setup!$M$6:$M$60,C367)=0,"⚠ หมวดไม่ตรงประเภท","✓"))))</f>
        <v/>
      </c>
    </row>
    <row r="368">
      <c r="B368" s="113" t="n"/>
      <c r="C368" s="114" t="n"/>
      <c r="D368" s="115" t="n"/>
      <c r="E368" s="116" t="n"/>
      <c r="F368" s="115" t="n"/>
      <c r="G368" s="117">
        <f>IF(COUNTA(B368:E368)=0,"",IF(COUNTA(B368:E368)&lt;4,"⚠ กรอกไม่ครบ",IF(NOT(ISNUMBER(B368)),"⚠ วันที่ไม่ถูกต้อง",IF(COUNTIFS(Setup!$L$6:$L$60,D368,Setup!$M$6:$M$60,C368)=0,"⚠ หมวดไม่ตรงประเภท","✓"))))</f>
        <v/>
      </c>
    </row>
    <row r="369">
      <c r="B369" s="113" t="n"/>
      <c r="C369" s="114" t="n"/>
      <c r="D369" s="115" t="n"/>
      <c r="E369" s="116" t="n"/>
      <c r="F369" s="115" t="n"/>
      <c r="G369" s="117">
        <f>IF(COUNTA(B369:E369)=0,"",IF(COUNTA(B369:E369)&lt;4,"⚠ กรอกไม่ครบ",IF(NOT(ISNUMBER(B369)),"⚠ วันที่ไม่ถูกต้อง",IF(COUNTIFS(Setup!$L$6:$L$60,D369,Setup!$M$6:$M$60,C369)=0,"⚠ หมวดไม่ตรงประเภท","✓"))))</f>
        <v/>
      </c>
    </row>
    <row r="370">
      <c r="B370" s="113" t="n"/>
      <c r="C370" s="114" t="n"/>
      <c r="D370" s="115" t="n"/>
      <c r="E370" s="116" t="n"/>
      <c r="F370" s="115" t="n"/>
      <c r="G370" s="117">
        <f>IF(COUNTA(B370:E370)=0,"",IF(COUNTA(B370:E370)&lt;4,"⚠ กรอกไม่ครบ",IF(NOT(ISNUMBER(B370)),"⚠ วันที่ไม่ถูกต้อง",IF(COUNTIFS(Setup!$L$6:$L$60,D370,Setup!$M$6:$M$60,C370)=0,"⚠ หมวดไม่ตรงประเภท","✓"))))</f>
        <v/>
      </c>
    </row>
    <row r="371">
      <c r="B371" s="113" t="n"/>
      <c r="C371" s="114" t="n"/>
      <c r="D371" s="115" t="n"/>
      <c r="E371" s="116" t="n"/>
      <c r="F371" s="115" t="n"/>
      <c r="G371" s="117">
        <f>IF(COUNTA(B371:E371)=0,"",IF(COUNTA(B371:E371)&lt;4,"⚠ กรอกไม่ครบ",IF(NOT(ISNUMBER(B371)),"⚠ วันที่ไม่ถูกต้อง",IF(COUNTIFS(Setup!$L$6:$L$60,D371,Setup!$M$6:$M$60,C371)=0,"⚠ หมวดไม่ตรงประเภท","✓"))))</f>
        <v/>
      </c>
    </row>
    <row r="372">
      <c r="B372" s="113" t="n"/>
      <c r="C372" s="114" t="n"/>
      <c r="D372" s="115" t="n"/>
      <c r="E372" s="116" t="n"/>
      <c r="F372" s="115" t="n"/>
      <c r="G372" s="117">
        <f>IF(COUNTA(B372:E372)=0,"",IF(COUNTA(B372:E372)&lt;4,"⚠ กรอกไม่ครบ",IF(NOT(ISNUMBER(B372)),"⚠ วันที่ไม่ถูกต้อง",IF(COUNTIFS(Setup!$L$6:$L$60,D372,Setup!$M$6:$M$60,C372)=0,"⚠ หมวดไม่ตรงประเภท","✓"))))</f>
        <v/>
      </c>
    </row>
    <row r="373">
      <c r="B373" s="113" t="n"/>
      <c r="C373" s="114" t="n"/>
      <c r="D373" s="115" t="n"/>
      <c r="E373" s="116" t="n"/>
      <c r="F373" s="115" t="n"/>
      <c r="G373" s="117">
        <f>IF(COUNTA(B373:E373)=0,"",IF(COUNTA(B373:E373)&lt;4,"⚠ กรอกไม่ครบ",IF(NOT(ISNUMBER(B373)),"⚠ วันที่ไม่ถูกต้อง",IF(COUNTIFS(Setup!$L$6:$L$60,D373,Setup!$M$6:$M$60,C373)=0,"⚠ หมวดไม่ตรงประเภท","✓"))))</f>
        <v/>
      </c>
    </row>
    <row r="374">
      <c r="B374" s="113" t="n"/>
      <c r="C374" s="114" t="n"/>
      <c r="D374" s="115" t="n"/>
      <c r="E374" s="116" t="n"/>
      <c r="F374" s="115" t="n"/>
      <c r="G374" s="117">
        <f>IF(COUNTA(B374:E374)=0,"",IF(COUNTA(B374:E374)&lt;4,"⚠ กรอกไม่ครบ",IF(NOT(ISNUMBER(B374)),"⚠ วันที่ไม่ถูกต้อง",IF(COUNTIFS(Setup!$L$6:$L$60,D374,Setup!$M$6:$M$60,C374)=0,"⚠ หมวดไม่ตรงประเภท","✓"))))</f>
        <v/>
      </c>
    </row>
    <row r="375">
      <c r="B375" s="113" t="n"/>
      <c r="C375" s="114" t="n"/>
      <c r="D375" s="115" t="n"/>
      <c r="E375" s="116" t="n"/>
      <c r="F375" s="115" t="n"/>
      <c r="G375" s="117">
        <f>IF(COUNTA(B375:E375)=0,"",IF(COUNTA(B375:E375)&lt;4,"⚠ กรอกไม่ครบ",IF(NOT(ISNUMBER(B375)),"⚠ วันที่ไม่ถูกต้อง",IF(COUNTIFS(Setup!$L$6:$L$60,D375,Setup!$M$6:$M$60,C375)=0,"⚠ หมวดไม่ตรงประเภท","✓"))))</f>
        <v/>
      </c>
    </row>
    <row r="376">
      <c r="B376" s="113" t="n"/>
      <c r="C376" s="114" t="n"/>
      <c r="D376" s="115" t="n"/>
      <c r="E376" s="116" t="n"/>
      <c r="F376" s="115" t="n"/>
      <c r="G376" s="117">
        <f>IF(COUNTA(B376:E376)=0,"",IF(COUNTA(B376:E376)&lt;4,"⚠ กรอกไม่ครบ",IF(NOT(ISNUMBER(B376)),"⚠ วันที่ไม่ถูกต้อง",IF(COUNTIFS(Setup!$L$6:$L$60,D376,Setup!$M$6:$M$60,C376)=0,"⚠ หมวดไม่ตรงประเภท","✓"))))</f>
        <v/>
      </c>
    </row>
    <row r="377">
      <c r="B377" s="113" t="n"/>
      <c r="C377" s="114" t="n"/>
      <c r="D377" s="115" t="n"/>
      <c r="E377" s="116" t="n"/>
      <c r="F377" s="115" t="n"/>
      <c r="G377" s="117">
        <f>IF(COUNTA(B377:E377)=0,"",IF(COUNTA(B377:E377)&lt;4,"⚠ กรอกไม่ครบ",IF(NOT(ISNUMBER(B377)),"⚠ วันที่ไม่ถูกต้อง",IF(COUNTIFS(Setup!$L$6:$L$60,D377,Setup!$M$6:$M$60,C377)=0,"⚠ หมวดไม่ตรงประเภท","✓"))))</f>
        <v/>
      </c>
    </row>
    <row r="378">
      <c r="B378" s="113" t="n"/>
      <c r="C378" s="114" t="n"/>
      <c r="D378" s="115" t="n"/>
      <c r="E378" s="116" t="n"/>
      <c r="F378" s="115" t="n"/>
      <c r="G378" s="117">
        <f>IF(COUNTA(B378:E378)=0,"",IF(COUNTA(B378:E378)&lt;4,"⚠ กรอกไม่ครบ",IF(NOT(ISNUMBER(B378)),"⚠ วันที่ไม่ถูกต้อง",IF(COUNTIFS(Setup!$L$6:$L$60,D378,Setup!$M$6:$M$60,C378)=0,"⚠ หมวดไม่ตรงประเภท","✓"))))</f>
        <v/>
      </c>
    </row>
    <row r="379">
      <c r="B379" s="113" t="n"/>
      <c r="C379" s="114" t="n"/>
      <c r="D379" s="115" t="n"/>
      <c r="E379" s="116" t="n"/>
      <c r="F379" s="115" t="n"/>
      <c r="G379" s="117">
        <f>IF(COUNTA(B379:E379)=0,"",IF(COUNTA(B379:E379)&lt;4,"⚠ กรอกไม่ครบ",IF(NOT(ISNUMBER(B379)),"⚠ วันที่ไม่ถูกต้อง",IF(COUNTIFS(Setup!$L$6:$L$60,D379,Setup!$M$6:$M$60,C379)=0,"⚠ หมวดไม่ตรงประเภท","✓"))))</f>
        <v/>
      </c>
    </row>
    <row r="380">
      <c r="B380" s="113" t="n"/>
      <c r="C380" s="114" t="n"/>
      <c r="D380" s="115" t="n"/>
      <c r="E380" s="116" t="n"/>
      <c r="F380" s="115" t="n"/>
      <c r="G380" s="117">
        <f>IF(COUNTA(B380:E380)=0,"",IF(COUNTA(B380:E380)&lt;4,"⚠ กรอกไม่ครบ",IF(NOT(ISNUMBER(B380)),"⚠ วันที่ไม่ถูกต้อง",IF(COUNTIFS(Setup!$L$6:$L$60,D380,Setup!$M$6:$M$60,C380)=0,"⚠ หมวดไม่ตรงประเภท","✓"))))</f>
        <v/>
      </c>
    </row>
    <row r="381">
      <c r="B381" s="113" t="n"/>
      <c r="C381" s="114" t="n"/>
      <c r="D381" s="115" t="n"/>
      <c r="E381" s="116" t="n"/>
      <c r="F381" s="115" t="n"/>
      <c r="G381" s="117">
        <f>IF(COUNTA(B381:E381)=0,"",IF(COUNTA(B381:E381)&lt;4,"⚠ กรอกไม่ครบ",IF(NOT(ISNUMBER(B381)),"⚠ วันที่ไม่ถูกต้อง",IF(COUNTIFS(Setup!$L$6:$L$60,D381,Setup!$M$6:$M$60,C381)=0,"⚠ หมวดไม่ตรงประเภท","✓"))))</f>
        <v/>
      </c>
    </row>
    <row r="382">
      <c r="B382" s="113" t="n"/>
      <c r="C382" s="114" t="n"/>
      <c r="D382" s="115" t="n"/>
      <c r="E382" s="116" t="n"/>
      <c r="F382" s="115" t="n"/>
      <c r="G382" s="117">
        <f>IF(COUNTA(B382:E382)=0,"",IF(COUNTA(B382:E382)&lt;4,"⚠ กรอกไม่ครบ",IF(NOT(ISNUMBER(B382)),"⚠ วันที่ไม่ถูกต้อง",IF(COUNTIFS(Setup!$L$6:$L$60,D382,Setup!$M$6:$M$60,C382)=0,"⚠ หมวดไม่ตรงประเภท","✓"))))</f>
        <v/>
      </c>
    </row>
    <row r="383">
      <c r="B383" s="113" t="n"/>
      <c r="C383" s="114" t="n"/>
      <c r="D383" s="115" t="n"/>
      <c r="E383" s="116" t="n"/>
      <c r="F383" s="115" t="n"/>
      <c r="G383" s="117">
        <f>IF(COUNTA(B383:E383)=0,"",IF(COUNTA(B383:E383)&lt;4,"⚠ กรอกไม่ครบ",IF(NOT(ISNUMBER(B383)),"⚠ วันที่ไม่ถูกต้อง",IF(COUNTIFS(Setup!$L$6:$L$60,D383,Setup!$M$6:$M$60,C383)=0,"⚠ หมวดไม่ตรงประเภท","✓"))))</f>
        <v/>
      </c>
    </row>
    <row r="384">
      <c r="B384" s="113" t="n"/>
      <c r="C384" s="114" t="n"/>
      <c r="D384" s="115" t="n"/>
      <c r="E384" s="116" t="n"/>
      <c r="F384" s="115" t="n"/>
      <c r="G384" s="117">
        <f>IF(COUNTA(B384:E384)=0,"",IF(COUNTA(B384:E384)&lt;4,"⚠ กรอกไม่ครบ",IF(NOT(ISNUMBER(B384)),"⚠ วันที่ไม่ถูกต้อง",IF(COUNTIFS(Setup!$L$6:$L$60,D384,Setup!$M$6:$M$60,C384)=0,"⚠ หมวดไม่ตรงประเภท","✓"))))</f>
        <v/>
      </c>
    </row>
    <row r="385">
      <c r="B385" s="113" t="n"/>
      <c r="C385" s="114" t="n"/>
      <c r="D385" s="115" t="n"/>
      <c r="E385" s="116" t="n"/>
      <c r="F385" s="115" t="n"/>
      <c r="G385" s="117">
        <f>IF(COUNTA(B385:E385)=0,"",IF(COUNTA(B385:E385)&lt;4,"⚠ กรอกไม่ครบ",IF(NOT(ISNUMBER(B385)),"⚠ วันที่ไม่ถูกต้อง",IF(COUNTIFS(Setup!$L$6:$L$60,D385,Setup!$M$6:$M$60,C385)=0,"⚠ หมวดไม่ตรงประเภท","✓"))))</f>
        <v/>
      </c>
    </row>
    <row r="386">
      <c r="B386" s="113" t="n"/>
      <c r="C386" s="114" t="n"/>
      <c r="D386" s="115" t="n"/>
      <c r="E386" s="116" t="n"/>
      <c r="F386" s="115" t="n"/>
      <c r="G386" s="117">
        <f>IF(COUNTA(B386:E386)=0,"",IF(COUNTA(B386:E386)&lt;4,"⚠ กรอกไม่ครบ",IF(NOT(ISNUMBER(B386)),"⚠ วันที่ไม่ถูกต้อง",IF(COUNTIFS(Setup!$L$6:$L$60,D386,Setup!$M$6:$M$60,C386)=0,"⚠ หมวดไม่ตรงประเภท","✓"))))</f>
        <v/>
      </c>
    </row>
    <row r="387">
      <c r="B387" s="113" t="n"/>
      <c r="C387" s="114" t="n"/>
      <c r="D387" s="115" t="n"/>
      <c r="E387" s="116" t="n"/>
      <c r="F387" s="115" t="n"/>
      <c r="G387" s="117">
        <f>IF(COUNTA(B387:E387)=0,"",IF(COUNTA(B387:E387)&lt;4,"⚠ กรอกไม่ครบ",IF(NOT(ISNUMBER(B387)),"⚠ วันที่ไม่ถูกต้อง",IF(COUNTIFS(Setup!$L$6:$L$60,D387,Setup!$M$6:$M$60,C387)=0,"⚠ หมวดไม่ตรงประเภท","✓"))))</f>
        <v/>
      </c>
    </row>
    <row r="388">
      <c r="B388" s="113" t="n"/>
      <c r="C388" s="114" t="n"/>
      <c r="D388" s="115" t="n"/>
      <c r="E388" s="116" t="n"/>
      <c r="F388" s="115" t="n"/>
      <c r="G388" s="117">
        <f>IF(COUNTA(B388:E388)=0,"",IF(COUNTA(B388:E388)&lt;4,"⚠ กรอกไม่ครบ",IF(NOT(ISNUMBER(B388)),"⚠ วันที่ไม่ถูกต้อง",IF(COUNTIFS(Setup!$L$6:$L$60,D388,Setup!$M$6:$M$60,C388)=0,"⚠ หมวดไม่ตรงประเภท","✓"))))</f>
        <v/>
      </c>
    </row>
    <row r="389">
      <c r="B389" s="113" t="n"/>
      <c r="C389" s="114" t="n"/>
      <c r="D389" s="115" t="n"/>
      <c r="E389" s="116" t="n"/>
      <c r="F389" s="115" t="n"/>
      <c r="G389" s="117">
        <f>IF(COUNTA(B389:E389)=0,"",IF(COUNTA(B389:E389)&lt;4,"⚠ กรอกไม่ครบ",IF(NOT(ISNUMBER(B389)),"⚠ วันที่ไม่ถูกต้อง",IF(COUNTIFS(Setup!$L$6:$L$60,D389,Setup!$M$6:$M$60,C389)=0,"⚠ หมวดไม่ตรงประเภท","✓"))))</f>
        <v/>
      </c>
    </row>
    <row r="390">
      <c r="B390" s="113" t="n"/>
      <c r="C390" s="114" t="n"/>
      <c r="D390" s="115" t="n"/>
      <c r="E390" s="116" t="n"/>
      <c r="F390" s="115" t="n"/>
      <c r="G390" s="117">
        <f>IF(COUNTA(B390:E390)=0,"",IF(COUNTA(B390:E390)&lt;4,"⚠ กรอกไม่ครบ",IF(NOT(ISNUMBER(B390)),"⚠ วันที่ไม่ถูกต้อง",IF(COUNTIFS(Setup!$L$6:$L$60,D390,Setup!$M$6:$M$60,C390)=0,"⚠ หมวดไม่ตรงประเภท","✓"))))</f>
        <v/>
      </c>
    </row>
    <row r="391">
      <c r="B391" s="113" t="n"/>
      <c r="C391" s="114" t="n"/>
      <c r="D391" s="115" t="n"/>
      <c r="E391" s="116" t="n"/>
      <c r="F391" s="115" t="n"/>
      <c r="G391" s="117">
        <f>IF(COUNTA(B391:E391)=0,"",IF(COUNTA(B391:E391)&lt;4,"⚠ กรอกไม่ครบ",IF(NOT(ISNUMBER(B391)),"⚠ วันที่ไม่ถูกต้อง",IF(COUNTIFS(Setup!$L$6:$L$60,D391,Setup!$M$6:$M$60,C391)=0,"⚠ หมวดไม่ตรงประเภท","✓"))))</f>
        <v/>
      </c>
    </row>
    <row r="392">
      <c r="B392" s="113" t="n"/>
      <c r="C392" s="114" t="n"/>
      <c r="D392" s="115" t="n"/>
      <c r="E392" s="116" t="n"/>
      <c r="F392" s="115" t="n"/>
      <c r="G392" s="117">
        <f>IF(COUNTA(B392:E392)=0,"",IF(COUNTA(B392:E392)&lt;4,"⚠ กรอกไม่ครบ",IF(NOT(ISNUMBER(B392)),"⚠ วันที่ไม่ถูกต้อง",IF(COUNTIFS(Setup!$L$6:$L$60,D392,Setup!$M$6:$M$60,C392)=0,"⚠ หมวดไม่ตรงประเภท","✓"))))</f>
        <v/>
      </c>
    </row>
    <row r="393">
      <c r="B393" s="113" t="n"/>
      <c r="C393" s="114" t="n"/>
      <c r="D393" s="115" t="n"/>
      <c r="E393" s="116" t="n"/>
      <c r="F393" s="115" t="n"/>
      <c r="G393" s="117">
        <f>IF(COUNTA(B393:E393)=0,"",IF(COUNTA(B393:E393)&lt;4,"⚠ กรอกไม่ครบ",IF(NOT(ISNUMBER(B393)),"⚠ วันที่ไม่ถูกต้อง",IF(COUNTIFS(Setup!$L$6:$L$60,D393,Setup!$M$6:$M$60,C393)=0,"⚠ หมวดไม่ตรงประเภท","✓"))))</f>
        <v/>
      </c>
    </row>
    <row r="394">
      <c r="B394" s="113" t="n"/>
      <c r="C394" s="114" t="n"/>
      <c r="D394" s="115" t="n"/>
      <c r="E394" s="116" t="n"/>
      <c r="F394" s="115" t="n"/>
      <c r="G394" s="117">
        <f>IF(COUNTA(B394:E394)=0,"",IF(COUNTA(B394:E394)&lt;4,"⚠ กรอกไม่ครบ",IF(NOT(ISNUMBER(B394)),"⚠ วันที่ไม่ถูกต้อง",IF(COUNTIFS(Setup!$L$6:$L$60,D394,Setup!$M$6:$M$60,C394)=0,"⚠ หมวดไม่ตรงประเภท","✓"))))</f>
        <v/>
      </c>
    </row>
    <row r="395">
      <c r="B395" s="113" t="n"/>
      <c r="C395" s="114" t="n"/>
      <c r="D395" s="115" t="n"/>
      <c r="E395" s="116" t="n"/>
      <c r="F395" s="115" t="n"/>
      <c r="G395" s="117">
        <f>IF(COUNTA(B395:E395)=0,"",IF(COUNTA(B395:E395)&lt;4,"⚠ กรอกไม่ครบ",IF(NOT(ISNUMBER(B395)),"⚠ วันที่ไม่ถูกต้อง",IF(COUNTIFS(Setup!$L$6:$L$60,D395,Setup!$M$6:$M$60,C395)=0,"⚠ หมวดไม่ตรงประเภท","✓"))))</f>
        <v/>
      </c>
    </row>
    <row r="396">
      <c r="B396" s="113" t="n"/>
      <c r="C396" s="114" t="n"/>
      <c r="D396" s="115" t="n"/>
      <c r="E396" s="116" t="n"/>
      <c r="F396" s="115" t="n"/>
      <c r="G396" s="117">
        <f>IF(COUNTA(B396:E396)=0,"",IF(COUNTA(B396:E396)&lt;4,"⚠ กรอกไม่ครบ",IF(NOT(ISNUMBER(B396)),"⚠ วันที่ไม่ถูกต้อง",IF(COUNTIFS(Setup!$L$6:$L$60,D396,Setup!$M$6:$M$60,C396)=0,"⚠ หมวดไม่ตรงประเภท","✓"))))</f>
        <v/>
      </c>
    </row>
    <row r="397">
      <c r="B397" s="113" t="n"/>
      <c r="C397" s="114" t="n"/>
      <c r="D397" s="115" t="n"/>
      <c r="E397" s="116" t="n"/>
      <c r="F397" s="115" t="n"/>
      <c r="G397" s="117">
        <f>IF(COUNTA(B397:E397)=0,"",IF(COUNTA(B397:E397)&lt;4,"⚠ กรอกไม่ครบ",IF(NOT(ISNUMBER(B397)),"⚠ วันที่ไม่ถูกต้อง",IF(COUNTIFS(Setup!$L$6:$L$60,D397,Setup!$M$6:$M$60,C397)=0,"⚠ หมวดไม่ตรงประเภท","✓"))))</f>
        <v/>
      </c>
    </row>
    <row r="398">
      <c r="B398" s="113" t="n"/>
      <c r="C398" s="114" t="n"/>
      <c r="D398" s="115" t="n"/>
      <c r="E398" s="116" t="n"/>
      <c r="F398" s="115" t="n"/>
      <c r="G398" s="117">
        <f>IF(COUNTA(B398:E398)=0,"",IF(COUNTA(B398:E398)&lt;4,"⚠ กรอกไม่ครบ",IF(NOT(ISNUMBER(B398)),"⚠ วันที่ไม่ถูกต้อง",IF(COUNTIFS(Setup!$L$6:$L$60,D398,Setup!$M$6:$M$60,C398)=0,"⚠ หมวดไม่ตรงประเภท","✓"))))</f>
        <v/>
      </c>
    </row>
    <row r="399">
      <c r="B399" s="113" t="n"/>
      <c r="C399" s="114" t="n"/>
      <c r="D399" s="115" t="n"/>
      <c r="E399" s="116" t="n"/>
      <c r="F399" s="115" t="n"/>
      <c r="G399" s="117">
        <f>IF(COUNTA(B399:E399)=0,"",IF(COUNTA(B399:E399)&lt;4,"⚠ กรอกไม่ครบ",IF(NOT(ISNUMBER(B399)),"⚠ วันที่ไม่ถูกต้อง",IF(COUNTIFS(Setup!$L$6:$L$60,D399,Setup!$M$6:$M$60,C399)=0,"⚠ หมวดไม่ตรงประเภท","✓"))))</f>
        <v/>
      </c>
    </row>
    <row r="400">
      <c r="B400" s="113" t="n"/>
      <c r="C400" s="114" t="n"/>
      <c r="D400" s="115" t="n"/>
      <c r="E400" s="116" t="n"/>
      <c r="F400" s="115" t="n"/>
      <c r="G400" s="117">
        <f>IF(COUNTA(B400:E400)=0,"",IF(COUNTA(B400:E400)&lt;4,"⚠ กรอกไม่ครบ",IF(NOT(ISNUMBER(B400)),"⚠ วันที่ไม่ถูกต้อง",IF(COUNTIFS(Setup!$L$6:$L$60,D400,Setup!$M$6:$M$60,C400)=0,"⚠ หมวดไม่ตรงประเภท","✓"))))</f>
        <v/>
      </c>
    </row>
    <row r="401">
      <c r="B401" s="113" t="n"/>
      <c r="C401" s="114" t="n"/>
      <c r="D401" s="115" t="n"/>
      <c r="E401" s="116" t="n"/>
      <c r="F401" s="115" t="n"/>
      <c r="G401" s="117">
        <f>IF(COUNTA(B401:E401)=0,"",IF(COUNTA(B401:E401)&lt;4,"⚠ กรอกไม่ครบ",IF(NOT(ISNUMBER(B401)),"⚠ วันที่ไม่ถูกต้อง",IF(COUNTIFS(Setup!$L$6:$L$60,D401,Setup!$M$6:$M$60,C401)=0,"⚠ หมวดไม่ตรงประเภท","✓"))))</f>
        <v/>
      </c>
    </row>
    <row r="402">
      <c r="B402" s="113" t="n"/>
      <c r="C402" s="114" t="n"/>
      <c r="D402" s="115" t="n"/>
      <c r="E402" s="116" t="n"/>
      <c r="F402" s="115" t="n"/>
      <c r="G402" s="117">
        <f>IF(COUNTA(B402:E402)=0,"",IF(COUNTA(B402:E402)&lt;4,"⚠ กรอกไม่ครบ",IF(NOT(ISNUMBER(B402)),"⚠ วันที่ไม่ถูกต้อง",IF(COUNTIFS(Setup!$L$6:$L$60,D402,Setup!$M$6:$M$60,C402)=0,"⚠ หมวดไม่ตรงประเภท","✓"))))</f>
        <v/>
      </c>
    </row>
    <row r="403">
      <c r="B403" s="113" t="n"/>
      <c r="C403" s="114" t="n"/>
      <c r="D403" s="115" t="n"/>
      <c r="E403" s="116" t="n"/>
      <c r="F403" s="115" t="n"/>
      <c r="G403" s="117">
        <f>IF(COUNTA(B403:E403)=0,"",IF(COUNTA(B403:E403)&lt;4,"⚠ กรอกไม่ครบ",IF(NOT(ISNUMBER(B403)),"⚠ วันที่ไม่ถูกต้อง",IF(COUNTIFS(Setup!$L$6:$L$60,D403,Setup!$M$6:$M$60,C403)=0,"⚠ หมวดไม่ตรงประเภท","✓"))))</f>
        <v/>
      </c>
    </row>
    <row r="404">
      <c r="B404" s="113" t="n"/>
      <c r="C404" s="114" t="n"/>
      <c r="D404" s="115" t="n"/>
      <c r="E404" s="116" t="n"/>
      <c r="F404" s="115" t="n"/>
      <c r="G404" s="117">
        <f>IF(COUNTA(B404:E404)=0,"",IF(COUNTA(B404:E404)&lt;4,"⚠ กรอกไม่ครบ",IF(NOT(ISNUMBER(B404)),"⚠ วันที่ไม่ถูกต้อง",IF(COUNTIFS(Setup!$L$6:$L$60,D404,Setup!$M$6:$M$60,C404)=0,"⚠ หมวดไม่ตรงประเภท","✓"))))</f>
        <v/>
      </c>
    </row>
    <row r="405">
      <c r="B405" s="113" t="n"/>
      <c r="C405" s="114" t="n"/>
      <c r="D405" s="115" t="n"/>
      <c r="E405" s="116" t="n"/>
      <c r="F405" s="115" t="n"/>
      <c r="G405" s="117">
        <f>IF(COUNTA(B405:E405)=0,"",IF(COUNTA(B405:E405)&lt;4,"⚠ กรอกไม่ครบ",IF(NOT(ISNUMBER(B405)),"⚠ วันที่ไม่ถูกต้อง",IF(COUNTIFS(Setup!$L$6:$L$60,D405,Setup!$M$6:$M$60,C405)=0,"⚠ หมวดไม่ตรงประเภท","✓"))))</f>
        <v/>
      </c>
    </row>
    <row r="406">
      <c r="B406" s="113" t="n"/>
      <c r="C406" s="114" t="n"/>
      <c r="D406" s="115" t="n"/>
      <c r="E406" s="116" t="n"/>
      <c r="F406" s="115" t="n"/>
      <c r="G406" s="117">
        <f>IF(COUNTA(B406:E406)=0,"",IF(COUNTA(B406:E406)&lt;4,"⚠ กรอกไม่ครบ",IF(NOT(ISNUMBER(B406)),"⚠ วันที่ไม่ถูกต้อง",IF(COUNTIFS(Setup!$L$6:$L$60,D406,Setup!$M$6:$M$60,C406)=0,"⚠ หมวดไม่ตรงประเภท","✓"))))</f>
        <v/>
      </c>
    </row>
    <row r="407">
      <c r="B407" s="113" t="n"/>
      <c r="C407" s="114" t="n"/>
      <c r="D407" s="115" t="n"/>
      <c r="E407" s="116" t="n"/>
      <c r="F407" s="115" t="n"/>
      <c r="G407" s="117">
        <f>IF(COUNTA(B407:E407)=0,"",IF(COUNTA(B407:E407)&lt;4,"⚠ กรอกไม่ครบ",IF(NOT(ISNUMBER(B407)),"⚠ วันที่ไม่ถูกต้อง",IF(COUNTIFS(Setup!$L$6:$L$60,D407,Setup!$M$6:$M$60,C407)=0,"⚠ หมวดไม่ตรงประเภท","✓"))))</f>
        <v/>
      </c>
    </row>
    <row r="408">
      <c r="B408" s="113" t="n"/>
      <c r="C408" s="114" t="n"/>
      <c r="D408" s="115" t="n"/>
      <c r="E408" s="116" t="n"/>
      <c r="F408" s="115" t="n"/>
      <c r="G408" s="117">
        <f>IF(COUNTA(B408:E408)=0,"",IF(COUNTA(B408:E408)&lt;4,"⚠ กรอกไม่ครบ",IF(NOT(ISNUMBER(B408)),"⚠ วันที่ไม่ถูกต้อง",IF(COUNTIFS(Setup!$L$6:$L$60,D408,Setup!$M$6:$M$60,C408)=0,"⚠ หมวดไม่ตรงประเภท","✓"))))</f>
        <v/>
      </c>
    </row>
    <row r="409">
      <c r="B409" s="113" t="n"/>
      <c r="C409" s="114" t="n"/>
      <c r="D409" s="115" t="n"/>
      <c r="E409" s="116" t="n"/>
      <c r="F409" s="115" t="n"/>
      <c r="G409" s="117">
        <f>IF(COUNTA(B409:E409)=0,"",IF(COUNTA(B409:E409)&lt;4,"⚠ กรอกไม่ครบ",IF(NOT(ISNUMBER(B409)),"⚠ วันที่ไม่ถูกต้อง",IF(COUNTIFS(Setup!$L$6:$L$60,D409,Setup!$M$6:$M$60,C409)=0,"⚠ หมวดไม่ตรงประเภท","✓"))))</f>
        <v/>
      </c>
    </row>
    <row r="410">
      <c r="B410" s="113" t="n"/>
      <c r="C410" s="114" t="n"/>
      <c r="D410" s="115" t="n"/>
      <c r="E410" s="116" t="n"/>
      <c r="F410" s="115" t="n"/>
      <c r="G410" s="117">
        <f>IF(COUNTA(B410:E410)=0,"",IF(COUNTA(B410:E410)&lt;4,"⚠ กรอกไม่ครบ",IF(NOT(ISNUMBER(B410)),"⚠ วันที่ไม่ถูกต้อง",IF(COUNTIFS(Setup!$L$6:$L$60,D410,Setup!$M$6:$M$60,C410)=0,"⚠ หมวดไม่ตรงประเภท","✓"))))</f>
        <v/>
      </c>
    </row>
    <row r="411">
      <c r="B411" s="113" t="n"/>
      <c r="C411" s="114" t="n"/>
      <c r="D411" s="115" t="n"/>
      <c r="E411" s="116" t="n"/>
      <c r="F411" s="115" t="n"/>
      <c r="G411" s="117">
        <f>IF(COUNTA(B411:E411)=0,"",IF(COUNTA(B411:E411)&lt;4,"⚠ กรอกไม่ครบ",IF(NOT(ISNUMBER(B411)),"⚠ วันที่ไม่ถูกต้อง",IF(COUNTIFS(Setup!$L$6:$L$60,D411,Setup!$M$6:$M$60,C411)=0,"⚠ หมวดไม่ตรงประเภท","✓"))))</f>
        <v/>
      </c>
    </row>
    <row r="412">
      <c r="B412" s="113" t="n"/>
      <c r="C412" s="114" t="n"/>
      <c r="D412" s="115" t="n"/>
      <c r="E412" s="116" t="n"/>
      <c r="F412" s="115" t="n"/>
      <c r="G412" s="117">
        <f>IF(COUNTA(B412:E412)=0,"",IF(COUNTA(B412:E412)&lt;4,"⚠ กรอกไม่ครบ",IF(NOT(ISNUMBER(B412)),"⚠ วันที่ไม่ถูกต้อง",IF(COUNTIFS(Setup!$L$6:$L$60,D412,Setup!$M$6:$M$60,C412)=0,"⚠ หมวดไม่ตรงประเภท","✓"))))</f>
        <v/>
      </c>
    </row>
    <row r="413">
      <c r="B413" s="113" t="n"/>
      <c r="C413" s="114" t="n"/>
      <c r="D413" s="115" t="n"/>
      <c r="E413" s="116" t="n"/>
      <c r="F413" s="115" t="n"/>
      <c r="G413" s="117">
        <f>IF(COUNTA(B413:E413)=0,"",IF(COUNTA(B413:E413)&lt;4,"⚠ กรอกไม่ครบ",IF(NOT(ISNUMBER(B413)),"⚠ วันที่ไม่ถูกต้อง",IF(COUNTIFS(Setup!$L$6:$L$60,D413,Setup!$M$6:$M$60,C413)=0,"⚠ หมวดไม่ตรงประเภท","✓"))))</f>
        <v/>
      </c>
    </row>
    <row r="414">
      <c r="B414" s="113" t="n"/>
      <c r="C414" s="114" t="n"/>
      <c r="D414" s="115" t="n"/>
      <c r="E414" s="116" t="n"/>
      <c r="F414" s="115" t="n"/>
      <c r="G414" s="117">
        <f>IF(COUNTA(B414:E414)=0,"",IF(COUNTA(B414:E414)&lt;4,"⚠ กรอกไม่ครบ",IF(NOT(ISNUMBER(B414)),"⚠ วันที่ไม่ถูกต้อง",IF(COUNTIFS(Setup!$L$6:$L$60,D414,Setup!$M$6:$M$60,C414)=0,"⚠ หมวดไม่ตรงประเภท","✓"))))</f>
        <v/>
      </c>
    </row>
    <row r="415">
      <c r="B415" s="113" t="n"/>
      <c r="C415" s="114" t="n"/>
      <c r="D415" s="115" t="n"/>
      <c r="E415" s="116" t="n"/>
      <c r="F415" s="115" t="n"/>
      <c r="G415" s="117">
        <f>IF(COUNTA(B415:E415)=0,"",IF(COUNTA(B415:E415)&lt;4,"⚠ กรอกไม่ครบ",IF(NOT(ISNUMBER(B415)),"⚠ วันที่ไม่ถูกต้อง",IF(COUNTIFS(Setup!$L$6:$L$60,D415,Setup!$M$6:$M$60,C415)=0,"⚠ หมวดไม่ตรงประเภท","✓"))))</f>
        <v/>
      </c>
    </row>
    <row r="416">
      <c r="B416" s="113" t="n"/>
      <c r="C416" s="114" t="n"/>
      <c r="D416" s="115" t="n"/>
      <c r="E416" s="116" t="n"/>
      <c r="F416" s="115" t="n"/>
      <c r="G416" s="117">
        <f>IF(COUNTA(B416:E416)=0,"",IF(COUNTA(B416:E416)&lt;4,"⚠ กรอกไม่ครบ",IF(NOT(ISNUMBER(B416)),"⚠ วันที่ไม่ถูกต้อง",IF(COUNTIFS(Setup!$L$6:$L$60,D416,Setup!$M$6:$M$60,C416)=0,"⚠ หมวดไม่ตรงประเภท","✓"))))</f>
        <v/>
      </c>
    </row>
    <row r="417">
      <c r="B417" s="113" t="n"/>
      <c r="C417" s="114" t="n"/>
      <c r="D417" s="115" t="n"/>
      <c r="E417" s="116" t="n"/>
      <c r="F417" s="115" t="n"/>
      <c r="G417" s="117">
        <f>IF(COUNTA(B417:E417)=0,"",IF(COUNTA(B417:E417)&lt;4,"⚠ กรอกไม่ครบ",IF(NOT(ISNUMBER(B417)),"⚠ วันที่ไม่ถูกต้อง",IF(COUNTIFS(Setup!$L$6:$L$60,D417,Setup!$M$6:$M$60,C417)=0,"⚠ หมวดไม่ตรงประเภท","✓"))))</f>
        <v/>
      </c>
    </row>
    <row r="418">
      <c r="B418" s="113" t="n"/>
      <c r="C418" s="114" t="n"/>
      <c r="D418" s="115" t="n"/>
      <c r="E418" s="116" t="n"/>
      <c r="F418" s="115" t="n"/>
      <c r="G418" s="117">
        <f>IF(COUNTA(B418:E418)=0,"",IF(COUNTA(B418:E418)&lt;4,"⚠ กรอกไม่ครบ",IF(NOT(ISNUMBER(B418)),"⚠ วันที่ไม่ถูกต้อง",IF(COUNTIFS(Setup!$L$6:$L$60,D418,Setup!$M$6:$M$60,C418)=0,"⚠ หมวดไม่ตรงประเภท","✓"))))</f>
        <v/>
      </c>
    </row>
    <row r="419">
      <c r="B419" s="113" t="n"/>
      <c r="C419" s="114" t="n"/>
      <c r="D419" s="115" t="n"/>
      <c r="E419" s="116" t="n"/>
      <c r="F419" s="115" t="n"/>
      <c r="G419" s="117">
        <f>IF(COUNTA(B419:E419)=0,"",IF(COUNTA(B419:E419)&lt;4,"⚠ กรอกไม่ครบ",IF(NOT(ISNUMBER(B419)),"⚠ วันที่ไม่ถูกต้อง",IF(COUNTIFS(Setup!$L$6:$L$60,D419,Setup!$M$6:$M$60,C419)=0,"⚠ หมวดไม่ตรงประเภท","✓"))))</f>
        <v/>
      </c>
    </row>
    <row r="420">
      <c r="B420" s="113" t="n"/>
      <c r="C420" s="114" t="n"/>
      <c r="D420" s="115" t="n"/>
      <c r="E420" s="116" t="n"/>
      <c r="F420" s="115" t="n"/>
      <c r="G420" s="117">
        <f>IF(COUNTA(B420:E420)=0,"",IF(COUNTA(B420:E420)&lt;4,"⚠ กรอกไม่ครบ",IF(NOT(ISNUMBER(B420)),"⚠ วันที่ไม่ถูกต้อง",IF(COUNTIFS(Setup!$L$6:$L$60,D420,Setup!$M$6:$M$60,C420)=0,"⚠ หมวดไม่ตรงประเภท","✓"))))</f>
        <v/>
      </c>
    </row>
    <row r="421">
      <c r="B421" s="113" t="n"/>
      <c r="C421" s="114" t="n"/>
      <c r="D421" s="115" t="n"/>
      <c r="E421" s="116" t="n"/>
      <c r="F421" s="115" t="n"/>
      <c r="G421" s="117">
        <f>IF(COUNTA(B421:E421)=0,"",IF(COUNTA(B421:E421)&lt;4,"⚠ กรอกไม่ครบ",IF(NOT(ISNUMBER(B421)),"⚠ วันที่ไม่ถูกต้อง",IF(COUNTIFS(Setup!$L$6:$L$60,D421,Setup!$M$6:$M$60,C421)=0,"⚠ หมวดไม่ตรงประเภท","✓"))))</f>
        <v/>
      </c>
    </row>
    <row r="422">
      <c r="B422" s="113" t="n"/>
      <c r="C422" s="114" t="n"/>
      <c r="D422" s="115" t="n"/>
      <c r="E422" s="116" t="n"/>
      <c r="F422" s="115" t="n"/>
      <c r="G422" s="117">
        <f>IF(COUNTA(B422:E422)=0,"",IF(COUNTA(B422:E422)&lt;4,"⚠ กรอกไม่ครบ",IF(NOT(ISNUMBER(B422)),"⚠ วันที่ไม่ถูกต้อง",IF(COUNTIFS(Setup!$L$6:$L$60,D422,Setup!$M$6:$M$60,C422)=0,"⚠ หมวดไม่ตรงประเภท","✓"))))</f>
        <v/>
      </c>
    </row>
    <row r="423">
      <c r="B423" s="113" t="n"/>
      <c r="C423" s="114" t="n"/>
      <c r="D423" s="115" t="n"/>
      <c r="E423" s="116" t="n"/>
      <c r="F423" s="115" t="n"/>
      <c r="G423" s="117">
        <f>IF(COUNTA(B423:E423)=0,"",IF(COUNTA(B423:E423)&lt;4,"⚠ กรอกไม่ครบ",IF(NOT(ISNUMBER(B423)),"⚠ วันที่ไม่ถูกต้อง",IF(COUNTIFS(Setup!$L$6:$L$60,D423,Setup!$M$6:$M$60,C423)=0,"⚠ หมวดไม่ตรงประเภท","✓"))))</f>
        <v/>
      </c>
    </row>
    <row r="424">
      <c r="B424" s="113" t="n"/>
      <c r="C424" s="114" t="n"/>
      <c r="D424" s="115" t="n"/>
      <c r="E424" s="116" t="n"/>
      <c r="F424" s="115" t="n"/>
      <c r="G424" s="117">
        <f>IF(COUNTA(B424:E424)=0,"",IF(COUNTA(B424:E424)&lt;4,"⚠ กรอกไม่ครบ",IF(NOT(ISNUMBER(B424)),"⚠ วันที่ไม่ถูกต้อง",IF(COUNTIFS(Setup!$L$6:$L$60,D424,Setup!$M$6:$M$60,C424)=0,"⚠ หมวดไม่ตรงประเภท","✓"))))</f>
        <v/>
      </c>
    </row>
    <row r="425">
      <c r="B425" s="113" t="n"/>
      <c r="C425" s="114" t="n"/>
      <c r="D425" s="115" t="n"/>
      <c r="E425" s="116" t="n"/>
      <c r="F425" s="115" t="n"/>
      <c r="G425" s="117">
        <f>IF(COUNTA(B425:E425)=0,"",IF(COUNTA(B425:E425)&lt;4,"⚠ กรอกไม่ครบ",IF(NOT(ISNUMBER(B425)),"⚠ วันที่ไม่ถูกต้อง",IF(COUNTIFS(Setup!$L$6:$L$60,D425,Setup!$M$6:$M$60,C425)=0,"⚠ หมวดไม่ตรงประเภท","✓"))))</f>
        <v/>
      </c>
    </row>
    <row r="426">
      <c r="B426" s="113" t="n"/>
      <c r="C426" s="114" t="n"/>
      <c r="D426" s="115" t="n"/>
      <c r="E426" s="116" t="n"/>
      <c r="F426" s="115" t="n"/>
      <c r="G426" s="117">
        <f>IF(COUNTA(B426:E426)=0,"",IF(COUNTA(B426:E426)&lt;4,"⚠ กรอกไม่ครบ",IF(NOT(ISNUMBER(B426)),"⚠ วันที่ไม่ถูกต้อง",IF(COUNTIFS(Setup!$L$6:$L$60,D426,Setup!$M$6:$M$60,C426)=0,"⚠ หมวดไม่ตรงประเภท","✓"))))</f>
        <v/>
      </c>
    </row>
    <row r="427">
      <c r="B427" s="113" t="n"/>
      <c r="C427" s="114" t="n"/>
      <c r="D427" s="115" t="n"/>
      <c r="E427" s="116" t="n"/>
      <c r="F427" s="115" t="n"/>
      <c r="G427" s="117">
        <f>IF(COUNTA(B427:E427)=0,"",IF(COUNTA(B427:E427)&lt;4,"⚠ กรอกไม่ครบ",IF(NOT(ISNUMBER(B427)),"⚠ วันที่ไม่ถูกต้อง",IF(COUNTIFS(Setup!$L$6:$L$60,D427,Setup!$M$6:$M$60,C427)=0,"⚠ หมวดไม่ตรงประเภท","✓"))))</f>
        <v/>
      </c>
    </row>
    <row r="428">
      <c r="B428" s="113" t="n"/>
      <c r="C428" s="114" t="n"/>
      <c r="D428" s="115" t="n"/>
      <c r="E428" s="116" t="n"/>
      <c r="F428" s="115" t="n"/>
      <c r="G428" s="117">
        <f>IF(COUNTA(B428:E428)=0,"",IF(COUNTA(B428:E428)&lt;4,"⚠ กรอกไม่ครบ",IF(NOT(ISNUMBER(B428)),"⚠ วันที่ไม่ถูกต้อง",IF(COUNTIFS(Setup!$L$6:$L$60,D428,Setup!$M$6:$M$60,C428)=0,"⚠ หมวดไม่ตรงประเภท","✓"))))</f>
        <v/>
      </c>
    </row>
    <row r="429">
      <c r="B429" s="113" t="n"/>
      <c r="C429" s="114" t="n"/>
      <c r="D429" s="115" t="n"/>
      <c r="E429" s="116" t="n"/>
      <c r="F429" s="115" t="n"/>
      <c r="G429" s="117">
        <f>IF(COUNTA(B429:E429)=0,"",IF(COUNTA(B429:E429)&lt;4,"⚠ กรอกไม่ครบ",IF(NOT(ISNUMBER(B429)),"⚠ วันที่ไม่ถูกต้อง",IF(COUNTIFS(Setup!$L$6:$L$60,D429,Setup!$M$6:$M$60,C429)=0,"⚠ หมวดไม่ตรงประเภท","✓"))))</f>
        <v/>
      </c>
    </row>
    <row r="430">
      <c r="B430" s="113" t="n"/>
      <c r="C430" s="114" t="n"/>
      <c r="D430" s="115" t="n"/>
      <c r="E430" s="116" t="n"/>
      <c r="F430" s="115" t="n"/>
      <c r="G430" s="117">
        <f>IF(COUNTA(B430:E430)=0,"",IF(COUNTA(B430:E430)&lt;4,"⚠ กรอกไม่ครบ",IF(NOT(ISNUMBER(B430)),"⚠ วันที่ไม่ถูกต้อง",IF(COUNTIFS(Setup!$L$6:$L$60,D430,Setup!$M$6:$M$60,C430)=0,"⚠ หมวดไม่ตรงประเภท","✓"))))</f>
        <v/>
      </c>
    </row>
    <row r="431">
      <c r="B431" s="113" t="n"/>
      <c r="C431" s="114" t="n"/>
      <c r="D431" s="115" t="n"/>
      <c r="E431" s="116" t="n"/>
      <c r="F431" s="115" t="n"/>
      <c r="G431" s="117">
        <f>IF(COUNTA(B431:E431)=0,"",IF(COUNTA(B431:E431)&lt;4,"⚠ กรอกไม่ครบ",IF(NOT(ISNUMBER(B431)),"⚠ วันที่ไม่ถูกต้อง",IF(COUNTIFS(Setup!$L$6:$L$60,D431,Setup!$M$6:$M$60,C431)=0,"⚠ หมวดไม่ตรงประเภท","✓"))))</f>
        <v/>
      </c>
    </row>
    <row r="432">
      <c r="B432" s="113" t="n"/>
      <c r="C432" s="114" t="n"/>
      <c r="D432" s="115" t="n"/>
      <c r="E432" s="116" t="n"/>
      <c r="F432" s="115" t="n"/>
      <c r="G432" s="117">
        <f>IF(COUNTA(B432:E432)=0,"",IF(COUNTA(B432:E432)&lt;4,"⚠ กรอกไม่ครบ",IF(NOT(ISNUMBER(B432)),"⚠ วันที่ไม่ถูกต้อง",IF(COUNTIFS(Setup!$L$6:$L$60,D432,Setup!$M$6:$M$60,C432)=0,"⚠ หมวดไม่ตรงประเภท","✓"))))</f>
        <v/>
      </c>
    </row>
    <row r="433">
      <c r="B433" s="113" t="n"/>
      <c r="C433" s="114" t="n"/>
      <c r="D433" s="115" t="n"/>
      <c r="E433" s="116" t="n"/>
      <c r="F433" s="115" t="n"/>
      <c r="G433" s="117">
        <f>IF(COUNTA(B433:E433)=0,"",IF(COUNTA(B433:E433)&lt;4,"⚠ กรอกไม่ครบ",IF(NOT(ISNUMBER(B433)),"⚠ วันที่ไม่ถูกต้อง",IF(COUNTIFS(Setup!$L$6:$L$60,D433,Setup!$M$6:$M$60,C433)=0,"⚠ หมวดไม่ตรงประเภท","✓"))))</f>
        <v/>
      </c>
    </row>
    <row r="434">
      <c r="B434" s="113" t="n"/>
      <c r="C434" s="114" t="n"/>
      <c r="D434" s="115" t="n"/>
      <c r="E434" s="116" t="n"/>
      <c r="F434" s="115" t="n"/>
      <c r="G434" s="117">
        <f>IF(COUNTA(B434:E434)=0,"",IF(COUNTA(B434:E434)&lt;4,"⚠ กรอกไม่ครบ",IF(NOT(ISNUMBER(B434)),"⚠ วันที่ไม่ถูกต้อง",IF(COUNTIFS(Setup!$L$6:$L$60,D434,Setup!$M$6:$M$60,C434)=0,"⚠ หมวดไม่ตรงประเภท","✓"))))</f>
        <v/>
      </c>
    </row>
    <row r="435">
      <c r="B435" s="113" t="n"/>
      <c r="C435" s="114" t="n"/>
      <c r="D435" s="115" t="n"/>
      <c r="E435" s="116" t="n"/>
      <c r="F435" s="115" t="n"/>
      <c r="G435" s="117">
        <f>IF(COUNTA(B435:E435)=0,"",IF(COUNTA(B435:E435)&lt;4,"⚠ กรอกไม่ครบ",IF(NOT(ISNUMBER(B435)),"⚠ วันที่ไม่ถูกต้อง",IF(COUNTIFS(Setup!$L$6:$L$60,D435,Setup!$M$6:$M$60,C435)=0,"⚠ หมวดไม่ตรงประเภท","✓"))))</f>
        <v/>
      </c>
    </row>
    <row r="436">
      <c r="B436" s="113" t="n"/>
      <c r="C436" s="114" t="n"/>
      <c r="D436" s="115" t="n"/>
      <c r="E436" s="116" t="n"/>
      <c r="F436" s="115" t="n"/>
      <c r="G436" s="117">
        <f>IF(COUNTA(B436:E436)=0,"",IF(COUNTA(B436:E436)&lt;4,"⚠ กรอกไม่ครบ",IF(NOT(ISNUMBER(B436)),"⚠ วันที่ไม่ถูกต้อง",IF(COUNTIFS(Setup!$L$6:$L$60,D436,Setup!$M$6:$M$60,C436)=0,"⚠ หมวดไม่ตรงประเภท","✓"))))</f>
        <v/>
      </c>
    </row>
    <row r="437">
      <c r="B437" s="113" t="n"/>
      <c r="C437" s="114" t="n"/>
      <c r="D437" s="115" t="n"/>
      <c r="E437" s="116" t="n"/>
      <c r="F437" s="115" t="n"/>
      <c r="G437" s="117">
        <f>IF(COUNTA(B437:E437)=0,"",IF(COUNTA(B437:E437)&lt;4,"⚠ กรอกไม่ครบ",IF(NOT(ISNUMBER(B437)),"⚠ วันที่ไม่ถูกต้อง",IF(COUNTIFS(Setup!$L$6:$L$60,D437,Setup!$M$6:$M$60,C437)=0,"⚠ หมวดไม่ตรงประเภท","✓"))))</f>
        <v/>
      </c>
    </row>
    <row r="438">
      <c r="B438" s="113" t="n"/>
      <c r="C438" s="114" t="n"/>
      <c r="D438" s="115" t="n"/>
      <c r="E438" s="116" t="n"/>
      <c r="F438" s="115" t="n"/>
      <c r="G438" s="117">
        <f>IF(COUNTA(B438:E438)=0,"",IF(COUNTA(B438:E438)&lt;4,"⚠ กรอกไม่ครบ",IF(NOT(ISNUMBER(B438)),"⚠ วันที่ไม่ถูกต้อง",IF(COUNTIFS(Setup!$L$6:$L$60,D438,Setup!$M$6:$M$60,C438)=0,"⚠ หมวดไม่ตรงประเภท","✓"))))</f>
        <v/>
      </c>
    </row>
    <row r="439">
      <c r="B439" s="113" t="n"/>
      <c r="C439" s="114" t="n"/>
      <c r="D439" s="115" t="n"/>
      <c r="E439" s="116" t="n"/>
      <c r="F439" s="115" t="n"/>
      <c r="G439" s="117">
        <f>IF(COUNTA(B439:E439)=0,"",IF(COUNTA(B439:E439)&lt;4,"⚠ กรอกไม่ครบ",IF(NOT(ISNUMBER(B439)),"⚠ วันที่ไม่ถูกต้อง",IF(COUNTIFS(Setup!$L$6:$L$60,D439,Setup!$M$6:$M$60,C439)=0,"⚠ หมวดไม่ตรงประเภท","✓"))))</f>
        <v/>
      </c>
    </row>
    <row r="440">
      <c r="B440" s="113" t="n"/>
      <c r="C440" s="114" t="n"/>
      <c r="D440" s="115" t="n"/>
      <c r="E440" s="116" t="n"/>
      <c r="F440" s="115" t="n"/>
      <c r="G440" s="117">
        <f>IF(COUNTA(B440:E440)=0,"",IF(COUNTA(B440:E440)&lt;4,"⚠ กรอกไม่ครบ",IF(NOT(ISNUMBER(B440)),"⚠ วันที่ไม่ถูกต้อง",IF(COUNTIFS(Setup!$L$6:$L$60,D440,Setup!$M$6:$M$60,C440)=0,"⚠ หมวดไม่ตรงประเภท","✓"))))</f>
        <v/>
      </c>
    </row>
    <row r="441">
      <c r="B441" s="113" t="n"/>
      <c r="C441" s="114" t="n"/>
      <c r="D441" s="115" t="n"/>
      <c r="E441" s="116" t="n"/>
      <c r="F441" s="115" t="n"/>
      <c r="G441" s="117">
        <f>IF(COUNTA(B441:E441)=0,"",IF(COUNTA(B441:E441)&lt;4,"⚠ กรอกไม่ครบ",IF(NOT(ISNUMBER(B441)),"⚠ วันที่ไม่ถูกต้อง",IF(COUNTIFS(Setup!$L$6:$L$60,D441,Setup!$M$6:$M$60,C441)=0,"⚠ หมวดไม่ตรงประเภท","✓"))))</f>
        <v/>
      </c>
    </row>
    <row r="442">
      <c r="B442" s="113" t="n"/>
      <c r="C442" s="114" t="n"/>
      <c r="D442" s="115" t="n"/>
      <c r="E442" s="116" t="n"/>
      <c r="F442" s="115" t="n"/>
      <c r="G442" s="117">
        <f>IF(COUNTA(B442:E442)=0,"",IF(COUNTA(B442:E442)&lt;4,"⚠ กรอกไม่ครบ",IF(NOT(ISNUMBER(B442)),"⚠ วันที่ไม่ถูกต้อง",IF(COUNTIFS(Setup!$L$6:$L$60,D442,Setup!$M$6:$M$60,C442)=0,"⚠ หมวดไม่ตรงประเภท","✓"))))</f>
        <v/>
      </c>
    </row>
    <row r="443">
      <c r="B443" s="113" t="n"/>
      <c r="C443" s="114" t="n"/>
      <c r="D443" s="115" t="n"/>
      <c r="E443" s="116" t="n"/>
      <c r="F443" s="115" t="n"/>
      <c r="G443" s="117">
        <f>IF(COUNTA(B443:E443)=0,"",IF(COUNTA(B443:E443)&lt;4,"⚠ กรอกไม่ครบ",IF(NOT(ISNUMBER(B443)),"⚠ วันที่ไม่ถูกต้อง",IF(COUNTIFS(Setup!$L$6:$L$60,D443,Setup!$M$6:$M$60,C443)=0,"⚠ หมวดไม่ตรงประเภท","✓"))))</f>
        <v/>
      </c>
    </row>
    <row r="444">
      <c r="B444" s="113" t="n"/>
      <c r="C444" s="114" t="n"/>
      <c r="D444" s="115" t="n"/>
      <c r="E444" s="116" t="n"/>
      <c r="F444" s="115" t="n"/>
      <c r="G444" s="117">
        <f>IF(COUNTA(B444:E444)=0,"",IF(COUNTA(B444:E444)&lt;4,"⚠ กรอกไม่ครบ",IF(NOT(ISNUMBER(B444)),"⚠ วันที่ไม่ถูกต้อง",IF(COUNTIFS(Setup!$L$6:$L$60,D444,Setup!$M$6:$M$60,C444)=0,"⚠ หมวดไม่ตรงประเภท","✓"))))</f>
        <v/>
      </c>
    </row>
    <row r="445">
      <c r="B445" s="113" t="n"/>
      <c r="C445" s="114" t="n"/>
      <c r="D445" s="115" t="n"/>
      <c r="E445" s="116" t="n"/>
      <c r="F445" s="115" t="n"/>
      <c r="G445" s="117">
        <f>IF(COUNTA(B445:E445)=0,"",IF(COUNTA(B445:E445)&lt;4,"⚠ กรอกไม่ครบ",IF(NOT(ISNUMBER(B445)),"⚠ วันที่ไม่ถูกต้อง",IF(COUNTIFS(Setup!$L$6:$L$60,D445,Setup!$M$6:$M$60,C445)=0,"⚠ หมวดไม่ตรงประเภท","✓"))))</f>
        <v/>
      </c>
    </row>
    <row r="446">
      <c r="B446" s="113" t="n"/>
      <c r="C446" s="114" t="n"/>
      <c r="D446" s="115" t="n"/>
      <c r="E446" s="116" t="n"/>
      <c r="F446" s="115" t="n"/>
      <c r="G446" s="117">
        <f>IF(COUNTA(B446:E446)=0,"",IF(COUNTA(B446:E446)&lt;4,"⚠ กรอกไม่ครบ",IF(NOT(ISNUMBER(B446)),"⚠ วันที่ไม่ถูกต้อง",IF(COUNTIFS(Setup!$L$6:$L$60,D446,Setup!$M$6:$M$60,C446)=0,"⚠ หมวดไม่ตรงประเภท","✓"))))</f>
        <v/>
      </c>
    </row>
    <row r="447">
      <c r="B447" s="113" t="n"/>
      <c r="C447" s="114" t="n"/>
      <c r="D447" s="115" t="n"/>
      <c r="E447" s="116" t="n"/>
      <c r="F447" s="115" t="n"/>
      <c r="G447" s="117">
        <f>IF(COUNTA(B447:E447)=0,"",IF(COUNTA(B447:E447)&lt;4,"⚠ กรอกไม่ครบ",IF(NOT(ISNUMBER(B447)),"⚠ วันที่ไม่ถูกต้อง",IF(COUNTIFS(Setup!$L$6:$L$60,D447,Setup!$M$6:$M$60,C447)=0,"⚠ หมวดไม่ตรงประเภท","✓"))))</f>
        <v/>
      </c>
    </row>
    <row r="448">
      <c r="B448" s="113" t="n"/>
      <c r="C448" s="114" t="n"/>
      <c r="D448" s="115" t="n"/>
      <c r="E448" s="116" t="n"/>
      <c r="F448" s="115" t="n"/>
      <c r="G448" s="117">
        <f>IF(COUNTA(B448:E448)=0,"",IF(COUNTA(B448:E448)&lt;4,"⚠ กรอกไม่ครบ",IF(NOT(ISNUMBER(B448)),"⚠ วันที่ไม่ถูกต้อง",IF(COUNTIFS(Setup!$L$6:$L$60,D448,Setup!$M$6:$M$60,C448)=0,"⚠ หมวดไม่ตรงประเภท","✓"))))</f>
        <v/>
      </c>
    </row>
    <row r="449">
      <c r="B449" s="113" t="n"/>
      <c r="C449" s="114" t="n"/>
      <c r="D449" s="115" t="n"/>
      <c r="E449" s="116" t="n"/>
      <c r="F449" s="115" t="n"/>
      <c r="G449" s="117">
        <f>IF(COUNTA(B449:E449)=0,"",IF(COUNTA(B449:E449)&lt;4,"⚠ กรอกไม่ครบ",IF(NOT(ISNUMBER(B449)),"⚠ วันที่ไม่ถูกต้อง",IF(COUNTIFS(Setup!$L$6:$L$60,D449,Setup!$M$6:$M$60,C449)=0,"⚠ หมวดไม่ตรงประเภท","✓"))))</f>
        <v/>
      </c>
    </row>
    <row r="450">
      <c r="B450" s="113" t="n"/>
      <c r="C450" s="114" t="n"/>
      <c r="D450" s="115" t="n"/>
      <c r="E450" s="116" t="n"/>
      <c r="F450" s="115" t="n"/>
      <c r="G450" s="117">
        <f>IF(COUNTA(B450:E450)=0,"",IF(COUNTA(B450:E450)&lt;4,"⚠ กรอกไม่ครบ",IF(NOT(ISNUMBER(B450)),"⚠ วันที่ไม่ถูกต้อง",IF(COUNTIFS(Setup!$L$6:$L$60,D450,Setup!$M$6:$M$60,C450)=0,"⚠ หมวดไม่ตรงประเภท","✓"))))</f>
        <v/>
      </c>
    </row>
    <row r="451">
      <c r="B451" s="113" t="n"/>
      <c r="C451" s="114" t="n"/>
      <c r="D451" s="115" t="n"/>
      <c r="E451" s="116" t="n"/>
      <c r="F451" s="115" t="n"/>
      <c r="G451" s="117">
        <f>IF(COUNTA(B451:E451)=0,"",IF(COUNTA(B451:E451)&lt;4,"⚠ กรอกไม่ครบ",IF(NOT(ISNUMBER(B451)),"⚠ วันที่ไม่ถูกต้อง",IF(COUNTIFS(Setup!$L$6:$L$60,D451,Setup!$M$6:$M$60,C451)=0,"⚠ หมวดไม่ตรงประเภท","✓"))))</f>
        <v/>
      </c>
    </row>
    <row r="452">
      <c r="B452" s="113" t="n"/>
      <c r="C452" s="114" t="n"/>
      <c r="D452" s="115" t="n"/>
      <c r="E452" s="116" t="n"/>
      <c r="F452" s="115" t="n"/>
      <c r="G452" s="117">
        <f>IF(COUNTA(B452:E452)=0,"",IF(COUNTA(B452:E452)&lt;4,"⚠ กรอกไม่ครบ",IF(NOT(ISNUMBER(B452)),"⚠ วันที่ไม่ถูกต้อง",IF(COUNTIFS(Setup!$L$6:$L$60,D452,Setup!$M$6:$M$60,C452)=0,"⚠ หมวดไม่ตรงประเภท","✓"))))</f>
        <v/>
      </c>
    </row>
    <row r="453">
      <c r="B453" s="113" t="n"/>
      <c r="C453" s="114" t="n"/>
      <c r="D453" s="115" t="n"/>
      <c r="E453" s="116" t="n"/>
      <c r="F453" s="115" t="n"/>
      <c r="G453" s="117">
        <f>IF(COUNTA(B453:E453)=0,"",IF(COUNTA(B453:E453)&lt;4,"⚠ กรอกไม่ครบ",IF(NOT(ISNUMBER(B453)),"⚠ วันที่ไม่ถูกต้อง",IF(COUNTIFS(Setup!$L$6:$L$60,D453,Setup!$M$6:$M$60,C453)=0,"⚠ หมวดไม่ตรงประเภท","✓"))))</f>
        <v/>
      </c>
    </row>
    <row r="454">
      <c r="B454" s="113" t="n"/>
      <c r="C454" s="114" t="n"/>
      <c r="D454" s="115" t="n"/>
      <c r="E454" s="116" t="n"/>
      <c r="F454" s="115" t="n"/>
      <c r="G454" s="117">
        <f>IF(COUNTA(B454:E454)=0,"",IF(COUNTA(B454:E454)&lt;4,"⚠ กรอกไม่ครบ",IF(NOT(ISNUMBER(B454)),"⚠ วันที่ไม่ถูกต้อง",IF(COUNTIFS(Setup!$L$6:$L$60,D454,Setup!$M$6:$M$60,C454)=0,"⚠ หมวดไม่ตรงประเภท","✓"))))</f>
        <v/>
      </c>
    </row>
    <row r="455">
      <c r="B455" s="113" t="n"/>
      <c r="C455" s="114" t="n"/>
      <c r="D455" s="115" t="n"/>
      <c r="E455" s="116" t="n"/>
      <c r="F455" s="115" t="n"/>
      <c r="G455" s="117">
        <f>IF(COUNTA(B455:E455)=0,"",IF(COUNTA(B455:E455)&lt;4,"⚠ กรอกไม่ครบ",IF(NOT(ISNUMBER(B455)),"⚠ วันที่ไม่ถูกต้อง",IF(COUNTIFS(Setup!$L$6:$L$60,D455,Setup!$M$6:$M$60,C455)=0,"⚠ หมวดไม่ตรงประเภท","✓"))))</f>
        <v/>
      </c>
    </row>
    <row r="456">
      <c r="B456" s="113" t="n"/>
      <c r="C456" s="114" t="n"/>
      <c r="D456" s="115" t="n"/>
      <c r="E456" s="116" t="n"/>
      <c r="F456" s="115" t="n"/>
      <c r="G456" s="117">
        <f>IF(COUNTA(B456:E456)=0,"",IF(COUNTA(B456:E456)&lt;4,"⚠ กรอกไม่ครบ",IF(NOT(ISNUMBER(B456)),"⚠ วันที่ไม่ถูกต้อง",IF(COUNTIFS(Setup!$L$6:$L$60,D456,Setup!$M$6:$M$60,C456)=0,"⚠ หมวดไม่ตรงประเภท","✓"))))</f>
        <v/>
      </c>
    </row>
    <row r="457">
      <c r="B457" s="113" t="n"/>
      <c r="C457" s="114" t="n"/>
      <c r="D457" s="115" t="n"/>
      <c r="E457" s="116" t="n"/>
      <c r="F457" s="115" t="n"/>
      <c r="G457" s="117">
        <f>IF(COUNTA(B457:E457)=0,"",IF(COUNTA(B457:E457)&lt;4,"⚠ กรอกไม่ครบ",IF(NOT(ISNUMBER(B457)),"⚠ วันที่ไม่ถูกต้อง",IF(COUNTIFS(Setup!$L$6:$L$60,D457,Setup!$M$6:$M$60,C457)=0,"⚠ หมวดไม่ตรงประเภท","✓"))))</f>
        <v/>
      </c>
    </row>
    <row r="458">
      <c r="B458" s="113" t="n"/>
      <c r="C458" s="114" t="n"/>
      <c r="D458" s="115" t="n"/>
      <c r="E458" s="116" t="n"/>
      <c r="F458" s="115" t="n"/>
      <c r="G458" s="117">
        <f>IF(COUNTA(B458:E458)=0,"",IF(COUNTA(B458:E458)&lt;4,"⚠ กรอกไม่ครบ",IF(NOT(ISNUMBER(B458)),"⚠ วันที่ไม่ถูกต้อง",IF(COUNTIFS(Setup!$L$6:$L$60,D458,Setup!$M$6:$M$60,C458)=0,"⚠ หมวดไม่ตรงประเภท","✓"))))</f>
        <v/>
      </c>
    </row>
    <row r="459">
      <c r="B459" s="113" t="n"/>
      <c r="C459" s="114" t="n"/>
      <c r="D459" s="115" t="n"/>
      <c r="E459" s="116" t="n"/>
      <c r="F459" s="115" t="n"/>
      <c r="G459" s="117">
        <f>IF(COUNTA(B459:E459)=0,"",IF(COUNTA(B459:E459)&lt;4,"⚠ กรอกไม่ครบ",IF(NOT(ISNUMBER(B459)),"⚠ วันที่ไม่ถูกต้อง",IF(COUNTIFS(Setup!$L$6:$L$60,D459,Setup!$M$6:$M$60,C459)=0,"⚠ หมวดไม่ตรงประเภท","✓"))))</f>
        <v/>
      </c>
    </row>
    <row r="460">
      <c r="B460" s="113" t="n"/>
      <c r="C460" s="114" t="n"/>
      <c r="D460" s="115" t="n"/>
      <c r="E460" s="116" t="n"/>
      <c r="F460" s="115" t="n"/>
      <c r="G460" s="117">
        <f>IF(COUNTA(B460:E460)=0,"",IF(COUNTA(B460:E460)&lt;4,"⚠ กรอกไม่ครบ",IF(NOT(ISNUMBER(B460)),"⚠ วันที่ไม่ถูกต้อง",IF(COUNTIFS(Setup!$L$6:$L$60,D460,Setup!$M$6:$M$60,C460)=0,"⚠ หมวดไม่ตรงประเภท","✓"))))</f>
        <v/>
      </c>
    </row>
    <row r="461">
      <c r="B461" s="113" t="n"/>
      <c r="C461" s="114" t="n"/>
      <c r="D461" s="115" t="n"/>
      <c r="E461" s="116" t="n"/>
      <c r="F461" s="115" t="n"/>
      <c r="G461" s="117">
        <f>IF(COUNTA(B461:E461)=0,"",IF(COUNTA(B461:E461)&lt;4,"⚠ กรอกไม่ครบ",IF(NOT(ISNUMBER(B461)),"⚠ วันที่ไม่ถูกต้อง",IF(COUNTIFS(Setup!$L$6:$L$60,D461,Setup!$M$6:$M$60,C461)=0,"⚠ หมวดไม่ตรงประเภท","✓"))))</f>
        <v/>
      </c>
    </row>
    <row r="462">
      <c r="B462" s="113" t="n"/>
      <c r="C462" s="114" t="n"/>
      <c r="D462" s="115" t="n"/>
      <c r="E462" s="116" t="n"/>
      <c r="F462" s="115" t="n"/>
      <c r="G462" s="117">
        <f>IF(COUNTA(B462:E462)=0,"",IF(COUNTA(B462:E462)&lt;4,"⚠ กรอกไม่ครบ",IF(NOT(ISNUMBER(B462)),"⚠ วันที่ไม่ถูกต้อง",IF(COUNTIFS(Setup!$L$6:$L$60,D462,Setup!$M$6:$M$60,C462)=0,"⚠ หมวดไม่ตรงประเภท","✓"))))</f>
        <v/>
      </c>
    </row>
    <row r="463">
      <c r="B463" s="113" t="n"/>
      <c r="C463" s="114" t="n"/>
      <c r="D463" s="115" t="n"/>
      <c r="E463" s="116" t="n"/>
      <c r="F463" s="115" t="n"/>
      <c r="G463" s="117">
        <f>IF(COUNTA(B463:E463)=0,"",IF(COUNTA(B463:E463)&lt;4,"⚠ กรอกไม่ครบ",IF(NOT(ISNUMBER(B463)),"⚠ วันที่ไม่ถูกต้อง",IF(COUNTIFS(Setup!$L$6:$L$60,D463,Setup!$M$6:$M$60,C463)=0,"⚠ หมวดไม่ตรงประเภท","✓"))))</f>
        <v/>
      </c>
    </row>
    <row r="464">
      <c r="B464" s="113" t="n"/>
      <c r="C464" s="114" t="n"/>
      <c r="D464" s="115" t="n"/>
      <c r="E464" s="116" t="n"/>
      <c r="F464" s="115" t="n"/>
      <c r="G464" s="117">
        <f>IF(COUNTA(B464:E464)=0,"",IF(COUNTA(B464:E464)&lt;4,"⚠ กรอกไม่ครบ",IF(NOT(ISNUMBER(B464)),"⚠ วันที่ไม่ถูกต้อง",IF(COUNTIFS(Setup!$L$6:$L$60,D464,Setup!$M$6:$M$60,C464)=0,"⚠ หมวดไม่ตรงประเภท","✓"))))</f>
        <v/>
      </c>
    </row>
    <row r="465">
      <c r="B465" s="113" t="n"/>
      <c r="C465" s="114" t="n"/>
      <c r="D465" s="115" t="n"/>
      <c r="E465" s="116" t="n"/>
      <c r="F465" s="115" t="n"/>
      <c r="G465" s="117">
        <f>IF(COUNTA(B465:E465)=0,"",IF(COUNTA(B465:E465)&lt;4,"⚠ กรอกไม่ครบ",IF(NOT(ISNUMBER(B465)),"⚠ วันที่ไม่ถูกต้อง",IF(COUNTIFS(Setup!$L$6:$L$60,D465,Setup!$M$6:$M$60,C465)=0,"⚠ หมวดไม่ตรงประเภท","✓"))))</f>
        <v/>
      </c>
    </row>
    <row r="466">
      <c r="B466" s="113" t="n"/>
      <c r="C466" s="114" t="n"/>
      <c r="D466" s="115" t="n"/>
      <c r="E466" s="116" t="n"/>
      <c r="F466" s="115" t="n"/>
      <c r="G466" s="117">
        <f>IF(COUNTA(B466:E466)=0,"",IF(COUNTA(B466:E466)&lt;4,"⚠ กรอกไม่ครบ",IF(NOT(ISNUMBER(B466)),"⚠ วันที่ไม่ถูกต้อง",IF(COUNTIFS(Setup!$L$6:$L$60,D466,Setup!$M$6:$M$60,C466)=0,"⚠ หมวดไม่ตรงประเภท","✓"))))</f>
        <v/>
      </c>
    </row>
    <row r="467">
      <c r="B467" s="113" t="n"/>
      <c r="C467" s="114" t="n"/>
      <c r="D467" s="115" t="n"/>
      <c r="E467" s="116" t="n"/>
      <c r="F467" s="115" t="n"/>
      <c r="G467" s="117">
        <f>IF(COUNTA(B467:E467)=0,"",IF(COUNTA(B467:E467)&lt;4,"⚠ กรอกไม่ครบ",IF(NOT(ISNUMBER(B467)),"⚠ วันที่ไม่ถูกต้อง",IF(COUNTIFS(Setup!$L$6:$L$60,D467,Setup!$M$6:$M$60,C467)=0,"⚠ หมวดไม่ตรงประเภท","✓"))))</f>
        <v/>
      </c>
    </row>
    <row r="468">
      <c r="B468" s="113" t="n"/>
      <c r="C468" s="114" t="n"/>
      <c r="D468" s="115" t="n"/>
      <c r="E468" s="116" t="n"/>
      <c r="F468" s="115" t="n"/>
      <c r="G468" s="117">
        <f>IF(COUNTA(B468:E468)=0,"",IF(COUNTA(B468:E468)&lt;4,"⚠ กรอกไม่ครบ",IF(NOT(ISNUMBER(B468)),"⚠ วันที่ไม่ถูกต้อง",IF(COUNTIFS(Setup!$L$6:$L$60,D468,Setup!$M$6:$M$60,C468)=0,"⚠ หมวดไม่ตรงประเภท","✓"))))</f>
        <v/>
      </c>
    </row>
    <row r="469">
      <c r="B469" s="113" t="n"/>
      <c r="C469" s="114" t="n"/>
      <c r="D469" s="115" t="n"/>
      <c r="E469" s="116" t="n"/>
      <c r="F469" s="115" t="n"/>
      <c r="G469" s="117">
        <f>IF(COUNTA(B469:E469)=0,"",IF(COUNTA(B469:E469)&lt;4,"⚠ กรอกไม่ครบ",IF(NOT(ISNUMBER(B469)),"⚠ วันที่ไม่ถูกต้อง",IF(COUNTIFS(Setup!$L$6:$L$60,D469,Setup!$M$6:$M$60,C469)=0,"⚠ หมวดไม่ตรงประเภท","✓"))))</f>
        <v/>
      </c>
    </row>
    <row r="470">
      <c r="B470" s="113" t="n"/>
      <c r="C470" s="114" t="n"/>
      <c r="D470" s="115" t="n"/>
      <c r="E470" s="116" t="n"/>
      <c r="F470" s="115" t="n"/>
      <c r="G470" s="117">
        <f>IF(COUNTA(B470:E470)=0,"",IF(COUNTA(B470:E470)&lt;4,"⚠ กรอกไม่ครบ",IF(NOT(ISNUMBER(B470)),"⚠ วันที่ไม่ถูกต้อง",IF(COUNTIFS(Setup!$L$6:$L$60,D470,Setup!$M$6:$M$60,C470)=0,"⚠ หมวดไม่ตรงประเภท","✓"))))</f>
        <v/>
      </c>
    </row>
    <row r="471">
      <c r="B471" s="113" t="n"/>
      <c r="C471" s="114" t="n"/>
      <c r="D471" s="115" t="n"/>
      <c r="E471" s="116" t="n"/>
      <c r="F471" s="115" t="n"/>
      <c r="G471" s="117">
        <f>IF(COUNTA(B471:E471)=0,"",IF(COUNTA(B471:E471)&lt;4,"⚠ กรอกไม่ครบ",IF(NOT(ISNUMBER(B471)),"⚠ วันที่ไม่ถูกต้อง",IF(COUNTIFS(Setup!$L$6:$L$60,D471,Setup!$M$6:$M$60,C471)=0,"⚠ หมวดไม่ตรงประเภท","✓"))))</f>
        <v/>
      </c>
    </row>
    <row r="472">
      <c r="B472" s="113" t="n"/>
      <c r="C472" s="114" t="n"/>
      <c r="D472" s="115" t="n"/>
      <c r="E472" s="116" t="n"/>
      <c r="F472" s="115" t="n"/>
      <c r="G472" s="117">
        <f>IF(COUNTA(B472:E472)=0,"",IF(COUNTA(B472:E472)&lt;4,"⚠ กรอกไม่ครบ",IF(NOT(ISNUMBER(B472)),"⚠ วันที่ไม่ถูกต้อง",IF(COUNTIFS(Setup!$L$6:$L$60,D472,Setup!$M$6:$M$60,C472)=0,"⚠ หมวดไม่ตรงประเภท","✓"))))</f>
        <v/>
      </c>
    </row>
    <row r="473">
      <c r="B473" s="113" t="n"/>
      <c r="C473" s="114" t="n"/>
      <c r="D473" s="115" t="n"/>
      <c r="E473" s="116" t="n"/>
      <c r="F473" s="115" t="n"/>
      <c r="G473" s="117">
        <f>IF(COUNTA(B473:E473)=0,"",IF(COUNTA(B473:E473)&lt;4,"⚠ กรอกไม่ครบ",IF(NOT(ISNUMBER(B473)),"⚠ วันที่ไม่ถูกต้อง",IF(COUNTIFS(Setup!$L$6:$L$60,D473,Setup!$M$6:$M$60,C473)=0,"⚠ หมวดไม่ตรงประเภท","✓"))))</f>
        <v/>
      </c>
    </row>
    <row r="474">
      <c r="B474" s="113" t="n"/>
      <c r="C474" s="114" t="n"/>
      <c r="D474" s="115" t="n"/>
      <c r="E474" s="116" t="n"/>
      <c r="F474" s="115" t="n"/>
      <c r="G474" s="117">
        <f>IF(COUNTA(B474:E474)=0,"",IF(COUNTA(B474:E474)&lt;4,"⚠ กรอกไม่ครบ",IF(NOT(ISNUMBER(B474)),"⚠ วันที่ไม่ถูกต้อง",IF(COUNTIFS(Setup!$L$6:$L$60,D474,Setup!$M$6:$M$60,C474)=0,"⚠ หมวดไม่ตรงประเภท","✓"))))</f>
        <v/>
      </c>
    </row>
    <row r="475">
      <c r="B475" s="113" t="n"/>
      <c r="C475" s="114" t="n"/>
      <c r="D475" s="115" t="n"/>
      <c r="E475" s="116" t="n"/>
      <c r="F475" s="115" t="n"/>
      <c r="G475" s="117">
        <f>IF(COUNTA(B475:E475)=0,"",IF(COUNTA(B475:E475)&lt;4,"⚠ กรอกไม่ครบ",IF(NOT(ISNUMBER(B475)),"⚠ วันที่ไม่ถูกต้อง",IF(COUNTIFS(Setup!$L$6:$L$60,D475,Setup!$M$6:$M$60,C475)=0,"⚠ หมวดไม่ตรงประเภท","✓"))))</f>
        <v/>
      </c>
    </row>
    <row r="476">
      <c r="B476" s="113" t="n"/>
      <c r="C476" s="114" t="n"/>
      <c r="D476" s="115" t="n"/>
      <c r="E476" s="116" t="n"/>
      <c r="F476" s="115" t="n"/>
      <c r="G476" s="117">
        <f>IF(COUNTA(B476:E476)=0,"",IF(COUNTA(B476:E476)&lt;4,"⚠ กรอกไม่ครบ",IF(NOT(ISNUMBER(B476)),"⚠ วันที่ไม่ถูกต้อง",IF(COUNTIFS(Setup!$L$6:$L$60,D476,Setup!$M$6:$M$60,C476)=0,"⚠ หมวดไม่ตรงประเภท","✓"))))</f>
        <v/>
      </c>
    </row>
    <row r="477">
      <c r="B477" s="113" t="n"/>
      <c r="C477" s="114" t="n"/>
      <c r="D477" s="115" t="n"/>
      <c r="E477" s="116" t="n"/>
      <c r="F477" s="115" t="n"/>
      <c r="G477" s="117">
        <f>IF(COUNTA(B477:E477)=0,"",IF(COUNTA(B477:E477)&lt;4,"⚠ กรอกไม่ครบ",IF(NOT(ISNUMBER(B477)),"⚠ วันที่ไม่ถูกต้อง",IF(COUNTIFS(Setup!$L$6:$L$60,D477,Setup!$M$6:$M$60,C477)=0,"⚠ หมวดไม่ตรงประเภท","✓"))))</f>
        <v/>
      </c>
    </row>
    <row r="478">
      <c r="B478" s="113" t="n"/>
      <c r="C478" s="114" t="n"/>
      <c r="D478" s="115" t="n"/>
      <c r="E478" s="116" t="n"/>
      <c r="F478" s="115" t="n"/>
      <c r="G478" s="117">
        <f>IF(COUNTA(B478:E478)=0,"",IF(COUNTA(B478:E478)&lt;4,"⚠ กรอกไม่ครบ",IF(NOT(ISNUMBER(B478)),"⚠ วันที่ไม่ถูกต้อง",IF(COUNTIFS(Setup!$L$6:$L$60,D478,Setup!$M$6:$M$60,C478)=0,"⚠ หมวดไม่ตรงประเภท","✓"))))</f>
        <v/>
      </c>
    </row>
    <row r="479">
      <c r="B479" s="113" t="n"/>
      <c r="C479" s="114" t="n"/>
      <c r="D479" s="115" t="n"/>
      <c r="E479" s="116" t="n"/>
      <c r="F479" s="115" t="n"/>
      <c r="G479" s="117">
        <f>IF(COUNTA(B479:E479)=0,"",IF(COUNTA(B479:E479)&lt;4,"⚠ กรอกไม่ครบ",IF(NOT(ISNUMBER(B479)),"⚠ วันที่ไม่ถูกต้อง",IF(COUNTIFS(Setup!$L$6:$L$60,D479,Setup!$M$6:$M$60,C479)=0,"⚠ หมวดไม่ตรงประเภท","✓"))))</f>
        <v/>
      </c>
    </row>
    <row r="480">
      <c r="B480" s="113" t="n"/>
      <c r="C480" s="114" t="n"/>
      <c r="D480" s="115" t="n"/>
      <c r="E480" s="116" t="n"/>
      <c r="F480" s="115" t="n"/>
      <c r="G480" s="117">
        <f>IF(COUNTA(B480:E480)=0,"",IF(COUNTA(B480:E480)&lt;4,"⚠ กรอกไม่ครบ",IF(NOT(ISNUMBER(B480)),"⚠ วันที่ไม่ถูกต้อง",IF(COUNTIFS(Setup!$L$6:$L$60,D480,Setup!$M$6:$M$60,C480)=0,"⚠ หมวดไม่ตรงประเภท","✓"))))</f>
        <v/>
      </c>
    </row>
    <row r="481">
      <c r="B481" s="113" t="n"/>
      <c r="C481" s="114" t="n"/>
      <c r="D481" s="115" t="n"/>
      <c r="E481" s="116" t="n"/>
      <c r="F481" s="115" t="n"/>
      <c r="G481" s="117">
        <f>IF(COUNTA(B481:E481)=0,"",IF(COUNTA(B481:E481)&lt;4,"⚠ กรอกไม่ครบ",IF(NOT(ISNUMBER(B481)),"⚠ วันที่ไม่ถูกต้อง",IF(COUNTIFS(Setup!$L$6:$L$60,D481,Setup!$M$6:$M$60,C481)=0,"⚠ หมวดไม่ตรงประเภท","✓"))))</f>
        <v/>
      </c>
    </row>
    <row r="482">
      <c r="B482" s="113" t="n"/>
      <c r="C482" s="114" t="n"/>
      <c r="D482" s="115" t="n"/>
      <c r="E482" s="116" t="n"/>
      <c r="F482" s="115" t="n"/>
      <c r="G482" s="117">
        <f>IF(COUNTA(B482:E482)=0,"",IF(COUNTA(B482:E482)&lt;4,"⚠ กรอกไม่ครบ",IF(NOT(ISNUMBER(B482)),"⚠ วันที่ไม่ถูกต้อง",IF(COUNTIFS(Setup!$L$6:$L$60,D482,Setup!$M$6:$M$60,C482)=0,"⚠ หมวดไม่ตรงประเภท","✓"))))</f>
        <v/>
      </c>
    </row>
    <row r="483">
      <c r="B483" s="113" t="n"/>
      <c r="C483" s="114" t="n"/>
      <c r="D483" s="115" t="n"/>
      <c r="E483" s="116" t="n"/>
      <c r="F483" s="115" t="n"/>
      <c r="G483" s="117">
        <f>IF(COUNTA(B483:E483)=0,"",IF(COUNTA(B483:E483)&lt;4,"⚠ กรอกไม่ครบ",IF(NOT(ISNUMBER(B483)),"⚠ วันที่ไม่ถูกต้อง",IF(COUNTIFS(Setup!$L$6:$L$60,D483,Setup!$M$6:$M$60,C483)=0,"⚠ หมวดไม่ตรงประเภท","✓"))))</f>
        <v/>
      </c>
    </row>
    <row r="484">
      <c r="B484" s="113" t="n"/>
      <c r="C484" s="114" t="n"/>
      <c r="D484" s="115" t="n"/>
      <c r="E484" s="116" t="n"/>
      <c r="F484" s="115" t="n"/>
      <c r="G484" s="117">
        <f>IF(COUNTA(B484:E484)=0,"",IF(COUNTA(B484:E484)&lt;4,"⚠ กรอกไม่ครบ",IF(NOT(ISNUMBER(B484)),"⚠ วันที่ไม่ถูกต้อง",IF(COUNTIFS(Setup!$L$6:$L$60,D484,Setup!$M$6:$M$60,C484)=0,"⚠ หมวดไม่ตรงประเภท","✓"))))</f>
        <v/>
      </c>
    </row>
    <row r="485">
      <c r="B485" s="113" t="n"/>
      <c r="C485" s="114" t="n"/>
      <c r="D485" s="115" t="n"/>
      <c r="E485" s="116" t="n"/>
      <c r="F485" s="115" t="n"/>
      <c r="G485" s="117">
        <f>IF(COUNTA(B485:E485)=0,"",IF(COUNTA(B485:E485)&lt;4,"⚠ กรอกไม่ครบ",IF(NOT(ISNUMBER(B485)),"⚠ วันที่ไม่ถูกต้อง",IF(COUNTIFS(Setup!$L$6:$L$60,D485,Setup!$M$6:$M$60,C485)=0,"⚠ หมวดไม่ตรงประเภท","✓"))))</f>
        <v/>
      </c>
    </row>
    <row r="486">
      <c r="B486" s="113" t="n"/>
      <c r="C486" s="114" t="n"/>
      <c r="D486" s="115" t="n"/>
      <c r="E486" s="116" t="n"/>
      <c r="F486" s="115" t="n"/>
      <c r="G486" s="117">
        <f>IF(COUNTA(B486:E486)=0,"",IF(COUNTA(B486:E486)&lt;4,"⚠ กรอกไม่ครบ",IF(NOT(ISNUMBER(B486)),"⚠ วันที่ไม่ถูกต้อง",IF(COUNTIFS(Setup!$L$6:$L$60,D486,Setup!$M$6:$M$60,C486)=0,"⚠ หมวดไม่ตรงประเภท","✓"))))</f>
        <v/>
      </c>
    </row>
    <row r="487">
      <c r="B487" s="113" t="n"/>
      <c r="C487" s="114" t="n"/>
      <c r="D487" s="115" t="n"/>
      <c r="E487" s="116" t="n"/>
      <c r="F487" s="115" t="n"/>
      <c r="G487" s="117">
        <f>IF(COUNTA(B487:E487)=0,"",IF(COUNTA(B487:E487)&lt;4,"⚠ กรอกไม่ครบ",IF(NOT(ISNUMBER(B487)),"⚠ วันที่ไม่ถูกต้อง",IF(COUNTIFS(Setup!$L$6:$L$60,D487,Setup!$M$6:$M$60,C487)=0,"⚠ หมวดไม่ตรงประเภท","✓"))))</f>
        <v/>
      </c>
    </row>
    <row r="488">
      <c r="B488" s="113" t="n"/>
      <c r="C488" s="114" t="n"/>
      <c r="D488" s="115" t="n"/>
      <c r="E488" s="116" t="n"/>
      <c r="F488" s="115" t="n"/>
      <c r="G488" s="117">
        <f>IF(COUNTA(B488:E488)=0,"",IF(COUNTA(B488:E488)&lt;4,"⚠ กรอกไม่ครบ",IF(NOT(ISNUMBER(B488)),"⚠ วันที่ไม่ถูกต้อง",IF(COUNTIFS(Setup!$L$6:$L$60,D488,Setup!$M$6:$M$60,C488)=0,"⚠ หมวดไม่ตรงประเภท","✓"))))</f>
        <v/>
      </c>
    </row>
    <row r="489">
      <c r="B489" s="113" t="n"/>
      <c r="C489" s="114" t="n"/>
      <c r="D489" s="115" t="n"/>
      <c r="E489" s="116" t="n"/>
      <c r="F489" s="115" t="n"/>
      <c r="G489" s="117">
        <f>IF(COUNTA(B489:E489)=0,"",IF(COUNTA(B489:E489)&lt;4,"⚠ กรอกไม่ครบ",IF(NOT(ISNUMBER(B489)),"⚠ วันที่ไม่ถูกต้อง",IF(COUNTIFS(Setup!$L$6:$L$60,D489,Setup!$M$6:$M$60,C489)=0,"⚠ หมวดไม่ตรงประเภท","✓"))))</f>
        <v/>
      </c>
    </row>
    <row r="490">
      <c r="B490" s="113" t="n"/>
      <c r="C490" s="114" t="n"/>
      <c r="D490" s="115" t="n"/>
      <c r="E490" s="116" t="n"/>
      <c r="F490" s="115" t="n"/>
      <c r="G490" s="117">
        <f>IF(COUNTA(B490:E490)=0,"",IF(COUNTA(B490:E490)&lt;4,"⚠ กรอกไม่ครบ",IF(NOT(ISNUMBER(B490)),"⚠ วันที่ไม่ถูกต้อง",IF(COUNTIFS(Setup!$L$6:$L$60,D490,Setup!$M$6:$M$60,C490)=0,"⚠ หมวดไม่ตรงประเภท","✓"))))</f>
        <v/>
      </c>
    </row>
    <row r="491">
      <c r="B491" s="113" t="n"/>
      <c r="C491" s="114" t="n"/>
      <c r="D491" s="115" t="n"/>
      <c r="E491" s="116" t="n"/>
      <c r="F491" s="115" t="n"/>
      <c r="G491" s="117">
        <f>IF(COUNTA(B491:E491)=0,"",IF(COUNTA(B491:E491)&lt;4,"⚠ กรอกไม่ครบ",IF(NOT(ISNUMBER(B491)),"⚠ วันที่ไม่ถูกต้อง",IF(COUNTIFS(Setup!$L$6:$L$60,D491,Setup!$M$6:$M$60,C491)=0,"⚠ หมวดไม่ตรงประเภท","✓"))))</f>
        <v/>
      </c>
    </row>
    <row r="492">
      <c r="B492" s="113" t="n"/>
      <c r="C492" s="114" t="n"/>
      <c r="D492" s="115" t="n"/>
      <c r="E492" s="116" t="n"/>
      <c r="F492" s="115" t="n"/>
      <c r="G492" s="117">
        <f>IF(COUNTA(B492:E492)=0,"",IF(COUNTA(B492:E492)&lt;4,"⚠ กรอกไม่ครบ",IF(NOT(ISNUMBER(B492)),"⚠ วันที่ไม่ถูกต้อง",IF(COUNTIFS(Setup!$L$6:$L$60,D492,Setup!$M$6:$M$60,C492)=0,"⚠ หมวดไม่ตรงประเภท","✓"))))</f>
        <v/>
      </c>
    </row>
    <row r="493">
      <c r="B493" s="113" t="n"/>
      <c r="C493" s="114" t="n"/>
      <c r="D493" s="115" t="n"/>
      <c r="E493" s="116" t="n"/>
      <c r="F493" s="115" t="n"/>
      <c r="G493" s="117">
        <f>IF(COUNTA(B493:E493)=0,"",IF(COUNTA(B493:E493)&lt;4,"⚠ กรอกไม่ครบ",IF(NOT(ISNUMBER(B493)),"⚠ วันที่ไม่ถูกต้อง",IF(COUNTIFS(Setup!$L$6:$L$60,D493,Setup!$M$6:$M$60,C493)=0,"⚠ หมวดไม่ตรงประเภท","✓"))))</f>
        <v/>
      </c>
    </row>
    <row r="494">
      <c r="B494" s="113" t="n"/>
      <c r="C494" s="114" t="n"/>
      <c r="D494" s="115" t="n"/>
      <c r="E494" s="116" t="n"/>
      <c r="F494" s="115" t="n"/>
      <c r="G494" s="117">
        <f>IF(COUNTA(B494:E494)=0,"",IF(COUNTA(B494:E494)&lt;4,"⚠ กรอกไม่ครบ",IF(NOT(ISNUMBER(B494)),"⚠ วันที่ไม่ถูกต้อง",IF(COUNTIFS(Setup!$L$6:$L$60,D494,Setup!$M$6:$M$60,C494)=0,"⚠ หมวดไม่ตรงประเภท","✓"))))</f>
        <v/>
      </c>
    </row>
    <row r="495">
      <c r="B495" s="113" t="n"/>
      <c r="C495" s="114" t="n"/>
      <c r="D495" s="115" t="n"/>
      <c r="E495" s="116" t="n"/>
      <c r="F495" s="115" t="n"/>
      <c r="G495" s="117">
        <f>IF(COUNTA(B495:E495)=0,"",IF(COUNTA(B495:E495)&lt;4,"⚠ กรอกไม่ครบ",IF(NOT(ISNUMBER(B495)),"⚠ วันที่ไม่ถูกต้อง",IF(COUNTIFS(Setup!$L$6:$L$60,D495,Setup!$M$6:$M$60,C495)=0,"⚠ หมวดไม่ตรงประเภท","✓"))))</f>
        <v/>
      </c>
    </row>
    <row r="496">
      <c r="B496" s="113" t="n"/>
      <c r="C496" s="114" t="n"/>
      <c r="D496" s="115" t="n"/>
      <c r="E496" s="116" t="n"/>
      <c r="F496" s="115" t="n"/>
      <c r="G496" s="117">
        <f>IF(COUNTA(B496:E496)=0,"",IF(COUNTA(B496:E496)&lt;4,"⚠ กรอกไม่ครบ",IF(NOT(ISNUMBER(B496)),"⚠ วันที่ไม่ถูกต้อง",IF(COUNTIFS(Setup!$L$6:$L$60,D496,Setup!$M$6:$M$60,C496)=0,"⚠ หมวดไม่ตรงประเภท","✓"))))</f>
        <v/>
      </c>
    </row>
    <row r="497">
      <c r="B497" s="113" t="n"/>
      <c r="C497" s="114" t="n"/>
      <c r="D497" s="115" t="n"/>
      <c r="E497" s="116" t="n"/>
      <c r="F497" s="115" t="n"/>
      <c r="G497" s="117">
        <f>IF(COUNTA(B497:E497)=0,"",IF(COUNTA(B497:E497)&lt;4,"⚠ กรอกไม่ครบ",IF(NOT(ISNUMBER(B497)),"⚠ วันที่ไม่ถูกต้อง",IF(COUNTIFS(Setup!$L$6:$L$60,D497,Setup!$M$6:$M$60,C497)=0,"⚠ หมวดไม่ตรงประเภท","✓"))))</f>
        <v/>
      </c>
    </row>
    <row r="498">
      <c r="B498" s="113" t="n"/>
      <c r="C498" s="114" t="n"/>
      <c r="D498" s="115" t="n"/>
      <c r="E498" s="116" t="n"/>
      <c r="F498" s="115" t="n"/>
      <c r="G498" s="117">
        <f>IF(COUNTA(B498:E498)=0,"",IF(COUNTA(B498:E498)&lt;4,"⚠ กรอกไม่ครบ",IF(NOT(ISNUMBER(B498)),"⚠ วันที่ไม่ถูกต้อง",IF(COUNTIFS(Setup!$L$6:$L$60,D498,Setup!$M$6:$M$60,C498)=0,"⚠ หมวดไม่ตรงประเภท","✓"))))</f>
        <v/>
      </c>
    </row>
    <row r="499">
      <c r="B499" s="113" t="n"/>
      <c r="C499" s="114" t="n"/>
      <c r="D499" s="115" t="n"/>
      <c r="E499" s="116" t="n"/>
      <c r="F499" s="115" t="n"/>
      <c r="G499" s="117">
        <f>IF(COUNTA(B499:E499)=0,"",IF(COUNTA(B499:E499)&lt;4,"⚠ กรอกไม่ครบ",IF(NOT(ISNUMBER(B499)),"⚠ วันที่ไม่ถูกต้อง",IF(COUNTIFS(Setup!$L$6:$L$60,D499,Setup!$M$6:$M$60,C499)=0,"⚠ หมวดไม่ตรงประเภท","✓"))))</f>
        <v/>
      </c>
    </row>
    <row r="500">
      <c r="B500" s="113" t="n"/>
      <c r="C500" s="114" t="n"/>
      <c r="D500" s="115" t="n"/>
      <c r="E500" s="116" t="n"/>
      <c r="F500" s="115" t="n"/>
      <c r="G500" s="117">
        <f>IF(COUNTA(B500:E500)=0,"",IF(COUNTA(B500:E500)&lt;4,"⚠ กรอกไม่ครบ",IF(NOT(ISNUMBER(B500)),"⚠ วันที่ไม่ถูกต้อง",IF(COUNTIFS(Setup!$L$6:$L$60,D500,Setup!$M$6:$M$60,C500)=0,"⚠ หมวดไม่ตรงประเภท","✓"))))</f>
        <v/>
      </c>
    </row>
    <row r="501">
      <c r="B501" s="113" t="n"/>
      <c r="C501" s="114" t="n"/>
      <c r="D501" s="115" t="n"/>
      <c r="E501" s="116" t="n"/>
      <c r="F501" s="115" t="n"/>
      <c r="G501" s="117">
        <f>IF(COUNTA(B501:E501)=0,"",IF(COUNTA(B501:E501)&lt;4,"⚠ กรอกไม่ครบ",IF(NOT(ISNUMBER(B501)),"⚠ วันที่ไม่ถูกต้อง",IF(COUNTIFS(Setup!$L$6:$L$60,D501,Setup!$M$6:$M$60,C501)=0,"⚠ หมวดไม่ตรงประเภท","✓"))))</f>
        <v/>
      </c>
    </row>
    <row r="502">
      <c r="B502" s="113" t="n"/>
      <c r="C502" s="114" t="n"/>
      <c r="D502" s="115" t="n"/>
      <c r="E502" s="116" t="n"/>
      <c r="F502" s="115" t="n"/>
      <c r="G502" s="117">
        <f>IF(COUNTA(B502:E502)=0,"",IF(COUNTA(B502:E502)&lt;4,"⚠ กรอกไม่ครบ",IF(NOT(ISNUMBER(B502)),"⚠ วันที่ไม่ถูกต้อง",IF(COUNTIFS(Setup!$L$6:$L$60,D502,Setup!$M$6:$M$60,C502)=0,"⚠ หมวดไม่ตรงประเภท","✓"))))</f>
        <v/>
      </c>
    </row>
    <row r="503">
      <c r="B503" s="113" t="n"/>
      <c r="C503" s="114" t="n"/>
      <c r="D503" s="115" t="n"/>
      <c r="E503" s="116" t="n"/>
      <c r="F503" s="115" t="n"/>
      <c r="G503" s="117">
        <f>IF(COUNTA(B503:E503)=0,"",IF(COUNTA(B503:E503)&lt;4,"⚠ กรอกไม่ครบ",IF(NOT(ISNUMBER(B503)),"⚠ วันที่ไม่ถูกต้อง",IF(COUNTIFS(Setup!$L$6:$L$60,D503,Setup!$M$6:$M$60,C503)=0,"⚠ หมวดไม่ตรงประเภท","✓"))))</f>
        <v/>
      </c>
    </row>
    <row r="504">
      <c r="B504" s="113" t="n"/>
      <c r="C504" s="114" t="n"/>
      <c r="D504" s="115" t="n"/>
      <c r="E504" s="116" t="n"/>
      <c r="F504" s="115" t="n"/>
      <c r="G504" s="117">
        <f>IF(COUNTA(B504:E504)=0,"",IF(COUNTA(B504:E504)&lt;4,"⚠ กรอกไม่ครบ",IF(NOT(ISNUMBER(B504)),"⚠ วันที่ไม่ถูกต้อง",IF(COUNTIFS(Setup!$L$6:$L$60,D504,Setup!$M$6:$M$60,C504)=0,"⚠ หมวดไม่ตรงประเภท","✓"))))</f>
        <v/>
      </c>
    </row>
    <row r="505">
      <c r="B505" s="113" t="n"/>
      <c r="C505" s="114" t="n"/>
      <c r="D505" s="115" t="n"/>
      <c r="E505" s="116" t="n"/>
      <c r="F505" s="115" t="n"/>
      <c r="G505" s="117">
        <f>IF(COUNTA(B505:E505)=0,"",IF(COUNTA(B505:E505)&lt;4,"⚠ กรอกไม่ครบ",IF(NOT(ISNUMBER(B505)),"⚠ วันที่ไม่ถูกต้อง",IF(COUNTIFS(Setup!$L$6:$L$60,D505,Setup!$M$6:$M$60,C505)=0,"⚠ หมวดไม่ตรงประเภท","✓"))))</f>
        <v/>
      </c>
    </row>
    <row r="506">
      <c r="B506" s="113" t="n"/>
      <c r="C506" s="114" t="n"/>
      <c r="D506" s="115" t="n"/>
      <c r="E506" s="116" t="n"/>
      <c r="F506" s="115" t="n"/>
      <c r="G506" s="117">
        <f>IF(COUNTA(B506:E506)=0,"",IF(COUNTA(B506:E506)&lt;4,"⚠ กรอกไม่ครบ",IF(NOT(ISNUMBER(B506)),"⚠ วันที่ไม่ถูกต้อง",IF(COUNTIFS(Setup!$L$6:$L$60,D506,Setup!$M$6:$M$60,C506)=0,"⚠ หมวดไม่ตรงประเภท","✓"))))</f>
        <v/>
      </c>
    </row>
    <row r="507">
      <c r="B507" s="113" t="n"/>
      <c r="C507" s="114" t="n"/>
      <c r="D507" s="115" t="n"/>
      <c r="E507" s="116" t="n"/>
      <c r="F507" s="115" t="n"/>
      <c r="G507" s="117">
        <f>IF(COUNTA(B507:E507)=0,"",IF(COUNTA(B507:E507)&lt;4,"⚠ กรอกไม่ครบ",IF(NOT(ISNUMBER(B507)),"⚠ วันที่ไม่ถูกต้อง",IF(COUNTIFS(Setup!$L$6:$L$60,D507,Setup!$M$6:$M$60,C507)=0,"⚠ หมวดไม่ตรงประเภท","✓"))))</f>
        <v/>
      </c>
    </row>
    <row r="508">
      <c r="B508" s="113" t="n"/>
      <c r="C508" s="114" t="n"/>
      <c r="D508" s="115" t="n"/>
      <c r="E508" s="116" t="n"/>
      <c r="F508" s="115" t="n"/>
      <c r="G508" s="117">
        <f>IF(COUNTA(B508:E508)=0,"",IF(COUNTA(B508:E508)&lt;4,"⚠ กรอกไม่ครบ",IF(NOT(ISNUMBER(B508)),"⚠ วันที่ไม่ถูกต้อง",IF(COUNTIFS(Setup!$L$6:$L$60,D508,Setup!$M$6:$M$60,C508)=0,"⚠ หมวดไม่ตรงประเภท","✓"))))</f>
        <v/>
      </c>
    </row>
    <row r="509">
      <c r="B509" s="113" t="n"/>
      <c r="C509" s="114" t="n"/>
      <c r="D509" s="115" t="n"/>
      <c r="E509" s="116" t="n"/>
      <c r="F509" s="115" t="n"/>
      <c r="G509" s="117">
        <f>IF(COUNTA(B509:E509)=0,"",IF(COUNTA(B509:E509)&lt;4,"⚠ กรอกไม่ครบ",IF(NOT(ISNUMBER(B509)),"⚠ วันที่ไม่ถูกต้อง",IF(COUNTIFS(Setup!$L$6:$L$60,D509,Setup!$M$6:$M$60,C509)=0,"⚠ หมวดไม่ตรงประเภท","✓"))))</f>
        <v/>
      </c>
    </row>
    <row r="510">
      <c r="B510" s="113" t="n"/>
      <c r="C510" s="114" t="n"/>
      <c r="D510" s="115" t="n"/>
      <c r="E510" s="116" t="n"/>
      <c r="F510" s="115" t="n"/>
      <c r="G510" s="117">
        <f>IF(COUNTA(B510:E510)=0,"",IF(COUNTA(B510:E510)&lt;4,"⚠ กรอกไม่ครบ",IF(NOT(ISNUMBER(B510)),"⚠ วันที่ไม่ถูกต้อง",IF(COUNTIFS(Setup!$L$6:$L$60,D510,Setup!$M$6:$M$60,C510)=0,"⚠ หมวดไม่ตรงประเภท","✓"))))</f>
        <v/>
      </c>
    </row>
    <row r="511">
      <c r="B511" s="113" t="n"/>
      <c r="C511" s="114" t="n"/>
      <c r="D511" s="115" t="n"/>
      <c r="E511" s="116" t="n"/>
      <c r="F511" s="115" t="n"/>
      <c r="G511" s="117">
        <f>IF(COUNTA(B511:E511)=0,"",IF(COUNTA(B511:E511)&lt;4,"⚠ กรอกไม่ครบ",IF(NOT(ISNUMBER(B511)),"⚠ วันที่ไม่ถูกต้อง",IF(COUNTIFS(Setup!$L$6:$L$60,D511,Setup!$M$6:$M$60,C511)=0,"⚠ หมวดไม่ตรงประเภท","✓"))))</f>
        <v/>
      </c>
    </row>
    <row r="512">
      <c r="B512" s="113" t="n"/>
      <c r="C512" s="114" t="n"/>
      <c r="D512" s="115" t="n"/>
      <c r="E512" s="116" t="n"/>
      <c r="F512" s="115" t="n"/>
      <c r="G512" s="117">
        <f>IF(COUNTA(B512:E512)=0,"",IF(COUNTA(B512:E512)&lt;4,"⚠ กรอกไม่ครบ",IF(NOT(ISNUMBER(B512)),"⚠ วันที่ไม่ถูกต้อง",IF(COUNTIFS(Setup!$L$6:$L$60,D512,Setup!$M$6:$M$60,C512)=0,"⚠ หมวดไม่ตรงประเภท","✓"))))</f>
        <v/>
      </c>
    </row>
    <row r="513">
      <c r="B513" s="113" t="n"/>
      <c r="C513" s="114" t="n"/>
      <c r="D513" s="115" t="n"/>
      <c r="E513" s="116" t="n"/>
      <c r="F513" s="115" t="n"/>
      <c r="G513" s="117">
        <f>IF(COUNTA(B513:E513)=0,"",IF(COUNTA(B513:E513)&lt;4,"⚠ กรอกไม่ครบ",IF(NOT(ISNUMBER(B513)),"⚠ วันที่ไม่ถูกต้อง",IF(COUNTIFS(Setup!$L$6:$L$60,D513,Setup!$M$6:$M$60,C513)=0,"⚠ หมวดไม่ตรงประเภท","✓"))))</f>
        <v/>
      </c>
    </row>
    <row r="514">
      <c r="B514" s="113" t="n"/>
      <c r="C514" s="114" t="n"/>
      <c r="D514" s="115" t="n"/>
      <c r="E514" s="116" t="n"/>
      <c r="F514" s="115" t="n"/>
      <c r="G514" s="117">
        <f>IF(COUNTA(B514:E514)=0,"",IF(COUNTA(B514:E514)&lt;4,"⚠ กรอกไม่ครบ",IF(NOT(ISNUMBER(B514)),"⚠ วันที่ไม่ถูกต้อง",IF(COUNTIFS(Setup!$L$6:$L$60,D514,Setup!$M$6:$M$60,C514)=0,"⚠ หมวดไม่ตรงประเภท","✓"))))</f>
        <v/>
      </c>
    </row>
    <row r="515">
      <c r="B515" s="113" t="n"/>
      <c r="C515" s="114" t="n"/>
      <c r="D515" s="115" t="n"/>
      <c r="E515" s="116" t="n"/>
      <c r="F515" s="115" t="n"/>
      <c r="G515" s="117">
        <f>IF(COUNTA(B515:E515)=0,"",IF(COUNTA(B515:E515)&lt;4,"⚠ กรอกไม่ครบ",IF(NOT(ISNUMBER(B515)),"⚠ วันที่ไม่ถูกต้อง",IF(COUNTIFS(Setup!$L$6:$L$60,D515,Setup!$M$6:$M$60,C515)=0,"⚠ หมวดไม่ตรงประเภท","✓"))))</f>
        <v/>
      </c>
    </row>
    <row r="516">
      <c r="B516" s="113" t="n"/>
      <c r="C516" s="114" t="n"/>
      <c r="D516" s="115" t="n"/>
      <c r="E516" s="116" t="n"/>
      <c r="F516" s="115" t="n"/>
      <c r="G516" s="117">
        <f>IF(COUNTA(B516:E516)=0,"",IF(COUNTA(B516:E516)&lt;4,"⚠ กรอกไม่ครบ",IF(NOT(ISNUMBER(B516)),"⚠ วันที่ไม่ถูกต้อง",IF(COUNTIFS(Setup!$L$6:$L$60,D516,Setup!$M$6:$M$60,C516)=0,"⚠ หมวดไม่ตรงประเภท","✓"))))</f>
        <v/>
      </c>
    </row>
    <row r="517">
      <c r="B517" s="113" t="n"/>
      <c r="C517" s="114" t="n"/>
      <c r="D517" s="115" t="n"/>
      <c r="E517" s="116" t="n"/>
      <c r="F517" s="115" t="n"/>
      <c r="G517" s="117">
        <f>IF(COUNTA(B517:E517)=0,"",IF(COUNTA(B517:E517)&lt;4,"⚠ กรอกไม่ครบ",IF(NOT(ISNUMBER(B517)),"⚠ วันที่ไม่ถูกต้อง",IF(COUNTIFS(Setup!$L$6:$L$60,D517,Setup!$M$6:$M$60,C517)=0,"⚠ หมวดไม่ตรงประเภท","✓"))))</f>
        <v/>
      </c>
    </row>
    <row r="518">
      <c r="B518" s="113" t="n"/>
      <c r="C518" s="114" t="n"/>
      <c r="D518" s="115" t="n"/>
      <c r="E518" s="116" t="n"/>
      <c r="F518" s="115" t="n"/>
      <c r="G518" s="117">
        <f>IF(COUNTA(B518:E518)=0,"",IF(COUNTA(B518:E518)&lt;4,"⚠ กรอกไม่ครบ",IF(NOT(ISNUMBER(B518)),"⚠ วันที่ไม่ถูกต้อง",IF(COUNTIFS(Setup!$L$6:$L$60,D518,Setup!$M$6:$M$60,C518)=0,"⚠ หมวดไม่ตรงประเภท","✓"))))</f>
        <v/>
      </c>
    </row>
    <row r="519">
      <c r="B519" s="113" t="n"/>
      <c r="C519" s="114" t="n"/>
      <c r="D519" s="115" t="n"/>
      <c r="E519" s="116" t="n"/>
      <c r="F519" s="115" t="n"/>
      <c r="G519" s="117">
        <f>IF(COUNTA(B519:E519)=0,"",IF(COUNTA(B519:E519)&lt;4,"⚠ กรอกไม่ครบ",IF(NOT(ISNUMBER(B519)),"⚠ วันที่ไม่ถูกต้อง",IF(COUNTIFS(Setup!$L$6:$L$60,D519,Setup!$M$6:$M$60,C519)=0,"⚠ หมวดไม่ตรงประเภท","✓"))))</f>
        <v/>
      </c>
    </row>
    <row r="520">
      <c r="B520" s="113" t="n"/>
      <c r="C520" s="114" t="n"/>
      <c r="D520" s="115" t="n"/>
      <c r="E520" s="116" t="n"/>
      <c r="F520" s="115" t="n"/>
      <c r="G520" s="117">
        <f>IF(COUNTA(B520:E520)=0,"",IF(COUNTA(B520:E520)&lt;4,"⚠ กรอกไม่ครบ",IF(NOT(ISNUMBER(B520)),"⚠ วันที่ไม่ถูกต้อง",IF(COUNTIFS(Setup!$L$6:$L$60,D520,Setup!$M$6:$M$60,C520)=0,"⚠ หมวดไม่ตรงประเภท","✓"))))</f>
        <v/>
      </c>
    </row>
    <row r="521">
      <c r="B521" s="113" t="n"/>
      <c r="C521" s="114" t="n"/>
      <c r="D521" s="115" t="n"/>
      <c r="E521" s="116" t="n"/>
      <c r="F521" s="115" t="n"/>
      <c r="G521" s="117">
        <f>IF(COUNTA(B521:E521)=0,"",IF(COUNTA(B521:E521)&lt;4,"⚠ กรอกไม่ครบ",IF(NOT(ISNUMBER(B521)),"⚠ วันที่ไม่ถูกต้อง",IF(COUNTIFS(Setup!$L$6:$L$60,D521,Setup!$M$6:$M$60,C521)=0,"⚠ หมวดไม่ตรงประเภท","✓"))))</f>
        <v/>
      </c>
    </row>
    <row r="522">
      <c r="B522" s="113" t="n"/>
      <c r="C522" s="114" t="n"/>
      <c r="D522" s="115" t="n"/>
      <c r="E522" s="116" t="n"/>
      <c r="F522" s="115" t="n"/>
      <c r="G522" s="117">
        <f>IF(COUNTA(B522:E522)=0,"",IF(COUNTA(B522:E522)&lt;4,"⚠ กรอกไม่ครบ",IF(NOT(ISNUMBER(B522)),"⚠ วันที่ไม่ถูกต้อง",IF(COUNTIFS(Setup!$L$6:$L$60,D522,Setup!$M$6:$M$60,C522)=0,"⚠ หมวดไม่ตรงประเภท","✓"))))</f>
        <v/>
      </c>
    </row>
    <row r="523">
      <c r="B523" s="113" t="n"/>
      <c r="C523" s="114" t="n"/>
      <c r="D523" s="115" t="n"/>
      <c r="E523" s="116" t="n"/>
      <c r="F523" s="115" t="n"/>
      <c r="G523" s="117">
        <f>IF(COUNTA(B523:E523)=0,"",IF(COUNTA(B523:E523)&lt;4,"⚠ กรอกไม่ครบ",IF(NOT(ISNUMBER(B523)),"⚠ วันที่ไม่ถูกต้อง",IF(COUNTIFS(Setup!$L$6:$L$60,D523,Setup!$M$6:$M$60,C523)=0,"⚠ หมวดไม่ตรงประเภท","✓"))))</f>
        <v/>
      </c>
    </row>
    <row r="524">
      <c r="B524" s="113" t="n"/>
      <c r="C524" s="114" t="n"/>
      <c r="D524" s="115" t="n"/>
      <c r="E524" s="116" t="n"/>
      <c r="F524" s="115" t="n"/>
      <c r="G524" s="117">
        <f>IF(COUNTA(B524:E524)=0,"",IF(COUNTA(B524:E524)&lt;4,"⚠ กรอกไม่ครบ",IF(NOT(ISNUMBER(B524)),"⚠ วันที่ไม่ถูกต้อง",IF(COUNTIFS(Setup!$L$6:$L$60,D524,Setup!$M$6:$M$60,C524)=0,"⚠ หมวดไม่ตรงประเภท","✓"))))</f>
        <v/>
      </c>
    </row>
    <row r="525">
      <c r="B525" s="113" t="n"/>
      <c r="C525" s="114" t="n"/>
      <c r="D525" s="115" t="n"/>
      <c r="E525" s="116" t="n"/>
      <c r="F525" s="115" t="n"/>
      <c r="G525" s="117">
        <f>IF(COUNTA(B525:E525)=0,"",IF(COUNTA(B525:E525)&lt;4,"⚠ กรอกไม่ครบ",IF(NOT(ISNUMBER(B525)),"⚠ วันที่ไม่ถูกต้อง",IF(COUNTIFS(Setup!$L$6:$L$60,D525,Setup!$M$6:$M$60,C525)=0,"⚠ หมวดไม่ตรงประเภท","✓"))))</f>
        <v/>
      </c>
    </row>
    <row r="526">
      <c r="B526" s="113" t="n"/>
      <c r="C526" s="114" t="n"/>
      <c r="D526" s="115" t="n"/>
      <c r="E526" s="116" t="n"/>
      <c r="F526" s="115" t="n"/>
      <c r="G526" s="117">
        <f>IF(COUNTA(B526:E526)=0,"",IF(COUNTA(B526:E526)&lt;4,"⚠ กรอกไม่ครบ",IF(NOT(ISNUMBER(B526)),"⚠ วันที่ไม่ถูกต้อง",IF(COUNTIFS(Setup!$L$6:$L$60,D526,Setup!$M$6:$M$60,C526)=0,"⚠ หมวดไม่ตรงประเภท","✓"))))</f>
        <v/>
      </c>
    </row>
    <row r="527">
      <c r="B527" s="113" t="n"/>
      <c r="C527" s="114" t="n"/>
      <c r="D527" s="115" t="n"/>
      <c r="E527" s="116" t="n"/>
      <c r="F527" s="115" t="n"/>
      <c r="G527" s="117">
        <f>IF(COUNTA(B527:E527)=0,"",IF(COUNTA(B527:E527)&lt;4,"⚠ กรอกไม่ครบ",IF(NOT(ISNUMBER(B527)),"⚠ วันที่ไม่ถูกต้อง",IF(COUNTIFS(Setup!$L$6:$L$60,D527,Setup!$M$6:$M$60,C527)=0,"⚠ หมวดไม่ตรงประเภท","✓"))))</f>
        <v/>
      </c>
    </row>
    <row r="528">
      <c r="B528" s="113" t="n"/>
      <c r="C528" s="114" t="n"/>
      <c r="D528" s="115" t="n"/>
      <c r="E528" s="116" t="n"/>
      <c r="F528" s="115" t="n"/>
      <c r="G528" s="117">
        <f>IF(COUNTA(B528:E528)=0,"",IF(COUNTA(B528:E528)&lt;4,"⚠ กรอกไม่ครบ",IF(NOT(ISNUMBER(B528)),"⚠ วันที่ไม่ถูกต้อง",IF(COUNTIFS(Setup!$L$6:$L$60,D528,Setup!$M$6:$M$60,C528)=0,"⚠ หมวดไม่ตรงประเภท","✓"))))</f>
        <v/>
      </c>
    </row>
    <row r="529">
      <c r="B529" s="113" t="n"/>
      <c r="C529" s="114" t="n"/>
      <c r="D529" s="115" t="n"/>
      <c r="E529" s="116" t="n"/>
      <c r="F529" s="115" t="n"/>
      <c r="G529" s="117">
        <f>IF(COUNTA(B529:E529)=0,"",IF(COUNTA(B529:E529)&lt;4,"⚠ กรอกไม่ครบ",IF(NOT(ISNUMBER(B529)),"⚠ วันที่ไม่ถูกต้อง",IF(COUNTIFS(Setup!$L$6:$L$60,D529,Setup!$M$6:$M$60,C529)=0,"⚠ หมวดไม่ตรงประเภท","✓"))))</f>
        <v/>
      </c>
    </row>
    <row r="530">
      <c r="B530" s="113" t="n"/>
      <c r="C530" s="114" t="n"/>
      <c r="D530" s="115" t="n"/>
      <c r="E530" s="116" t="n"/>
      <c r="F530" s="115" t="n"/>
      <c r="G530" s="117">
        <f>IF(COUNTA(B530:E530)=0,"",IF(COUNTA(B530:E530)&lt;4,"⚠ กรอกไม่ครบ",IF(NOT(ISNUMBER(B530)),"⚠ วันที่ไม่ถูกต้อง",IF(COUNTIFS(Setup!$L$6:$L$60,D530,Setup!$M$6:$M$60,C530)=0,"⚠ หมวดไม่ตรงประเภท","✓"))))</f>
        <v/>
      </c>
    </row>
    <row r="531">
      <c r="B531" s="113" t="n"/>
      <c r="C531" s="114" t="n"/>
      <c r="D531" s="115" t="n"/>
      <c r="E531" s="116" t="n"/>
      <c r="F531" s="115" t="n"/>
      <c r="G531" s="117">
        <f>IF(COUNTA(B531:E531)=0,"",IF(COUNTA(B531:E531)&lt;4,"⚠ กรอกไม่ครบ",IF(NOT(ISNUMBER(B531)),"⚠ วันที่ไม่ถูกต้อง",IF(COUNTIFS(Setup!$L$6:$L$60,D531,Setup!$M$6:$M$60,C531)=0,"⚠ หมวดไม่ตรงประเภท","✓"))))</f>
        <v/>
      </c>
    </row>
    <row r="532">
      <c r="B532" s="113" t="n"/>
      <c r="C532" s="114" t="n"/>
      <c r="D532" s="115" t="n"/>
      <c r="E532" s="116" t="n"/>
      <c r="F532" s="115" t="n"/>
      <c r="G532" s="117">
        <f>IF(COUNTA(B532:E532)=0,"",IF(COUNTA(B532:E532)&lt;4,"⚠ กรอกไม่ครบ",IF(NOT(ISNUMBER(B532)),"⚠ วันที่ไม่ถูกต้อง",IF(COUNTIFS(Setup!$L$6:$L$60,D532,Setup!$M$6:$M$60,C532)=0,"⚠ หมวดไม่ตรงประเภท","✓"))))</f>
        <v/>
      </c>
    </row>
    <row r="533">
      <c r="B533" s="113" t="n"/>
      <c r="C533" s="114" t="n"/>
      <c r="D533" s="115" t="n"/>
      <c r="E533" s="116" t="n"/>
      <c r="F533" s="115" t="n"/>
      <c r="G533" s="117">
        <f>IF(COUNTA(B533:E533)=0,"",IF(COUNTA(B533:E533)&lt;4,"⚠ กรอกไม่ครบ",IF(NOT(ISNUMBER(B533)),"⚠ วันที่ไม่ถูกต้อง",IF(COUNTIFS(Setup!$L$6:$L$60,D533,Setup!$M$6:$M$60,C533)=0,"⚠ หมวดไม่ตรงประเภท","✓"))))</f>
        <v/>
      </c>
    </row>
    <row r="534">
      <c r="B534" s="113" t="n"/>
      <c r="C534" s="114" t="n"/>
      <c r="D534" s="115" t="n"/>
      <c r="E534" s="116" t="n"/>
      <c r="F534" s="115" t="n"/>
      <c r="G534" s="117">
        <f>IF(COUNTA(B534:E534)=0,"",IF(COUNTA(B534:E534)&lt;4,"⚠ กรอกไม่ครบ",IF(NOT(ISNUMBER(B534)),"⚠ วันที่ไม่ถูกต้อง",IF(COUNTIFS(Setup!$L$6:$L$60,D534,Setup!$M$6:$M$60,C534)=0,"⚠ หมวดไม่ตรงประเภท","✓"))))</f>
        <v/>
      </c>
    </row>
    <row r="535">
      <c r="B535" s="113" t="n"/>
      <c r="C535" s="114" t="n"/>
      <c r="D535" s="115" t="n"/>
      <c r="E535" s="116" t="n"/>
      <c r="F535" s="115" t="n"/>
      <c r="G535" s="117">
        <f>IF(COUNTA(B535:E535)=0,"",IF(COUNTA(B535:E535)&lt;4,"⚠ กรอกไม่ครบ",IF(NOT(ISNUMBER(B535)),"⚠ วันที่ไม่ถูกต้อง",IF(COUNTIFS(Setup!$L$6:$L$60,D535,Setup!$M$6:$M$60,C535)=0,"⚠ หมวดไม่ตรงประเภท","✓"))))</f>
        <v/>
      </c>
    </row>
    <row r="536">
      <c r="B536" s="113" t="n"/>
      <c r="C536" s="114" t="n"/>
      <c r="D536" s="115" t="n"/>
      <c r="E536" s="116" t="n"/>
      <c r="F536" s="115" t="n"/>
      <c r="G536" s="117">
        <f>IF(COUNTA(B536:E536)=0,"",IF(COUNTA(B536:E536)&lt;4,"⚠ กรอกไม่ครบ",IF(NOT(ISNUMBER(B536)),"⚠ วันที่ไม่ถูกต้อง",IF(COUNTIFS(Setup!$L$6:$L$60,D536,Setup!$M$6:$M$60,C536)=0,"⚠ หมวดไม่ตรงประเภท","✓"))))</f>
        <v/>
      </c>
    </row>
    <row r="537">
      <c r="B537" s="113" t="n"/>
      <c r="C537" s="114" t="n"/>
      <c r="D537" s="115" t="n"/>
      <c r="E537" s="116" t="n"/>
      <c r="F537" s="115" t="n"/>
      <c r="G537" s="117">
        <f>IF(COUNTA(B537:E537)=0,"",IF(COUNTA(B537:E537)&lt;4,"⚠ กรอกไม่ครบ",IF(NOT(ISNUMBER(B537)),"⚠ วันที่ไม่ถูกต้อง",IF(COUNTIFS(Setup!$L$6:$L$60,D537,Setup!$M$6:$M$60,C537)=0,"⚠ หมวดไม่ตรงประเภท","✓"))))</f>
        <v/>
      </c>
    </row>
    <row r="538">
      <c r="B538" s="113" t="n"/>
      <c r="C538" s="114" t="n"/>
      <c r="D538" s="115" t="n"/>
      <c r="E538" s="116" t="n"/>
      <c r="F538" s="115" t="n"/>
      <c r="G538" s="117">
        <f>IF(COUNTA(B538:E538)=0,"",IF(COUNTA(B538:E538)&lt;4,"⚠ กรอกไม่ครบ",IF(NOT(ISNUMBER(B538)),"⚠ วันที่ไม่ถูกต้อง",IF(COUNTIFS(Setup!$L$6:$L$60,D538,Setup!$M$6:$M$60,C538)=0,"⚠ หมวดไม่ตรงประเภท","✓"))))</f>
        <v/>
      </c>
    </row>
    <row r="539">
      <c r="B539" s="113" t="n"/>
      <c r="C539" s="114" t="n"/>
      <c r="D539" s="115" t="n"/>
      <c r="E539" s="116" t="n"/>
      <c r="F539" s="115" t="n"/>
      <c r="G539" s="117">
        <f>IF(COUNTA(B539:E539)=0,"",IF(COUNTA(B539:E539)&lt;4,"⚠ กรอกไม่ครบ",IF(NOT(ISNUMBER(B539)),"⚠ วันที่ไม่ถูกต้อง",IF(COUNTIFS(Setup!$L$6:$L$60,D539,Setup!$M$6:$M$60,C539)=0,"⚠ หมวดไม่ตรงประเภท","✓"))))</f>
        <v/>
      </c>
    </row>
    <row r="540">
      <c r="B540" s="113" t="n"/>
      <c r="C540" s="114" t="n"/>
      <c r="D540" s="115" t="n"/>
      <c r="E540" s="116" t="n"/>
      <c r="F540" s="115" t="n"/>
      <c r="G540" s="117">
        <f>IF(COUNTA(B540:E540)=0,"",IF(COUNTA(B540:E540)&lt;4,"⚠ กรอกไม่ครบ",IF(NOT(ISNUMBER(B540)),"⚠ วันที่ไม่ถูกต้อง",IF(COUNTIFS(Setup!$L$6:$L$60,D540,Setup!$M$6:$M$60,C540)=0,"⚠ หมวดไม่ตรงประเภท","✓"))))</f>
        <v/>
      </c>
    </row>
    <row r="541">
      <c r="B541" s="113" t="n"/>
      <c r="C541" s="114" t="n"/>
      <c r="D541" s="115" t="n"/>
      <c r="E541" s="116" t="n"/>
      <c r="F541" s="115" t="n"/>
      <c r="G541" s="117">
        <f>IF(COUNTA(B541:E541)=0,"",IF(COUNTA(B541:E541)&lt;4,"⚠ กรอกไม่ครบ",IF(NOT(ISNUMBER(B541)),"⚠ วันที่ไม่ถูกต้อง",IF(COUNTIFS(Setup!$L$6:$L$60,D541,Setup!$M$6:$M$60,C541)=0,"⚠ หมวดไม่ตรงประเภท","✓"))))</f>
        <v/>
      </c>
    </row>
    <row r="542">
      <c r="B542" s="113" t="n"/>
      <c r="C542" s="114" t="n"/>
      <c r="D542" s="115" t="n"/>
      <c r="E542" s="116" t="n"/>
      <c r="F542" s="115" t="n"/>
      <c r="G542" s="117">
        <f>IF(COUNTA(B542:E542)=0,"",IF(COUNTA(B542:E542)&lt;4,"⚠ กรอกไม่ครบ",IF(NOT(ISNUMBER(B542)),"⚠ วันที่ไม่ถูกต้อง",IF(COUNTIFS(Setup!$L$6:$L$60,D542,Setup!$M$6:$M$60,C542)=0,"⚠ หมวดไม่ตรงประเภท","✓"))))</f>
        <v/>
      </c>
    </row>
    <row r="543">
      <c r="B543" s="113" t="n"/>
      <c r="C543" s="114" t="n"/>
      <c r="D543" s="115" t="n"/>
      <c r="E543" s="116" t="n"/>
      <c r="F543" s="115" t="n"/>
      <c r="G543" s="117">
        <f>IF(COUNTA(B543:E543)=0,"",IF(COUNTA(B543:E543)&lt;4,"⚠ กรอกไม่ครบ",IF(NOT(ISNUMBER(B543)),"⚠ วันที่ไม่ถูกต้อง",IF(COUNTIFS(Setup!$L$6:$L$60,D543,Setup!$M$6:$M$60,C543)=0,"⚠ หมวดไม่ตรงประเภท","✓"))))</f>
        <v/>
      </c>
    </row>
    <row r="544">
      <c r="B544" s="113" t="n"/>
      <c r="C544" s="114" t="n"/>
      <c r="D544" s="115" t="n"/>
      <c r="E544" s="116" t="n"/>
      <c r="F544" s="115" t="n"/>
      <c r="G544" s="117">
        <f>IF(COUNTA(B544:E544)=0,"",IF(COUNTA(B544:E544)&lt;4,"⚠ กรอกไม่ครบ",IF(NOT(ISNUMBER(B544)),"⚠ วันที่ไม่ถูกต้อง",IF(COUNTIFS(Setup!$L$6:$L$60,D544,Setup!$M$6:$M$60,C544)=0,"⚠ หมวดไม่ตรงประเภท","✓"))))</f>
        <v/>
      </c>
    </row>
    <row r="545">
      <c r="B545" s="113" t="n"/>
      <c r="C545" s="114" t="n"/>
      <c r="D545" s="115" t="n"/>
      <c r="E545" s="116" t="n"/>
      <c r="F545" s="115" t="n"/>
      <c r="G545" s="117">
        <f>IF(COUNTA(B545:E545)=0,"",IF(COUNTA(B545:E545)&lt;4,"⚠ กรอกไม่ครบ",IF(NOT(ISNUMBER(B545)),"⚠ วันที่ไม่ถูกต้อง",IF(COUNTIFS(Setup!$L$6:$L$60,D545,Setup!$M$6:$M$60,C545)=0,"⚠ หมวดไม่ตรงประเภท","✓"))))</f>
        <v/>
      </c>
    </row>
    <row r="546">
      <c r="B546" s="113" t="n"/>
      <c r="C546" s="114" t="n"/>
      <c r="D546" s="115" t="n"/>
      <c r="E546" s="116" t="n"/>
      <c r="F546" s="115" t="n"/>
      <c r="G546" s="117">
        <f>IF(COUNTA(B546:E546)=0,"",IF(COUNTA(B546:E546)&lt;4,"⚠ กรอกไม่ครบ",IF(NOT(ISNUMBER(B546)),"⚠ วันที่ไม่ถูกต้อง",IF(COUNTIFS(Setup!$L$6:$L$60,D546,Setup!$M$6:$M$60,C546)=0,"⚠ หมวดไม่ตรงประเภท","✓"))))</f>
        <v/>
      </c>
    </row>
    <row r="547">
      <c r="B547" s="113" t="n"/>
      <c r="C547" s="114" t="n"/>
      <c r="D547" s="115" t="n"/>
      <c r="E547" s="116" t="n"/>
      <c r="F547" s="115" t="n"/>
      <c r="G547" s="117">
        <f>IF(COUNTA(B547:E547)=0,"",IF(COUNTA(B547:E547)&lt;4,"⚠ กรอกไม่ครบ",IF(NOT(ISNUMBER(B547)),"⚠ วันที่ไม่ถูกต้อง",IF(COUNTIFS(Setup!$L$6:$L$60,D547,Setup!$M$6:$M$60,C547)=0,"⚠ หมวดไม่ตรงประเภท","✓"))))</f>
        <v/>
      </c>
    </row>
    <row r="548">
      <c r="B548" s="113" t="n"/>
      <c r="C548" s="114" t="n"/>
      <c r="D548" s="115" t="n"/>
      <c r="E548" s="116" t="n"/>
      <c r="F548" s="115" t="n"/>
      <c r="G548" s="117">
        <f>IF(COUNTA(B548:E548)=0,"",IF(COUNTA(B548:E548)&lt;4,"⚠ กรอกไม่ครบ",IF(NOT(ISNUMBER(B548)),"⚠ วันที่ไม่ถูกต้อง",IF(COUNTIFS(Setup!$L$6:$L$60,D548,Setup!$M$6:$M$60,C548)=0,"⚠ หมวดไม่ตรงประเภท","✓"))))</f>
        <v/>
      </c>
    </row>
    <row r="549">
      <c r="B549" s="113" t="n"/>
      <c r="C549" s="114" t="n"/>
      <c r="D549" s="115" t="n"/>
      <c r="E549" s="116" t="n"/>
      <c r="F549" s="115" t="n"/>
      <c r="G549" s="117">
        <f>IF(COUNTA(B549:E549)=0,"",IF(COUNTA(B549:E549)&lt;4,"⚠ กรอกไม่ครบ",IF(NOT(ISNUMBER(B549)),"⚠ วันที่ไม่ถูกต้อง",IF(COUNTIFS(Setup!$L$6:$L$60,D549,Setup!$M$6:$M$60,C549)=0,"⚠ หมวดไม่ตรงประเภท","✓"))))</f>
        <v/>
      </c>
    </row>
    <row r="550">
      <c r="B550" s="113" t="n"/>
      <c r="C550" s="114" t="n"/>
      <c r="D550" s="115" t="n"/>
      <c r="E550" s="116" t="n"/>
      <c r="F550" s="115" t="n"/>
      <c r="G550" s="117">
        <f>IF(COUNTA(B550:E550)=0,"",IF(COUNTA(B550:E550)&lt;4,"⚠ กรอกไม่ครบ",IF(NOT(ISNUMBER(B550)),"⚠ วันที่ไม่ถูกต้อง",IF(COUNTIFS(Setup!$L$6:$L$60,D550,Setup!$M$6:$M$60,C550)=0,"⚠ หมวดไม่ตรงประเภท","✓"))))</f>
        <v/>
      </c>
    </row>
    <row r="551">
      <c r="B551" s="113" t="n"/>
      <c r="C551" s="114" t="n"/>
      <c r="D551" s="115" t="n"/>
      <c r="E551" s="116" t="n"/>
      <c r="F551" s="115" t="n"/>
      <c r="G551" s="117">
        <f>IF(COUNTA(B551:E551)=0,"",IF(COUNTA(B551:E551)&lt;4,"⚠ กรอกไม่ครบ",IF(NOT(ISNUMBER(B551)),"⚠ วันที่ไม่ถูกต้อง",IF(COUNTIFS(Setup!$L$6:$L$60,D551,Setup!$M$6:$M$60,C551)=0,"⚠ หมวดไม่ตรงประเภท","✓"))))</f>
        <v/>
      </c>
    </row>
    <row r="552">
      <c r="B552" s="113" t="n"/>
      <c r="C552" s="114" t="n"/>
      <c r="D552" s="115" t="n"/>
      <c r="E552" s="116" t="n"/>
      <c r="F552" s="115" t="n"/>
      <c r="G552" s="117">
        <f>IF(COUNTA(B552:E552)=0,"",IF(COUNTA(B552:E552)&lt;4,"⚠ กรอกไม่ครบ",IF(NOT(ISNUMBER(B552)),"⚠ วันที่ไม่ถูกต้อง",IF(COUNTIFS(Setup!$L$6:$L$60,D552,Setup!$M$6:$M$60,C552)=0,"⚠ หมวดไม่ตรงประเภท","✓"))))</f>
        <v/>
      </c>
    </row>
    <row r="553">
      <c r="B553" s="113" t="n"/>
      <c r="C553" s="114" t="n"/>
      <c r="D553" s="115" t="n"/>
      <c r="E553" s="116" t="n"/>
      <c r="F553" s="115" t="n"/>
      <c r="G553" s="117">
        <f>IF(COUNTA(B553:E553)=0,"",IF(COUNTA(B553:E553)&lt;4,"⚠ กรอกไม่ครบ",IF(NOT(ISNUMBER(B553)),"⚠ วันที่ไม่ถูกต้อง",IF(COUNTIFS(Setup!$L$6:$L$60,D553,Setup!$M$6:$M$60,C553)=0,"⚠ หมวดไม่ตรงประเภท","✓"))))</f>
        <v/>
      </c>
    </row>
    <row r="554">
      <c r="B554" s="113" t="n"/>
      <c r="C554" s="114" t="n"/>
      <c r="D554" s="115" t="n"/>
      <c r="E554" s="116" t="n"/>
      <c r="F554" s="115" t="n"/>
      <c r="G554" s="117">
        <f>IF(COUNTA(B554:E554)=0,"",IF(COUNTA(B554:E554)&lt;4,"⚠ กรอกไม่ครบ",IF(NOT(ISNUMBER(B554)),"⚠ วันที่ไม่ถูกต้อง",IF(COUNTIFS(Setup!$L$6:$L$60,D554,Setup!$M$6:$M$60,C554)=0,"⚠ หมวดไม่ตรงประเภท","✓"))))</f>
        <v/>
      </c>
    </row>
    <row r="555">
      <c r="B555" s="113" t="n"/>
      <c r="C555" s="114" t="n"/>
      <c r="D555" s="115" t="n"/>
      <c r="E555" s="116" t="n"/>
      <c r="F555" s="115" t="n"/>
      <c r="G555" s="117">
        <f>IF(COUNTA(B555:E555)=0,"",IF(COUNTA(B555:E555)&lt;4,"⚠ กรอกไม่ครบ",IF(NOT(ISNUMBER(B555)),"⚠ วันที่ไม่ถูกต้อง",IF(COUNTIFS(Setup!$L$6:$L$60,D555,Setup!$M$6:$M$60,C555)=0,"⚠ หมวดไม่ตรงประเภท","✓"))))</f>
        <v/>
      </c>
    </row>
    <row r="556">
      <c r="B556" s="113" t="n"/>
      <c r="C556" s="114" t="n"/>
      <c r="D556" s="115" t="n"/>
      <c r="E556" s="116" t="n"/>
      <c r="F556" s="115" t="n"/>
      <c r="G556" s="117">
        <f>IF(COUNTA(B556:E556)=0,"",IF(COUNTA(B556:E556)&lt;4,"⚠ กรอกไม่ครบ",IF(NOT(ISNUMBER(B556)),"⚠ วันที่ไม่ถูกต้อง",IF(COUNTIFS(Setup!$L$6:$L$60,D556,Setup!$M$6:$M$60,C556)=0,"⚠ หมวดไม่ตรงประเภท","✓"))))</f>
        <v/>
      </c>
    </row>
    <row r="557">
      <c r="B557" s="113" t="n"/>
      <c r="C557" s="114" t="n"/>
      <c r="D557" s="115" t="n"/>
      <c r="E557" s="116" t="n"/>
      <c r="F557" s="115" t="n"/>
      <c r="G557" s="117">
        <f>IF(COUNTA(B557:E557)=0,"",IF(COUNTA(B557:E557)&lt;4,"⚠ กรอกไม่ครบ",IF(NOT(ISNUMBER(B557)),"⚠ วันที่ไม่ถูกต้อง",IF(COUNTIFS(Setup!$L$6:$L$60,D557,Setup!$M$6:$M$60,C557)=0,"⚠ หมวดไม่ตรงประเภท","✓"))))</f>
        <v/>
      </c>
    </row>
    <row r="558">
      <c r="B558" s="113" t="n"/>
      <c r="C558" s="114" t="n"/>
      <c r="D558" s="115" t="n"/>
      <c r="E558" s="116" t="n"/>
      <c r="F558" s="115" t="n"/>
      <c r="G558" s="117">
        <f>IF(COUNTA(B558:E558)=0,"",IF(COUNTA(B558:E558)&lt;4,"⚠ กรอกไม่ครบ",IF(NOT(ISNUMBER(B558)),"⚠ วันที่ไม่ถูกต้อง",IF(COUNTIFS(Setup!$L$6:$L$60,D558,Setup!$M$6:$M$60,C558)=0,"⚠ หมวดไม่ตรงประเภท","✓"))))</f>
        <v/>
      </c>
    </row>
    <row r="559">
      <c r="B559" s="113" t="n"/>
      <c r="C559" s="114" t="n"/>
      <c r="D559" s="115" t="n"/>
      <c r="E559" s="116" t="n"/>
      <c r="F559" s="115" t="n"/>
      <c r="G559" s="117">
        <f>IF(COUNTA(B559:E559)=0,"",IF(COUNTA(B559:E559)&lt;4,"⚠ กรอกไม่ครบ",IF(NOT(ISNUMBER(B559)),"⚠ วันที่ไม่ถูกต้อง",IF(COUNTIFS(Setup!$L$6:$L$60,D559,Setup!$M$6:$M$60,C559)=0,"⚠ หมวดไม่ตรงประเภท","✓"))))</f>
        <v/>
      </c>
    </row>
    <row r="560">
      <c r="B560" s="113" t="n"/>
      <c r="C560" s="114" t="n"/>
      <c r="D560" s="115" t="n"/>
      <c r="E560" s="116" t="n"/>
      <c r="F560" s="115" t="n"/>
      <c r="G560" s="117">
        <f>IF(COUNTA(B560:E560)=0,"",IF(COUNTA(B560:E560)&lt;4,"⚠ กรอกไม่ครบ",IF(NOT(ISNUMBER(B560)),"⚠ วันที่ไม่ถูกต้อง",IF(COUNTIFS(Setup!$L$6:$L$60,D560,Setup!$M$6:$M$60,C560)=0,"⚠ หมวดไม่ตรงประเภท","✓"))))</f>
        <v/>
      </c>
    </row>
    <row r="561">
      <c r="B561" s="113" t="n"/>
      <c r="C561" s="114" t="n"/>
      <c r="D561" s="115" t="n"/>
      <c r="E561" s="116" t="n"/>
      <c r="F561" s="115" t="n"/>
      <c r="G561" s="117">
        <f>IF(COUNTA(B561:E561)=0,"",IF(COUNTA(B561:E561)&lt;4,"⚠ กรอกไม่ครบ",IF(NOT(ISNUMBER(B561)),"⚠ วันที่ไม่ถูกต้อง",IF(COUNTIFS(Setup!$L$6:$L$60,D561,Setup!$M$6:$M$60,C561)=0,"⚠ หมวดไม่ตรงประเภท","✓"))))</f>
        <v/>
      </c>
    </row>
    <row r="562">
      <c r="B562" s="113" t="n"/>
      <c r="C562" s="114" t="n"/>
      <c r="D562" s="115" t="n"/>
      <c r="E562" s="116" t="n"/>
      <c r="F562" s="115" t="n"/>
      <c r="G562" s="117">
        <f>IF(COUNTA(B562:E562)=0,"",IF(COUNTA(B562:E562)&lt;4,"⚠ กรอกไม่ครบ",IF(NOT(ISNUMBER(B562)),"⚠ วันที่ไม่ถูกต้อง",IF(COUNTIFS(Setup!$L$6:$L$60,D562,Setup!$M$6:$M$60,C562)=0,"⚠ หมวดไม่ตรงประเภท","✓"))))</f>
        <v/>
      </c>
    </row>
    <row r="563">
      <c r="B563" s="113" t="n"/>
      <c r="C563" s="114" t="n"/>
      <c r="D563" s="115" t="n"/>
      <c r="E563" s="116" t="n"/>
      <c r="F563" s="115" t="n"/>
      <c r="G563" s="117">
        <f>IF(COUNTA(B563:E563)=0,"",IF(COUNTA(B563:E563)&lt;4,"⚠ กรอกไม่ครบ",IF(NOT(ISNUMBER(B563)),"⚠ วันที่ไม่ถูกต้อง",IF(COUNTIFS(Setup!$L$6:$L$60,D563,Setup!$M$6:$M$60,C563)=0,"⚠ หมวดไม่ตรงประเภท","✓"))))</f>
        <v/>
      </c>
    </row>
    <row r="564">
      <c r="B564" s="113" t="n"/>
      <c r="C564" s="114" t="n"/>
      <c r="D564" s="115" t="n"/>
      <c r="E564" s="116" t="n"/>
      <c r="F564" s="115" t="n"/>
      <c r="G564" s="117">
        <f>IF(COUNTA(B564:E564)=0,"",IF(COUNTA(B564:E564)&lt;4,"⚠ กรอกไม่ครบ",IF(NOT(ISNUMBER(B564)),"⚠ วันที่ไม่ถูกต้อง",IF(COUNTIFS(Setup!$L$6:$L$60,D564,Setup!$M$6:$M$60,C564)=0,"⚠ หมวดไม่ตรงประเภท","✓"))))</f>
        <v/>
      </c>
    </row>
    <row r="565">
      <c r="B565" s="113" t="n"/>
      <c r="C565" s="114" t="n"/>
      <c r="D565" s="115" t="n"/>
      <c r="E565" s="116" t="n"/>
      <c r="F565" s="115" t="n"/>
      <c r="G565" s="117">
        <f>IF(COUNTA(B565:E565)=0,"",IF(COUNTA(B565:E565)&lt;4,"⚠ กรอกไม่ครบ",IF(NOT(ISNUMBER(B565)),"⚠ วันที่ไม่ถูกต้อง",IF(COUNTIFS(Setup!$L$6:$L$60,D565,Setup!$M$6:$M$60,C565)=0,"⚠ หมวดไม่ตรงประเภท","✓"))))</f>
        <v/>
      </c>
    </row>
    <row r="566">
      <c r="B566" s="113" t="n"/>
      <c r="C566" s="114" t="n"/>
      <c r="D566" s="115" t="n"/>
      <c r="E566" s="116" t="n"/>
      <c r="F566" s="115" t="n"/>
      <c r="G566" s="117">
        <f>IF(COUNTA(B566:E566)=0,"",IF(COUNTA(B566:E566)&lt;4,"⚠ กรอกไม่ครบ",IF(NOT(ISNUMBER(B566)),"⚠ วันที่ไม่ถูกต้อง",IF(COUNTIFS(Setup!$L$6:$L$60,D566,Setup!$M$6:$M$60,C566)=0,"⚠ หมวดไม่ตรงประเภท","✓"))))</f>
        <v/>
      </c>
    </row>
    <row r="567">
      <c r="B567" s="113" t="n"/>
      <c r="C567" s="114" t="n"/>
      <c r="D567" s="115" t="n"/>
      <c r="E567" s="116" t="n"/>
      <c r="F567" s="115" t="n"/>
      <c r="G567" s="117">
        <f>IF(COUNTA(B567:E567)=0,"",IF(COUNTA(B567:E567)&lt;4,"⚠ กรอกไม่ครบ",IF(NOT(ISNUMBER(B567)),"⚠ วันที่ไม่ถูกต้อง",IF(COUNTIFS(Setup!$L$6:$L$60,D567,Setup!$M$6:$M$60,C567)=0,"⚠ หมวดไม่ตรงประเภท","✓"))))</f>
        <v/>
      </c>
    </row>
    <row r="568">
      <c r="B568" s="113" t="n"/>
      <c r="C568" s="114" t="n"/>
      <c r="D568" s="115" t="n"/>
      <c r="E568" s="116" t="n"/>
      <c r="F568" s="115" t="n"/>
      <c r="G568" s="117">
        <f>IF(COUNTA(B568:E568)=0,"",IF(COUNTA(B568:E568)&lt;4,"⚠ กรอกไม่ครบ",IF(NOT(ISNUMBER(B568)),"⚠ วันที่ไม่ถูกต้อง",IF(COUNTIFS(Setup!$L$6:$L$60,D568,Setup!$M$6:$M$60,C568)=0,"⚠ หมวดไม่ตรงประเภท","✓"))))</f>
        <v/>
      </c>
    </row>
    <row r="569">
      <c r="B569" s="113" t="n"/>
      <c r="C569" s="114" t="n"/>
      <c r="D569" s="115" t="n"/>
      <c r="E569" s="116" t="n"/>
      <c r="F569" s="115" t="n"/>
      <c r="G569" s="117">
        <f>IF(COUNTA(B569:E569)=0,"",IF(COUNTA(B569:E569)&lt;4,"⚠ กรอกไม่ครบ",IF(NOT(ISNUMBER(B569)),"⚠ วันที่ไม่ถูกต้อง",IF(COUNTIFS(Setup!$L$6:$L$60,D569,Setup!$M$6:$M$60,C569)=0,"⚠ หมวดไม่ตรงประเภท","✓"))))</f>
        <v/>
      </c>
    </row>
    <row r="570">
      <c r="B570" s="113" t="n"/>
      <c r="C570" s="114" t="n"/>
      <c r="D570" s="115" t="n"/>
      <c r="E570" s="116" t="n"/>
      <c r="F570" s="115" t="n"/>
      <c r="G570" s="117">
        <f>IF(COUNTA(B570:E570)=0,"",IF(COUNTA(B570:E570)&lt;4,"⚠ กรอกไม่ครบ",IF(NOT(ISNUMBER(B570)),"⚠ วันที่ไม่ถูกต้อง",IF(COUNTIFS(Setup!$L$6:$L$60,D570,Setup!$M$6:$M$60,C570)=0,"⚠ หมวดไม่ตรงประเภท","✓"))))</f>
        <v/>
      </c>
    </row>
    <row r="571">
      <c r="B571" s="113" t="n"/>
      <c r="C571" s="114" t="n"/>
      <c r="D571" s="115" t="n"/>
      <c r="E571" s="116" t="n"/>
      <c r="F571" s="115" t="n"/>
      <c r="G571" s="117">
        <f>IF(COUNTA(B571:E571)=0,"",IF(COUNTA(B571:E571)&lt;4,"⚠ กรอกไม่ครบ",IF(NOT(ISNUMBER(B571)),"⚠ วันที่ไม่ถูกต้อง",IF(COUNTIFS(Setup!$L$6:$L$60,D571,Setup!$M$6:$M$60,C571)=0,"⚠ หมวดไม่ตรงประเภท","✓"))))</f>
        <v/>
      </c>
    </row>
    <row r="572">
      <c r="B572" s="113" t="n"/>
      <c r="C572" s="114" t="n"/>
      <c r="D572" s="115" t="n"/>
      <c r="E572" s="116" t="n"/>
      <c r="F572" s="115" t="n"/>
      <c r="G572" s="117">
        <f>IF(COUNTA(B572:E572)=0,"",IF(COUNTA(B572:E572)&lt;4,"⚠ กรอกไม่ครบ",IF(NOT(ISNUMBER(B572)),"⚠ วันที่ไม่ถูกต้อง",IF(COUNTIFS(Setup!$L$6:$L$60,D572,Setup!$M$6:$M$60,C572)=0,"⚠ หมวดไม่ตรงประเภท","✓"))))</f>
        <v/>
      </c>
    </row>
    <row r="573">
      <c r="B573" s="113" t="n"/>
      <c r="C573" s="114" t="n"/>
      <c r="D573" s="115" t="n"/>
      <c r="E573" s="116" t="n"/>
      <c r="F573" s="115" t="n"/>
      <c r="G573" s="117">
        <f>IF(COUNTA(B573:E573)=0,"",IF(COUNTA(B573:E573)&lt;4,"⚠ กรอกไม่ครบ",IF(NOT(ISNUMBER(B573)),"⚠ วันที่ไม่ถูกต้อง",IF(COUNTIFS(Setup!$L$6:$L$60,D573,Setup!$M$6:$M$60,C573)=0,"⚠ หมวดไม่ตรงประเภท","✓"))))</f>
        <v/>
      </c>
    </row>
    <row r="574">
      <c r="B574" s="113" t="n"/>
      <c r="C574" s="114" t="n"/>
      <c r="D574" s="115" t="n"/>
      <c r="E574" s="116" t="n"/>
      <c r="F574" s="115" t="n"/>
      <c r="G574" s="117">
        <f>IF(COUNTA(B574:E574)=0,"",IF(COUNTA(B574:E574)&lt;4,"⚠ กรอกไม่ครบ",IF(NOT(ISNUMBER(B574)),"⚠ วันที่ไม่ถูกต้อง",IF(COUNTIFS(Setup!$L$6:$L$60,D574,Setup!$M$6:$M$60,C574)=0,"⚠ หมวดไม่ตรงประเภท","✓"))))</f>
        <v/>
      </c>
    </row>
    <row r="575">
      <c r="B575" s="113" t="n"/>
      <c r="C575" s="114" t="n"/>
      <c r="D575" s="115" t="n"/>
      <c r="E575" s="116" t="n"/>
      <c r="F575" s="115" t="n"/>
      <c r="G575" s="117">
        <f>IF(COUNTA(B575:E575)=0,"",IF(COUNTA(B575:E575)&lt;4,"⚠ กรอกไม่ครบ",IF(NOT(ISNUMBER(B575)),"⚠ วันที่ไม่ถูกต้อง",IF(COUNTIFS(Setup!$L$6:$L$60,D575,Setup!$M$6:$M$60,C575)=0,"⚠ หมวดไม่ตรงประเภท","✓"))))</f>
        <v/>
      </c>
    </row>
    <row r="576">
      <c r="B576" s="113" t="n"/>
      <c r="C576" s="114" t="n"/>
      <c r="D576" s="115" t="n"/>
      <c r="E576" s="116" t="n"/>
      <c r="F576" s="115" t="n"/>
      <c r="G576" s="117">
        <f>IF(COUNTA(B576:E576)=0,"",IF(COUNTA(B576:E576)&lt;4,"⚠ กรอกไม่ครบ",IF(NOT(ISNUMBER(B576)),"⚠ วันที่ไม่ถูกต้อง",IF(COUNTIFS(Setup!$L$6:$L$60,D576,Setup!$M$6:$M$60,C576)=0,"⚠ หมวดไม่ตรงประเภท","✓"))))</f>
        <v/>
      </c>
    </row>
    <row r="577">
      <c r="B577" s="113" t="n"/>
      <c r="C577" s="114" t="n"/>
      <c r="D577" s="115" t="n"/>
      <c r="E577" s="116" t="n"/>
      <c r="F577" s="115" t="n"/>
      <c r="G577" s="117">
        <f>IF(COUNTA(B577:E577)=0,"",IF(COUNTA(B577:E577)&lt;4,"⚠ กรอกไม่ครบ",IF(NOT(ISNUMBER(B577)),"⚠ วันที่ไม่ถูกต้อง",IF(COUNTIFS(Setup!$L$6:$L$60,D577,Setup!$M$6:$M$60,C577)=0,"⚠ หมวดไม่ตรงประเภท","✓"))))</f>
        <v/>
      </c>
    </row>
    <row r="578">
      <c r="B578" s="113" t="n"/>
      <c r="C578" s="114" t="n"/>
      <c r="D578" s="115" t="n"/>
      <c r="E578" s="116" t="n"/>
      <c r="F578" s="115" t="n"/>
      <c r="G578" s="117">
        <f>IF(COUNTA(B578:E578)=0,"",IF(COUNTA(B578:E578)&lt;4,"⚠ กรอกไม่ครบ",IF(NOT(ISNUMBER(B578)),"⚠ วันที่ไม่ถูกต้อง",IF(COUNTIFS(Setup!$L$6:$L$60,D578,Setup!$M$6:$M$60,C578)=0,"⚠ หมวดไม่ตรงประเภท","✓"))))</f>
        <v/>
      </c>
    </row>
    <row r="579">
      <c r="B579" s="113" t="n"/>
      <c r="C579" s="114" t="n"/>
      <c r="D579" s="115" t="n"/>
      <c r="E579" s="116" t="n"/>
      <c r="F579" s="115" t="n"/>
      <c r="G579" s="117">
        <f>IF(COUNTA(B579:E579)=0,"",IF(COUNTA(B579:E579)&lt;4,"⚠ กรอกไม่ครบ",IF(NOT(ISNUMBER(B579)),"⚠ วันที่ไม่ถูกต้อง",IF(COUNTIFS(Setup!$L$6:$L$60,D579,Setup!$M$6:$M$60,C579)=0,"⚠ หมวดไม่ตรงประเภท","✓"))))</f>
        <v/>
      </c>
    </row>
    <row r="580">
      <c r="B580" s="113" t="n"/>
      <c r="C580" s="114" t="n"/>
      <c r="D580" s="115" t="n"/>
      <c r="E580" s="116" t="n"/>
      <c r="F580" s="115" t="n"/>
      <c r="G580" s="117">
        <f>IF(COUNTA(B580:E580)=0,"",IF(COUNTA(B580:E580)&lt;4,"⚠ กรอกไม่ครบ",IF(NOT(ISNUMBER(B580)),"⚠ วันที่ไม่ถูกต้อง",IF(COUNTIFS(Setup!$L$6:$L$60,D580,Setup!$M$6:$M$60,C580)=0,"⚠ หมวดไม่ตรงประเภท","✓"))))</f>
        <v/>
      </c>
    </row>
    <row r="581">
      <c r="B581" s="113" t="n"/>
      <c r="C581" s="114" t="n"/>
      <c r="D581" s="115" t="n"/>
      <c r="E581" s="116" t="n"/>
      <c r="F581" s="115" t="n"/>
      <c r="G581" s="117">
        <f>IF(COUNTA(B581:E581)=0,"",IF(COUNTA(B581:E581)&lt;4,"⚠ กรอกไม่ครบ",IF(NOT(ISNUMBER(B581)),"⚠ วันที่ไม่ถูกต้อง",IF(COUNTIFS(Setup!$L$6:$L$60,D581,Setup!$M$6:$M$60,C581)=0,"⚠ หมวดไม่ตรงประเภท","✓"))))</f>
        <v/>
      </c>
    </row>
    <row r="582">
      <c r="B582" s="113" t="n"/>
      <c r="C582" s="114" t="n"/>
      <c r="D582" s="115" t="n"/>
      <c r="E582" s="116" t="n"/>
      <c r="F582" s="115" t="n"/>
      <c r="G582" s="117">
        <f>IF(COUNTA(B582:E582)=0,"",IF(COUNTA(B582:E582)&lt;4,"⚠ กรอกไม่ครบ",IF(NOT(ISNUMBER(B582)),"⚠ วันที่ไม่ถูกต้อง",IF(COUNTIFS(Setup!$L$6:$L$60,D582,Setup!$M$6:$M$60,C582)=0,"⚠ หมวดไม่ตรงประเภท","✓"))))</f>
        <v/>
      </c>
    </row>
    <row r="583">
      <c r="B583" s="113" t="n"/>
      <c r="C583" s="114" t="n"/>
      <c r="D583" s="115" t="n"/>
      <c r="E583" s="116" t="n"/>
      <c r="F583" s="115" t="n"/>
      <c r="G583" s="117">
        <f>IF(COUNTA(B583:E583)=0,"",IF(COUNTA(B583:E583)&lt;4,"⚠ กรอกไม่ครบ",IF(NOT(ISNUMBER(B583)),"⚠ วันที่ไม่ถูกต้อง",IF(COUNTIFS(Setup!$L$6:$L$60,D583,Setup!$M$6:$M$60,C583)=0,"⚠ หมวดไม่ตรงประเภท","✓"))))</f>
        <v/>
      </c>
    </row>
    <row r="584">
      <c r="B584" s="113" t="n"/>
      <c r="C584" s="114" t="n"/>
      <c r="D584" s="115" t="n"/>
      <c r="E584" s="116" t="n"/>
      <c r="F584" s="115" t="n"/>
      <c r="G584" s="117">
        <f>IF(COUNTA(B584:E584)=0,"",IF(COUNTA(B584:E584)&lt;4,"⚠ กรอกไม่ครบ",IF(NOT(ISNUMBER(B584)),"⚠ วันที่ไม่ถูกต้อง",IF(COUNTIFS(Setup!$L$6:$L$60,D584,Setup!$M$6:$M$60,C584)=0,"⚠ หมวดไม่ตรงประเภท","✓"))))</f>
        <v/>
      </c>
    </row>
    <row r="585">
      <c r="B585" s="113" t="n"/>
      <c r="C585" s="114" t="n"/>
      <c r="D585" s="115" t="n"/>
      <c r="E585" s="116" t="n"/>
      <c r="F585" s="115" t="n"/>
      <c r="G585" s="117">
        <f>IF(COUNTA(B585:E585)=0,"",IF(COUNTA(B585:E585)&lt;4,"⚠ กรอกไม่ครบ",IF(NOT(ISNUMBER(B585)),"⚠ วันที่ไม่ถูกต้อง",IF(COUNTIFS(Setup!$L$6:$L$60,D585,Setup!$M$6:$M$60,C585)=0,"⚠ หมวดไม่ตรงประเภท","✓"))))</f>
        <v/>
      </c>
    </row>
    <row r="586">
      <c r="B586" s="113" t="n"/>
      <c r="C586" s="114" t="n"/>
      <c r="D586" s="115" t="n"/>
      <c r="E586" s="116" t="n"/>
      <c r="F586" s="115" t="n"/>
      <c r="G586" s="117">
        <f>IF(COUNTA(B586:E586)=0,"",IF(COUNTA(B586:E586)&lt;4,"⚠ กรอกไม่ครบ",IF(NOT(ISNUMBER(B586)),"⚠ วันที่ไม่ถูกต้อง",IF(COUNTIFS(Setup!$L$6:$L$60,D586,Setup!$M$6:$M$60,C586)=0,"⚠ หมวดไม่ตรงประเภท","✓"))))</f>
        <v/>
      </c>
    </row>
    <row r="587">
      <c r="B587" s="113" t="n"/>
      <c r="C587" s="114" t="n"/>
      <c r="D587" s="115" t="n"/>
      <c r="E587" s="116" t="n"/>
      <c r="F587" s="115" t="n"/>
      <c r="G587" s="117">
        <f>IF(COUNTA(B587:E587)=0,"",IF(COUNTA(B587:E587)&lt;4,"⚠ กรอกไม่ครบ",IF(NOT(ISNUMBER(B587)),"⚠ วันที่ไม่ถูกต้อง",IF(COUNTIFS(Setup!$L$6:$L$60,D587,Setup!$M$6:$M$60,C587)=0,"⚠ หมวดไม่ตรงประเภท","✓"))))</f>
        <v/>
      </c>
    </row>
    <row r="588">
      <c r="B588" s="113" t="n"/>
      <c r="C588" s="114" t="n"/>
      <c r="D588" s="115" t="n"/>
      <c r="E588" s="116" t="n"/>
      <c r="F588" s="115" t="n"/>
      <c r="G588" s="117">
        <f>IF(COUNTA(B588:E588)=0,"",IF(COUNTA(B588:E588)&lt;4,"⚠ กรอกไม่ครบ",IF(NOT(ISNUMBER(B588)),"⚠ วันที่ไม่ถูกต้อง",IF(COUNTIFS(Setup!$L$6:$L$60,D588,Setup!$M$6:$M$60,C588)=0,"⚠ หมวดไม่ตรงประเภท","✓"))))</f>
        <v/>
      </c>
    </row>
    <row r="589">
      <c r="B589" s="113" t="n"/>
      <c r="C589" s="114" t="n"/>
      <c r="D589" s="115" t="n"/>
      <c r="E589" s="116" t="n"/>
      <c r="F589" s="115" t="n"/>
      <c r="G589" s="117">
        <f>IF(COUNTA(B589:E589)=0,"",IF(COUNTA(B589:E589)&lt;4,"⚠ กรอกไม่ครบ",IF(NOT(ISNUMBER(B589)),"⚠ วันที่ไม่ถูกต้อง",IF(COUNTIFS(Setup!$L$6:$L$60,D589,Setup!$M$6:$M$60,C589)=0,"⚠ หมวดไม่ตรงประเภท","✓"))))</f>
        <v/>
      </c>
    </row>
    <row r="590">
      <c r="B590" s="113" t="n"/>
      <c r="C590" s="114" t="n"/>
      <c r="D590" s="115" t="n"/>
      <c r="E590" s="116" t="n"/>
      <c r="F590" s="115" t="n"/>
      <c r="G590" s="117">
        <f>IF(COUNTA(B590:E590)=0,"",IF(COUNTA(B590:E590)&lt;4,"⚠ กรอกไม่ครบ",IF(NOT(ISNUMBER(B590)),"⚠ วันที่ไม่ถูกต้อง",IF(COUNTIFS(Setup!$L$6:$L$60,D590,Setup!$M$6:$M$60,C590)=0,"⚠ หมวดไม่ตรงประเภท","✓"))))</f>
        <v/>
      </c>
    </row>
    <row r="591">
      <c r="B591" s="113" t="n"/>
      <c r="C591" s="114" t="n"/>
      <c r="D591" s="115" t="n"/>
      <c r="E591" s="116" t="n"/>
      <c r="F591" s="115" t="n"/>
      <c r="G591" s="117">
        <f>IF(COUNTA(B591:E591)=0,"",IF(COUNTA(B591:E591)&lt;4,"⚠ กรอกไม่ครบ",IF(NOT(ISNUMBER(B591)),"⚠ วันที่ไม่ถูกต้อง",IF(COUNTIFS(Setup!$L$6:$L$60,D591,Setup!$M$6:$M$60,C591)=0,"⚠ หมวดไม่ตรงประเภท","✓"))))</f>
        <v/>
      </c>
    </row>
    <row r="592">
      <c r="B592" s="113" t="n"/>
      <c r="C592" s="114" t="n"/>
      <c r="D592" s="115" t="n"/>
      <c r="E592" s="116" t="n"/>
      <c r="F592" s="115" t="n"/>
      <c r="G592" s="117">
        <f>IF(COUNTA(B592:E592)=0,"",IF(COUNTA(B592:E592)&lt;4,"⚠ กรอกไม่ครบ",IF(NOT(ISNUMBER(B592)),"⚠ วันที่ไม่ถูกต้อง",IF(COUNTIFS(Setup!$L$6:$L$60,D592,Setup!$M$6:$M$60,C592)=0,"⚠ หมวดไม่ตรงประเภท","✓"))))</f>
        <v/>
      </c>
    </row>
    <row r="593">
      <c r="B593" s="113" t="n"/>
      <c r="C593" s="114" t="n"/>
      <c r="D593" s="115" t="n"/>
      <c r="E593" s="116" t="n"/>
      <c r="F593" s="115" t="n"/>
      <c r="G593" s="117">
        <f>IF(COUNTA(B593:E593)=0,"",IF(COUNTA(B593:E593)&lt;4,"⚠ กรอกไม่ครบ",IF(NOT(ISNUMBER(B593)),"⚠ วันที่ไม่ถูกต้อง",IF(COUNTIFS(Setup!$L$6:$L$60,D593,Setup!$M$6:$M$60,C593)=0,"⚠ หมวดไม่ตรงประเภท","✓"))))</f>
        <v/>
      </c>
    </row>
    <row r="594">
      <c r="B594" s="113" t="n"/>
      <c r="C594" s="114" t="n"/>
      <c r="D594" s="115" t="n"/>
      <c r="E594" s="116" t="n"/>
      <c r="F594" s="115" t="n"/>
      <c r="G594" s="117">
        <f>IF(COUNTA(B594:E594)=0,"",IF(COUNTA(B594:E594)&lt;4,"⚠ กรอกไม่ครบ",IF(NOT(ISNUMBER(B594)),"⚠ วันที่ไม่ถูกต้อง",IF(COUNTIFS(Setup!$L$6:$L$60,D594,Setup!$M$6:$M$60,C594)=0,"⚠ หมวดไม่ตรงประเภท","✓"))))</f>
        <v/>
      </c>
    </row>
    <row r="595">
      <c r="B595" s="113" t="n"/>
      <c r="C595" s="114" t="n"/>
      <c r="D595" s="115" t="n"/>
      <c r="E595" s="116" t="n"/>
      <c r="F595" s="115" t="n"/>
      <c r="G595" s="117">
        <f>IF(COUNTA(B595:E595)=0,"",IF(COUNTA(B595:E595)&lt;4,"⚠ กรอกไม่ครบ",IF(NOT(ISNUMBER(B595)),"⚠ วันที่ไม่ถูกต้อง",IF(COUNTIFS(Setup!$L$6:$L$60,D595,Setup!$M$6:$M$60,C595)=0,"⚠ หมวดไม่ตรงประเภท","✓"))))</f>
        <v/>
      </c>
    </row>
    <row r="596">
      <c r="B596" s="113" t="n"/>
      <c r="C596" s="114" t="n"/>
      <c r="D596" s="115" t="n"/>
      <c r="E596" s="116" t="n"/>
      <c r="F596" s="115" t="n"/>
      <c r="G596" s="117">
        <f>IF(COUNTA(B596:E596)=0,"",IF(COUNTA(B596:E596)&lt;4,"⚠ กรอกไม่ครบ",IF(NOT(ISNUMBER(B596)),"⚠ วันที่ไม่ถูกต้อง",IF(COUNTIFS(Setup!$L$6:$L$60,D596,Setup!$M$6:$M$60,C596)=0,"⚠ หมวดไม่ตรงประเภท","✓"))))</f>
        <v/>
      </c>
    </row>
    <row r="597">
      <c r="B597" s="113" t="n"/>
      <c r="C597" s="114" t="n"/>
      <c r="D597" s="115" t="n"/>
      <c r="E597" s="116" t="n"/>
      <c r="F597" s="115" t="n"/>
      <c r="G597" s="117">
        <f>IF(COUNTA(B597:E597)=0,"",IF(COUNTA(B597:E597)&lt;4,"⚠ กรอกไม่ครบ",IF(NOT(ISNUMBER(B597)),"⚠ วันที่ไม่ถูกต้อง",IF(COUNTIFS(Setup!$L$6:$L$60,D597,Setup!$M$6:$M$60,C597)=0,"⚠ หมวดไม่ตรงประเภท","✓"))))</f>
        <v/>
      </c>
    </row>
    <row r="598">
      <c r="B598" s="113" t="n"/>
      <c r="C598" s="114" t="n"/>
      <c r="D598" s="115" t="n"/>
      <c r="E598" s="116" t="n"/>
      <c r="F598" s="115" t="n"/>
      <c r="G598" s="117">
        <f>IF(COUNTA(B598:E598)=0,"",IF(COUNTA(B598:E598)&lt;4,"⚠ กรอกไม่ครบ",IF(NOT(ISNUMBER(B598)),"⚠ วันที่ไม่ถูกต้อง",IF(COUNTIFS(Setup!$L$6:$L$60,D598,Setup!$M$6:$M$60,C598)=0,"⚠ หมวดไม่ตรงประเภท","✓"))))</f>
        <v/>
      </c>
    </row>
    <row r="599">
      <c r="B599" s="113" t="n"/>
      <c r="C599" s="114" t="n"/>
      <c r="D599" s="115" t="n"/>
      <c r="E599" s="116" t="n"/>
      <c r="F599" s="115" t="n"/>
      <c r="G599" s="117">
        <f>IF(COUNTA(B599:E599)=0,"",IF(COUNTA(B599:E599)&lt;4,"⚠ กรอกไม่ครบ",IF(NOT(ISNUMBER(B599)),"⚠ วันที่ไม่ถูกต้อง",IF(COUNTIFS(Setup!$L$6:$L$60,D599,Setup!$M$6:$M$60,C599)=0,"⚠ หมวดไม่ตรงประเภท","✓"))))</f>
        <v/>
      </c>
    </row>
    <row r="600">
      <c r="B600" s="113" t="n"/>
      <c r="C600" s="114" t="n"/>
      <c r="D600" s="115" t="n"/>
      <c r="E600" s="116" t="n"/>
      <c r="F600" s="115" t="n"/>
      <c r="G600" s="117">
        <f>IF(COUNTA(B600:E600)=0,"",IF(COUNTA(B600:E600)&lt;4,"⚠ กรอกไม่ครบ",IF(NOT(ISNUMBER(B600)),"⚠ วันที่ไม่ถูกต้อง",IF(COUNTIFS(Setup!$L$6:$L$60,D600,Setup!$M$6:$M$60,C600)=0,"⚠ หมวดไม่ตรงประเภท","✓"))))</f>
        <v/>
      </c>
    </row>
    <row r="601">
      <c r="B601" s="113" t="n"/>
      <c r="C601" s="114" t="n"/>
      <c r="D601" s="115" t="n"/>
      <c r="E601" s="116" t="n"/>
      <c r="F601" s="115" t="n"/>
      <c r="G601" s="117">
        <f>IF(COUNTA(B601:E601)=0,"",IF(COUNTA(B601:E601)&lt;4,"⚠ กรอกไม่ครบ",IF(NOT(ISNUMBER(B601)),"⚠ วันที่ไม่ถูกต้อง",IF(COUNTIFS(Setup!$L$6:$L$60,D601,Setup!$M$6:$M$60,C601)=0,"⚠ หมวดไม่ตรงประเภท","✓"))))</f>
        <v/>
      </c>
    </row>
    <row r="602">
      <c r="B602" s="113" t="n"/>
      <c r="C602" s="114" t="n"/>
      <c r="D602" s="115" t="n"/>
      <c r="E602" s="116" t="n"/>
      <c r="F602" s="115" t="n"/>
      <c r="G602" s="117">
        <f>IF(COUNTA(B602:E602)=0,"",IF(COUNTA(B602:E602)&lt;4,"⚠ กรอกไม่ครบ",IF(NOT(ISNUMBER(B602)),"⚠ วันที่ไม่ถูกต้อง",IF(COUNTIFS(Setup!$L$6:$L$60,D602,Setup!$M$6:$M$60,C602)=0,"⚠ หมวดไม่ตรงประเภท","✓"))))</f>
        <v/>
      </c>
    </row>
    <row r="603">
      <c r="B603" s="113" t="n"/>
      <c r="C603" s="114" t="n"/>
      <c r="D603" s="115" t="n"/>
      <c r="E603" s="116" t="n"/>
      <c r="F603" s="115" t="n"/>
      <c r="G603" s="117">
        <f>IF(COUNTA(B603:E603)=0,"",IF(COUNTA(B603:E603)&lt;4,"⚠ กรอกไม่ครบ",IF(NOT(ISNUMBER(B603)),"⚠ วันที่ไม่ถูกต้อง",IF(COUNTIFS(Setup!$L$6:$L$60,D603,Setup!$M$6:$M$60,C603)=0,"⚠ หมวดไม่ตรงประเภท","✓"))))</f>
        <v/>
      </c>
    </row>
    <row r="604">
      <c r="B604" s="113" t="n"/>
      <c r="C604" s="114" t="n"/>
      <c r="D604" s="115" t="n"/>
      <c r="E604" s="116" t="n"/>
      <c r="F604" s="115" t="n"/>
      <c r="G604" s="117">
        <f>IF(COUNTA(B604:E604)=0,"",IF(COUNTA(B604:E604)&lt;4,"⚠ กรอกไม่ครบ",IF(NOT(ISNUMBER(B604)),"⚠ วันที่ไม่ถูกต้อง",IF(COUNTIFS(Setup!$L$6:$L$60,D604,Setup!$M$6:$M$60,C604)=0,"⚠ หมวดไม่ตรงประเภท","✓"))))</f>
        <v/>
      </c>
    </row>
    <row r="605">
      <c r="B605" s="113" t="n"/>
      <c r="C605" s="114" t="n"/>
      <c r="D605" s="115" t="n"/>
      <c r="E605" s="116" t="n"/>
      <c r="F605" s="115" t="n"/>
      <c r="G605" s="117">
        <f>IF(COUNTA(B605:E605)=0,"",IF(COUNTA(B605:E605)&lt;4,"⚠ กรอกไม่ครบ",IF(NOT(ISNUMBER(B605)),"⚠ วันที่ไม่ถูกต้อง",IF(COUNTIFS(Setup!$L$6:$L$60,D605,Setup!$M$6:$M$60,C605)=0,"⚠ หมวดไม่ตรงประเภท","✓"))))</f>
        <v/>
      </c>
    </row>
    <row r="606">
      <c r="B606" s="113" t="n"/>
      <c r="C606" s="114" t="n"/>
      <c r="D606" s="115" t="n"/>
      <c r="E606" s="116" t="n"/>
      <c r="F606" s="115" t="n"/>
      <c r="G606" s="117">
        <f>IF(COUNTA(B606:E606)=0,"",IF(COUNTA(B606:E606)&lt;4,"⚠ กรอกไม่ครบ",IF(NOT(ISNUMBER(B606)),"⚠ วันที่ไม่ถูกต้อง",IF(COUNTIFS(Setup!$L$6:$L$60,D606,Setup!$M$6:$M$60,C606)=0,"⚠ หมวดไม่ตรงประเภท","✓"))))</f>
        <v/>
      </c>
    </row>
    <row r="607">
      <c r="B607" s="113" t="n"/>
      <c r="C607" s="114" t="n"/>
      <c r="D607" s="115" t="n"/>
      <c r="E607" s="116" t="n"/>
      <c r="F607" s="115" t="n"/>
      <c r="G607" s="117">
        <f>IF(COUNTA(B607:E607)=0,"",IF(COUNTA(B607:E607)&lt;4,"⚠ กรอกไม่ครบ",IF(NOT(ISNUMBER(B607)),"⚠ วันที่ไม่ถูกต้อง",IF(COUNTIFS(Setup!$L$6:$L$60,D607,Setup!$M$6:$M$60,C607)=0,"⚠ หมวดไม่ตรงประเภท","✓"))))</f>
        <v/>
      </c>
    </row>
    <row r="608">
      <c r="B608" s="113" t="n"/>
      <c r="C608" s="114" t="n"/>
      <c r="D608" s="115" t="n"/>
      <c r="E608" s="116" t="n"/>
      <c r="F608" s="115" t="n"/>
      <c r="G608" s="117">
        <f>IF(COUNTA(B608:E608)=0,"",IF(COUNTA(B608:E608)&lt;4,"⚠ กรอกไม่ครบ",IF(NOT(ISNUMBER(B608)),"⚠ วันที่ไม่ถูกต้อง",IF(COUNTIFS(Setup!$L$6:$L$60,D608,Setup!$M$6:$M$60,C608)=0,"⚠ หมวดไม่ตรงประเภท","✓"))))</f>
        <v/>
      </c>
    </row>
    <row r="609">
      <c r="B609" s="113" t="n"/>
      <c r="C609" s="114" t="n"/>
      <c r="D609" s="115" t="n"/>
      <c r="E609" s="116" t="n"/>
      <c r="F609" s="115" t="n"/>
      <c r="G609" s="117">
        <f>IF(COUNTA(B609:E609)=0,"",IF(COUNTA(B609:E609)&lt;4,"⚠ กรอกไม่ครบ",IF(NOT(ISNUMBER(B609)),"⚠ วันที่ไม่ถูกต้อง",IF(COUNTIFS(Setup!$L$6:$L$60,D609,Setup!$M$6:$M$60,C609)=0,"⚠ หมวดไม่ตรงประเภท","✓"))))</f>
        <v/>
      </c>
    </row>
    <row r="610">
      <c r="B610" s="113" t="n"/>
      <c r="C610" s="114" t="n"/>
      <c r="D610" s="115" t="n"/>
      <c r="E610" s="116" t="n"/>
      <c r="F610" s="115" t="n"/>
      <c r="G610" s="117">
        <f>IF(COUNTA(B610:E610)=0,"",IF(COUNTA(B610:E610)&lt;4,"⚠ กรอกไม่ครบ",IF(NOT(ISNUMBER(B610)),"⚠ วันที่ไม่ถูกต้อง",IF(COUNTIFS(Setup!$L$6:$L$60,D610,Setup!$M$6:$M$60,C610)=0,"⚠ หมวดไม่ตรงประเภท","✓"))))</f>
        <v/>
      </c>
    </row>
    <row r="611">
      <c r="B611" s="113" t="n"/>
      <c r="C611" s="114" t="n"/>
      <c r="D611" s="115" t="n"/>
      <c r="E611" s="116" t="n"/>
      <c r="F611" s="115" t="n"/>
      <c r="G611" s="117">
        <f>IF(COUNTA(B611:E611)=0,"",IF(COUNTA(B611:E611)&lt;4,"⚠ กรอกไม่ครบ",IF(NOT(ISNUMBER(B611)),"⚠ วันที่ไม่ถูกต้อง",IF(COUNTIFS(Setup!$L$6:$L$60,D611,Setup!$M$6:$M$60,C611)=0,"⚠ หมวดไม่ตรงประเภท","✓"))))</f>
        <v/>
      </c>
    </row>
    <row r="612">
      <c r="B612" s="113" t="n"/>
      <c r="C612" s="114" t="n"/>
      <c r="D612" s="115" t="n"/>
      <c r="E612" s="116" t="n"/>
      <c r="F612" s="115" t="n"/>
      <c r="G612" s="117">
        <f>IF(COUNTA(B612:E612)=0,"",IF(COUNTA(B612:E612)&lt;4,"⚠ กรอกไม่ครบ",IF(NOT(ISNUMBER(B612)),"⚠ วันที่ไม่ถูกต้อง",IF(COUNTIFS(Setup!$L$6:$L$60,D612,Setup!$M$6:$M$60,C612)=0,"⚠ หมวดไม่ตรงประเภท","✓"))))</f>
        <v/>
      </c>
    </row>
    <row r="613">
      <c r="B613" s="113" t="n"/>
      <c r="C613" s="114" t="n"/>
      <c r="D613" s="115" t="n"/>
      <c r="E613" s="116" t="n"/>
      <c r="F613" s="115" t="n"/>
      <c r="G613" s="117">
        <f>IF(COUNTA(B613:E613)=0,"",IF(COUNTA(B613:E613)&lt;4,"⚠ กรอกไม่ครบ",IF(NOT(ISNUMBER(B613)),"⚠ วันที่ไม่ถูกต้อง",IF(COUNTIFS(Setup!$L$6:$L$60,D613,Setup!$M$6:$M$60,C613)=0,"⚠ หมวดไม่ตรงประเภท","✓"))))</f>
        <v/>
      </c>
    </row>
    <row r="614">
      <c r="B614" s="113" t="n"/>
      <c r="C614" s="114" t="n"/>
      <c r="D614" s="115" t="n"/>
      <c r="E614" s="116" t="n"/>
      <c r="F614" s="115" t="n"/>
      <c r="G614" s="117">
        <f>IF(COUNTA(B614:E614)=0,"",IF(COUNTA(B614:E614)&lt;4,"⚠ กรอกไม่ครบ",IF(NOT(ISNUMBER(B614)),"⚠ วันที่ไม่ถูกต้อง",IF(COUNTIFS(Setup!$L$6:$L$60,D614,Setup!$M$6:$M$60,C614)=0,"⚠ หมวดไม่ตรงประเภท","✓"))))</f>
        <v/>
      </c>
    </row>
    <row r="615">
      <c r="B615" s="113" t="n"/>
      <c r="C615" s="114" t="n"/>
      <c r="D615" s="115" t="n"/>
      <c r="E615" s="116" t="n"/>
      <c r="F615" s="115" t="n"/>
      <c r="G615" s="117">
        <f>IF(COUNTA(B615:E615)=0,"",IF(COUNTA(B615:E615)&lt;4,"⚠ กรอกไม่ครบ",IF(NOT(ISNUMBER(B615)),"⚠ วันที่ไม่ถูกต้อง",IF(COUNTIFS(Setup!$L$6:$L$60,D615,Setup!$M$6:$M$60,C615)=0,"⚠ หมวดไม่ตรงประเภท","✓"))))</f>
        <v/>
      </c>
    </row>
    <row r="616">
      <c r="B616" s="113" t="n"/>
      <c r="C616" s="114" t="n"/>
      <c r="D616" s="115" t="n"/>
      <c r="E616" s="116" t="n"/>
      <c r="F616" s="115" t="n"/>
      <c r="G616" s="117">
        <f>IF(COUNTA(B616:E616)=0,"",IF(COUNTA(B616:E616)&lt;4,"⚠ กรอกไม่ครบ",IF(NOT(ISNUMBER(B616)),"⚠ วันที่ไม่ถูกต้อง",IF(COUNTIFS(Setup!$L$6:$L$60,D616,Setup!$M$6:$M$60,C616)=0,"⚠ หมวดไม่ตรงประเภท","✓"))))</f>
        <v/>
      </c>
    </row>
    <row r="617">
      <c r="B617" s="113" t="n"/>
      <c r="C617" s="114" t="n"/>
      <c r="D617" s="115" t="n"/>
      <c r="E617" s="116" t="n"/>
      <c r="F617" s="115" t="n"/>
      <c r="G617" s="117">
        <f>IF(COUNTA(B617:E617)=0,"",IF(COUNTA(B617:E617)&lt;4,"⚠ กรอกไม่ครบ",IF(NOT(ISNUMBER(B617)),"⚠ วันที่ไม่ถูกต้อง",IF(COUNTIFS(Setup!$L$6:$L$60,D617,Setup!$M$6:$M$60,C617)=0,"⚠ หมวดไม่ตรงประเภท","✓"))))</f>
        <v/>
      </c>
    </row>
    <row r="618">
      <c r="B618" s="113" t="n"/>
      <c r="C618" s="114" t="n"/>
      <c r="D618" s="115" t="n"/>
      <c r="E618" s="116" t="n"/>
      <c r="F618" s="115" t="n"/>
      <c r="G618" s="117">
        <f>IF(COUNTA(B618:E618)=0,"",IF(COUNTA(B618:E618)&lt;4,"⚠ กรอกไม่ครบ",IF(NOT(ISNUMBER(B618)),"⚠ วันที่ไม่ถูกต้อง",IF(COUNTIFS(Setup!$L$6:$L$60,D618,Setup!$M$6:$M$60,C618)=0,"⚠ หมวดไม่ตรงประเภท","✓"))))</f>
        <v/>
      </c>
    </row>
    <row r="619">
      <c r="B619" s="113" t="n"/>
      <c r="C619" s="114" t="n"/>
      <c r="D619" s="115" t="n"/>
      <c r="E619" s="116" t="n"/>
      <c r="F619" s="115" t="n"/>
      <c r="G619" s="117">
        <f>IF(COUNTA(B619:E619)=0,"",IF(COUNTA(B619:E619)&lt;4,"⚠ กรอกไม่ครบ",IF(NOT(ISNUMBER(B619)),"⚠ วันที่ไม่ถูกต้อง",IF(COUNTIFS(Setup!$L$6:$L$60,D619,Setup!$M$6:$M$60,C619)=0,"⚠ หมวดไม่ตรงประเภท","✓"))))</f>
        <v/>
      </c>
    </row>
    <row r="620">
      <c r="B620" s="113" t="n"/>
      <c r="C620" s="114" t="n"/>
      <c r="D620" s="115" t="n"/>
      <c r="E620" s="116" t="n"/>
      <c r="F620" s="115" t="n"/>
      <c r="G620" s="117">
        <f>IF(COUNTA(B620:E620)=0,"",IF(COUNTA(B620:E620)&lt;4,"⚠ กรอกไม่ครบ",IF(NOT(ISNUMBER(B620)),"⚠ วันที่ไม่ถูกต้อง",IF(COUNTIFS(Setup!$L$6:$L$60,D620,Setup!$M$6:$M$60,C620)=0,"⚠ หมวดไม่ตรงประเภท","✓"))))</f>
        <v/>
      </c>
    </row>
    <row r="621">
      <c r="B621" s="113" t="n"/>
      <c r="C621" s="114" t="n"/>
      <c r="D621" s="115" t="n"/>
      <c r="E621" s="116" t="n"/>
      <c r="F621" s="115" t="n"/>
      <c r="G621" s="117">
        <f>IF(COUNTA(B621:E621)=0,"",IF(COUNTA(B621:E621)&lt;4,"⚠ กรอกไม่ครบ",IF(NOT(ISNUMBER(B621)),"⚠ วันที่ไม่ถูกต้อง",IF(COUNTIFS(Setup!$L$6:$L$60,D621,Setup!$M$6:$M$60,C621)=0,"⚠ หมวดไม่ตรงประเภท","✓"))))</f>
        <v/>
      </c>
    </row>
    <row r="622">
      <c r="B622" s="113" t="n"/>
      <c r="C622" s="114" t="n"/>
      <c r="D622" s="115" t="n"/>
      <c r="E622" s="116" t="n"/>
      <c r="F622" s="115" t="n"/>
      <c r="G622" s="117">
        <f>IF(COUNTA(B622:E622)=0,"",IF(COUNTA(B622:E622)&lt;4,"⚠ กรอกไม่ครบ",IF(NOT(ISNUMBER(B622)),"⚠ วันที่ไม่ถูกต้อง",IF(COUNTIFS(Setup!$L$6:$L$60,D622,Setup!$M$6:$M$60,C622)=0,"⚠ หมวดไม่ตรงประเภท","✓"))))</f>
        <v/>
      </c>
    </row>
    <row r="623">
      <c r="B623" s="113" t="n"/>
      <c r="C623" s="114" t="n"/>
      <c r="D623" s="115" t="n"/>
      <c r="E623" s="116" t="n"/>
      <c r="F623" s="115" t="n"/>
      <c r="G623" s="117">
        <f>IF(COUNTA(B623:E623)=0,"",IF(COUNTA(B623:E623)&lt;4,"⚠ กรอกไม่ครบ",IF(NOT(ISNUMBER(B623)),"⚠ วันที่ไม่ถูกต้อง",IF(COUNTIFS(Setup!$L$6:$L$60,D623,Setup!$M$6:$M$60,C623)=0,"⚠ หมวดไม่ตรงประเภท","✓"))))</f>
        <v/>
      </c>
    </row>
    <row r="624">
      <c r="B624" s="113" t="n"/>
      <c r="C624" s="114" t="n"/>
      <c r="D624" s="115" t="n"/>
      <c r="E624" s="116" t="n"/>
      <c r="F624" s="115" t="n"/>
      <c r="G624" s="117">
        <f>IF(COUNTA(B624:E624)=0,"",IF(COUNTA(B624:E624)&lt;4,"⚠ กรอกไม่ครบ",IF(NOT(ISNUMBER(B624)),"⚠ วันที่ไม่ถูกต้อง",IF(COUNTIFS(Setup!$L$6:$L$60,D624,Setup!$M$6:$M$60,C624)=0,"⚠ หมวดไม่ตรงประเภท","✓"))))</f>
        <v/>
      </c>
    </row>
    <row r="625">
      <c r="B625" s="113" t="n"/>
      <c r="C625" s="114" t="n"/>
      <c r="D625" s="115" t="n"/>
      <c r="E625" s="116" t="n"/>
      <c r="F625" s="115" t="n"/>
      <c r="G625" s="117">
        <f>IF(COUNTA(B625:E625)=0,"",IF(COUNTA(B625:E625)&lt;4,"⚠ กรอกไม่ครบ",IF(NOT(ISNUMBER(B625)),"⚠ วันที่ไม่ถูกต้อง",IF(COUNTIFS(Setup!$L$6:$L$60,D625,Setup!$M$6:$M$60,C625)=0,"⚠ หมวดไม่ตรงประเภท","✓"))))</f>
        <v/>
      </c>
    </row>
    <row r="626">
      <c r="B626" s="113" t="n"/>
      <c r="C626" s="114" t="n"/>
      <c r="D626" s="115" t="n"/>
      <c r="E626" s="116" t="n"/>
      <c r="F626" s="115" t="n"/>
      <c r="G626" s="117">
        <f>IF(COUNTA(B626:E626)=0,"",IF(COUNTA(B626:E626)&lt;4,"⚠ กรอกไม่ครบ",IF(NOT(ISNUMBER(B626)),"⚠ วันที่ไม่ถูกต้อง",IF(COUNTIFS(Setup!$L$6:$L$60,D626,Setup!$M$6:$M$60,C626)=0,"⚠ หมวดไม่ตรงประเภท","✓"))))</f>
        <v/>
      </c>
    </row>
    <row r="627">
      <c r="B627" s="113" t="n"/>
      <c r="C627" s="114" t="n"/>
      <c r="D627" s="115" t="n"/>
      <c r="E627" s="116" t="n"/>
      <c r="F627" s="115" t="n"/>
      <c r="G627" s="117">
        <f>IF(COUNTA(B627:E627)=0,"",IF(COUNTA(B627:E627)&lt;4,"⚠ กรอกไม่ครบ",IF(NOT(ISNUMBER(B627)),"⚠ วันที่ไม่ถูกต้อง",IF(COUNTIFS(Setup!$L$6:$L$60,D627,Setup!$M$6:$M$60,C627)=0,"⚠ หมวดไม่ตรงประเภท","✓"))))</f>
        <v/>
      </c>
    </row>
    <row r="628">
      <c r="B628" s="113" t="n"/>
      <c r="C628" s="114" t="n"/>
      <c r="D628" s="115" t="n"/>
      <c r="E628" s="116" t="n"/>
      <c r="F628" s="115" t="n"/>
      <c r="G628" s="117">
        <f>IF(COUNTA(B628:E628)=0,"",IF(COUNTA(B628:E628)&lt;4,"⚠ กรอกไม่ครบ",IF(NOT(ISNUMBER(B628)),"⚠ วันที่ไม่ถูกต้อง",IF(COUNTIFS(Setup!$L$6:$L$60,D628,Setup!$M$6:$M$60,C628)=0,"⚠ หมวดไม่ตรงประเภท","✓"))))</f>
        <v/>
      </c>
    </row>
    <row r="629">
      <c r="B629" s="113" t="n"/>
      <c r="C629" s="114" t="n"/>
      <c r="D629" s="115" t="n"/>
      <c r="E629" s="116" t="n"/>
      <c r="F629" s="115" t="n"/>
      <c r="G629" s="117">
        <f>IF(COUNTA(B629:E629)=0,"",IF(COUNTA(B629:E629)&lt;4,"⚠ กรอกไม่ครบ",IF(NOT(ISNUMBER(B629)),"⚠ วันที่ไม่ถูกต้อง",IF(COUNTIFS(Setup!$L$6:$L$60,D629,Setup!$M$6:$M$60,C629)=0,"⚠ หมวดไม่ตรงประเภท","✓"))))</f>
        <v/>
      </c>
    </row>
    <row r="630">
      <c r="B630" s="113" t="n"/>
      <c r="C630" s="114" t="n"/>
      <c r="D630" s="115" t="n"/>
      <c r="E630" s="116" t="n"/>
      <c r="F630" s="115" t="n"/>
      <c r="G630" s="117">
        <f>IF(COUNTA(B630:E630)=0,"",IF(COUNTA(B630:E630)&lt;4,"⚠ กรอกไม่ครบ",IF(NOT(ISNUMBER(B630)),"⚠ วันที่ไม่ถูกต้อง",IF(COUNTIFS(Setup!$L$6:$L$60,D630,Setup!$M$6:$M$60,C630)=0,"⚠ หมวดไม่ตรงประเภท","✓"))))</f>
        <v/>
      </c>
    </row>
    <row r="631">
      <c r="B631" s="113" t="n"/>
      <c r="C631" s="114" t="n"/>
      <c r="D631" s="115" t="n"/>
      <c r="E631" s="116" t="n"/>
      <c r="F631" s="115" t="n"/>
      <c r="G631" s="117">
        <f>IF(COUNTA(B631:E631)=0,"",IF(COUNTA(B631:E631)&lt;4,"⚠ กรอกไม่ครบ",IF(NOT(ISNUMBER(B631)),"⚠ วันที่ไม่ถูกต้อง",IF(COUNTIFS(Setup!$L$6:$L$60,D631,Setup!$M$6:$M$60,C631)=0,"⚠ หมวดไม่ตรงประเภท","✓"))))</f>
        <v/>
      </c>
    </row>
    <row r="632">
      <c r="B632" s="113" t="n"/>
      <c r="C632" s="114" t="n"/>
      <c r="D632" s="115" t="n"/>
      <c r="E632" s="116" t="n"/>
      <c r="F632" s="115" t="n"/>
      <c r="G632" s="117">
        <f>IF(COUNTA(B632:E632)=0,"",IF(COUNTA(B632:E632)&lt;4,"⚠ กรอกไม่ครบ",IF(NOT(ISNUMBER(B632)),"⚠ วันที่ไม่ถูกต้อง",IF(COUNTIFS(Setup!$L$6:$L$60,D632,Setup!$M$6:$M$60,C632)=0,"⚠ หมวดไม่ตรงประเภท","✓"))))</f>
        <v/>
      </c>
    </row>
    <row r="633">
      <c r="B633" s="113" t="n"/>
      <c r="C633" s="114" t="n"/>
      <c r="D633" s="115" t="n"/>
      <c r="E633" s="116" t="n"/>
      <c r="F633" s="115" t="n"/>
      <c r="G633" s="117">
        <f>IF(COUNTA(B633:E633)=0,"",IF(COUNTA(B633:E633)&lt;4,"⚠ กรอกไม่ครบ",IF(NOT(ISNUMBER(B633)),"⚠ วันที่ไม่ถูกต้อง",IF(COUNTIFS(Setup!$L$6:$L$60,D633,Setup!$M$6:$M$60,C633)=0,"⚠ หมวดไม่ตรงประเภท","✓"))))</f>
        <v/>
      </c>
    </row>
    <row r="634">
      <c r="B634" s="113" t="n"/>
      <c r="C634" s="114" t="n"/>
      <c r="D634" s="115" t="n"/>
      <c r="E634" s="116" t="n"/>
      <c r="F634" s="115" t="n"/>
      <c r="G634" s="117">
        <f>IF(COUNTA(B634:E634)=0,"",IF(COUNTA(B634:E634)&lt;4,"⚠ กรอกไม่ครบ",IF(NOT(ISNUMBER(B634)),"⚠ วันที่ไม่ถูกต้อง",IF(COUNTIFS(Setup!$L$6:$L$60,D634,Setup!$M$6:$M$60,C634)=0,"⚠ หมวดไม่ตรงประเภท","✓"))))</f>
        <v/>
      </c>
    </row>
    <row r="635">
      <c r="B635" s="113" t="n"/>
      <c r="C635" s="114" t="n"/>
      <c r="D635" s="115" t="n"/>
      <c r="E635" s="116" t="n"/>
      <c r="F635" s="115" t="n"/>
      <c r="G635" s="117">
        <f>IF(COUNTA(B635:E635)=0,"",IF(COUNTA(B635:E635)&lt;4,"⚠ กรอกไม่ครบ",IF(NOT(ISNUMBER(B635)),"⚠ วันที่ไม่ถูกต้อง",IF(COUNTIFS(Setup!$L$6:$L$60,D635,Setup!$M$6:$M$60,C635)=0,"⚠ หมวดไม่ตรงประเภท","✓"))))</f>
        <v/>
      </c>
    </row>
    <row r="636">
      <c r="B636" s="113" t="n"/>
      <c r="C636" s="114" t="n"/>
      <c r="D636" s="115" t="n"/>
      <c r="E636" s="116" t="n"/>
      <c r="F636" s="115" t="n"/>
      <c r="G636" s="117">
        <f>IF(COUNTA(B636:E636)=0,"",IF(COUNTA(B636:E636)&lt;4,"⚠ กรอกไม่ครบ",IF(NOT(ISNUMBER(B636)),"⚠ วันที่ไม่ถูกต้อง",IF(COUNTIFS(Setup!$L$6:$L$60,D636,Setup!$M$6:$M$60,C636)=0,"⚠ หมวดไม่ตรงประเภท","✓"))))</f>
        <v/>
      </c>
    </row>
    <row r="637">
      <c r="B637" s="113" t="n"/>
      <c r="C637" s="114" t="n"/>
      <c r="D637" s="115" t="n"/>
      <c r="E637" s="116" t="n"/>
      <c r="F637" s="115" t="n"/>
      <c r="G637" s="117">
        <f>IF(COUNTA(B637:E637)=0,"",IF(COUNTA(B637:E637)&lt;4,"⚠ กรอกไม่ครบ",IF(NOT(ISNUMBER(B637)),"⚠ วันที่ไม่ถูกต้อง",IF(COUNTIFS(Setup!$L$6:$L$60,D637,Setup!$M$6:$M$60,C637)=0,"⚠ หมวดไม่ตรงประเภท","✓"))))</f>
        <v/>
      </c>
    </row>
    <row r="638">
      <c r="B638" s="113" t="n"/>
      <c r="C638" s="114" t="n"/>
      <c r="D638" s="115" t="n"/>
      <c r="E638" s="116" t="n"/>
      <c r="F638" s="115" t="n"/>
      <c r="G638" s="117">
        <f>IF(COUNTA(B638:E638)=0,"",IF(COUNTA(B638:E638)&lt;4,"⚠ กรอกไม่ครบ",IF(NOT(ISNUMBER(B638)),"⚠ วันที่ไม่ถูกต้อง",IF(COUNTIFS(Setup!$L$6:$L$60,D638,Setup!$M$6:$M$60,C638)=0,"⚠ หมวดไม่ตรงประเภท","✓"))))</f>
        <v/>
      </c>
    </row>
    <row r="639">
      <c r="B639" s="113" t="n"/>
      <c r="C639" s="114" t="n"/>
      <c r="D639" s="115" t="n"/>
      <c r="E639" s="116" t="n"/>
      <c r="F639" s="115" t="n"/>
      <c r="G639" s="117">
        <f>IF(COUNTA(B639:E639)=0,"",IF(COUNTA(B639:E639)&lt;4,"⚠ กรอกไม่ครบ",IF(NOT(ISNUMBER(B639)),"⚠ วันที่ไม่ถูกต้อง",IF(COUNTIFS(Setup!$L$6:$L$60,D639,Setup!$M$6:$M$60,C639)=0,"⚠ หมวดไม่ตรงประเภท","✓"))))</f>
        <v/>
      </c>
    </row>
    <row r="640">
      <c r="B640" s="113" t="n"/>
      <c r="C640" s="114" t="n"/>
      <c r="D640" s="115" t="n"/>
      <c r="E640" s="116" t="n"/>
      <c r="F640" s="115" t="n"/>
      <c r="G640" s="117">
        <f>IF(COUNTA(B640:E640)=0,"",IF(COUNTA(B640:E640)&lt;4,"⚠ กรอกไม่ครบ",IF(NOT(ISNUMBER(B640)),"⚠ วันที่ไม่ถูกต้อง",IF(COUNTIFS(Setup!$L$6:$L$60,D640,Setup!$M$6:$M$60,C640)=0,"⚠ หมวดไม่ตรงประเภท","✓"))))</f>
        <v/>
      </c>
    </row>
    <row r="641">
      <c r="B641" s="113" t="n"/>
      <c r="C641" s="114" t="n"/>
      <c r="D641" s="115" t="n"/>
      <c r="E641" s="116" t="n"/>
      <c r="F641" s="115" t="n"/>
      <c r="G641" s="117">
        <f>IF(COUNTA(B641:E641)=0,"",IF(COUNTA(B641:E641)&lt;4,"⚠ กรอกไม่ครบ",IF(NOT(ISNUMBER(B641)),"⚠ วันที่ไม่ถูกต้อง",IF(COUNTIFS(Setup!$L$6:$L$60,D641,Setup!$M$6:$M$60,C641)=0,"⚠ หมวดไม่ตรงประเภท","✓"))))</f>
        <v/>
      </c>
    </row>
    <row r="642">
      <c r="B642" s="113" t="n"/>
      <c r="C642" s="114" t="n"/>
      <c r="D642" s="115" t="n"/>
      <c r="E642" s="116" t="n"/>
      <c r="F642" s="115" t="n"/>
      <c r="G642" s="117">
        <f>IF(COUNTA(B642:E642)=0,"",IF(COUNTA(B642:E642)&lt;4,"⚠ กรอกไม่ครบ",IF(NOT(ISNUMBER(B642)),"⚠ วันที่ไม่ถูกต้อง",IF(COUNTIFS(Setup!$L$6:$L$60,D642,Setup!$M$6:$M$60,C642)=0,"⚠ หมวดไม่ตรงประเภท","✓"))))</f>
        <v/>
      </c>
    </row>
    <row r="643">
      <c r="B643" s="113" t="n"/>
      <c r="C643" s="114" t="n"/>
      <c r="D643" s="115" t="n"/>
      <c r="E643" s="116" t="n"/>
      <c r="F643" s="115" t="n"/>
      <c r="G643" s="117">
        <f>IF(COUNTA(B643:E643)=0,"",IF(COUNTA(B643:E643)&lt;4,"⚠ กรอกไม่ครบ",IF(NOT(ISNUMBER(B643)),"⚠ วันที่ไม่ถูกต้อง",IF(COUNTIFS(Setup!$L$6:$L$60,D643,Setup!$M$6:$M$60,C643)=0,"⚠ หมวดไม่ตรงประเภท","✓"))))</f>
        <v/>
      </c>
    </row>
    <row r="644">
      <c r="B644" s="113" t="n"/>
      <c r="C644" s="114" t="n"/>
      <c r="D644" s="115" t="n"/>
      <c r="E644" s="116" t="n"/>
      <c r="F644" s="115" t="n"/>
      <c r="G644" s="117">
        <f>IF(COUNTA(B644:E644)=0,"",IF(COUNTA(B644:E644)&lt;4,"⚠ กรอกไม่ครบ",IF(NOT(ISNUMBER(B644)),"⚠ วันที่ไม่ถูกต้อง",IF(COUNTIFS(Setup!$L$6:$L$60,D644,Setup!$M$6:$M$60,C644)=0,"⚠ หมวดไม่ตรงประเภท","✓"))))</f>
        <v/>
      </c>
    </row>
    <row r="645">
      <c r="B645" s="113" t="n"/>
      <c r="C645" s="114" t="n"/>
      <c r="D645" s="115" t="n"/>
      <c r="E645" s="116" t="n"/>
      <c r="F645" s="115" t="n"/>
      <c r="G645" s="117">
        <f>IF(COUNTA(B645:E645)=0,"",IF(COUNTA(B645:E645)&lt;4,"⚠ กรอกไม่ครบ",IF(NOT(ISNUMBER(B645)),"⚠ วันที่ไม่ถูกต้อง",IF(COUNTIFS(Setup!$L$6:$L$60,D645,Setup!$M$6:$M$60,C645)=0,"⚠ หมวดไม่ตรงประเภท","✓"))))</f>
        <v/>
      </c>
    </row>
    <row r="646">
      <c r="B646" s="113" t="n"/>
      <c r="C646" s="114" t="n"/>
      <c r="D646" s="115" t="n"/>
      <c r="E646" s="116" t="n"/>
      <c r="F646" s="115" t="n"/>
      <c r="G646" s="117">
        <f>IF(COUNTA(B646:E646)=0,"",IF(COUNTA(B646:E646)&lt;4,"⚠ กรอกไม่ครบ",IF(NOT(ISNUMBER(B646)),"⚠ วันที่ไม่ถูกต้อง",IF(COUNTIFS(Setup!$L$6:$L$60,D646,Setup!$M$6:$M$60,C646)=0,"⚠ หมวดไม่ตรงประเภท","✓"))))</f>
        <v/>
      </c>
    </row>
    <row r="647">
      <c r="B647" s="113" t="n"/>
      <c r="C647" s="114" t="n"/>
      <c r="D647" s="115" t="n"/>
      <c r="E647" s="116" t="n"/>
      <c r="F647" s="115" t="n"/>
      <c r="G647" s="117">
        <f>IF(COUNTA(B647:E647)=0,"",IF(COUNTA(B647:E647)&lt;4,"⚠ กรอกไม่ครบ",IF(NOT(ISNUMBER(B647)),"⚠ วันที่ไม่ถูกต้อง",IF(COUNTIFS(Setup!$L$6:$L$60,D647,Setup!$M$6:$M$60,C647)=0,"⚠ หมวดไม่ตรงประเภท","✓"))))</f>
        <v/>
      </c>
    </row>
    <row r="648">
      <c r="B648" s="113" t="n"/>
      <c r="C648" s="114" t="n"/>
      <c r="D648" s="115" t="n"/>
      <c r="E648" s="116" t="n"/>
      <c r="F648" s="115" t="n"/>
      <c r="G648" s="117">
        <f>IF(COUNTA(B648:E648)=0,"",IF(COUNTA(B648:E648)&lt;4,"⚠ กรอกไม่ครบ",IF(NOT(ISNUMBER(B648)),"⚠ วันที่ไม่ถูกต้อง",IF(COUNTIFS(Setup!$L$6:$L$60,D648,Setup!$M$6:$M$60,C648)=0,"⚠ หมวดไม่ตรงประเภท","✓"))))</f>
        <v/>
      </c>
    </row>
    <row r="649">
      <c r="B649" s="113" t="n"/>
      <c r="C649" s="114" t="n"/>
      <c r="D649" s="115" t="n"/>
      <c r="E649" s="116" t="n"/>
      <c r="F649" s="115" t="n"/>
      <c r="G649" s="117">
        <f>IF(COUNTA(B649:E649)=0,"",IF(COUNTA(B649:E649)&lt;4,"⚠ กรอกไม่ครบ",IF(NOT(ISNUMBER(B649)),"⚠ วันที่ไม่ถูกต้อง",IF(COUNTIFS(Setup!$L$6:$L$60,D649,Setup!$M$6:$M$60,C649)=0,"⚠ หมวดไม่ตรงประเภท","✓"))))</f>
        <v/>
      </c>
    </row>
    <row r="650">
      <c r="B650" s="113" t="n"/>
      <c r="C650" s="114" t="n"/>
      <c r="D650" s="115" t="n"/>
      <c r="E650" s="116" t="n"/>
      <c r="F650" s="115" t="n"/>
      <c r="G650" s="117">
        <f>IF(COUNTA(B650:E650)=0,"",IF(COUNTA(B650:E650)&lt;4,"⚠ กรอกไม่ครบ",IF(NOT(ISNUMBER(B650)),"⚠ วันที่ไม่ถูกต้อง",IF(COUNTIFS(Setup!$L$6:$L$60,D650,Setup!$M$6:$M$60,C650)=0,"⚠ หมวดไม่ตรงประเภท","✓"))))</f>
        <v/>
      </c>
    </row>
    <row r="651">
      <c r="B651" s="113" t="n"/>
      <c r="C651" s="114" t="n"/>
      <c r="D651" s="115" t="n"/>
      <c r="E651" s="116" t="n"/>
      <c r="F651" s="115" t="n"/>
      <c r="G651" s="117">
        <f>IF(COUNTA(B651:E651)=0,"",IF(COUNTA(B651:E651)&lt;4,"⚠ กรอกไม่ครบ",IF(NOT(ISNUMBER(B651)),"⚠ วันที่ไม่ถูกต้อง",IF(COUNTIFS(Setup!$L$6:$L$60,D651,Setup!$M$6:$M$60,C651)=0,"⚠ หมวดไม่ตรงประเภท","✓"))))</f>
        <v/>
      </c>
    </row>
    <row r="652">
      <c r="B652" s="113" t="n"/>
      <c r="C652" s="114" t="n"/>
      <c r="D652" s="115" t="n"/>
      <c r="E652" s="116" t="n"/>
      <c r="F652" s="115" t="n"/>
      <c r="G652" s="117">
        <f>IF(COUNTA(B652:E652)=0,"",IF(COUNTA(B652:E652)&lt;4,"⚠ กรอกไม่ครบ",IF(NOT(ISNUMBER(B652)),"⚠ วันที่ไม่ถูกต้อง",IF(COUNTIFS(Setup!$L$6:$L$60,D652,Setup!$M$6:$M$60,C652)=0,"⚠ หมวดไม่ตรงประเภท","✓"))))</f>
        <v/>
      </c>
    </row>
    <row r="653">
      <c r="B653" s="113" t="n"/>
      <c r="C653" s="114" t="n"/>
      <c r="D653" s="115" t="n"/>
      <c r="E653" s="116" t="n"/>
      <c r="F653" s="115" t="n"/>
      <c r="G653" s="117">
        <f>IF(COUNTA(B653:E653)=0,"",IF(COUNTA(B653:E653)&lt;4,"⚠ กรอกไม่ครบ",IF(NOT(ISNUMBER(B653)),"⚠ วันที่ไม่ถูกต้อง",IF(COUNTIFS(Setup!$L$6:$L$60,D653,Setup!$M$6:$M$60,C653)=0,"⚠ หมวดไม่ตรงประเภท","✓"))))</f>
        <v/>
      </c>
    </row>
    <row r="654">
      <c r="B654" s="113" t="n"/>
      <c r="C654" s="114" t="n"/>
      <c r="D654" s="115" t="n"/>
      <c r="E654" s="116" t="n"/>
      <c r="F654" s="115" t="n"/>
      <c r="G654" s="117">
        <f>IF(COUNTA(B654:E654)=0,"",IF(COUNTA(B654:E654)&lt;4,"⚠ กรอกไม่ครบ",IF(NOT(ISNUMBER(B654)),"⚠ วันที่ไม่ถูกต้อง",IF(COUNTIFS(Setup!$L$6:$L$60,D654,Setup!$M$6:$M$60,C654)=0,"⚠ หมวดไม่ตรงประเภท","✓"))))</f>
        <v/>
      </c>
    </row>
    <row r="655">
      <c r="B655" s="113" t="n"/>
      <c r="C655" s="114" t="n"/>
      <c r="D655" s="115" t="n"/>
      <c r="E655" s="116" t="n"/>
      <c r="F655" s="115" t="n"/>
      <c r="G655" s="117">
        <f>IF(COUNTA(B655:E655)=0,"",IF(COUNTA(B655:E655)&lt;4,"⚠ กรอกไม่ครบ",IF(NOT(ISNUMBER(B655)),"⚠ วันที่ไม่ถูกต้อง",IF(COUNTIFS(Setup!$L$6:$L$60,D655,Setup!$M$6:$M$60,C655)=0,"⚠ หมวดไม่ตรงประเภท","✓"))))</f>
        <v/>
      </c>
    </row>
    <row r="656">
      <c r="B656" s="113" t="n"/>
      <c r="C656" s="114" t="n"/>
      <c r="D656" s="115" t="n"/>
      <c r="E656" s="116" t="n"/>
      <c r="F656" s="115" t="n"/>
      <c r="G656" s="117">
        <f>IF(COUNTA(B656:E656)=0,"",IF(COUNTA(B656:E656)&lt;4,"⚠ กรอกไม่ครบ",IF(NOT(ISNUMBER(B656)),"⚠ วันที่ไม่ถูกต้อง",IF(COUNTIFS(Setup!$L$6:$L$60,D656,Setup!$M$6:$M$60,C656)=0,"⚠ หมวดไม่ตรงประเภท","✓"))))</f>
        <v/>
      </c>
    </row>
    <row r="657">
      <c r="B657" s="113" t="n"/>
      <c r="C657" s="114" t="n"/>
      <c r="D657" s="115" t="n"/>
      <c r="E657" s="116" t="n"/>
      <c r="F657" s="115" t="n"/>
      <c r="G657" s="117">
        <f>IF(COUNTA(B657:E657)=0,"",IF(COUNTA(B657:E657)&lt;4,"⚠ กรอกไม่ครบ",IF(NOT(ISNUMBER(B657)),"⚠ วันที่ไม่ถูกต้อง",IF(COUNTIFS(Setup!$L$6:$L$60,D657,Setup!$M$6:$M$60,C657)=0,"⚠ หมวดไม่ตรงประเภท","✓"))))</f>
        <v/>
      </c>
    </row>
    <row r="658">
      <c r="B658" s="113" t="n"/>
      <c r="C658" s="114" t="n"/>
      <c r="D658" s="115" t="n"/>
      <c r="E658" s="116" t="n"/>
      <c r="F658" s="115" t="n"/>
      <c r="G658" s="117">
        <f>IF(COUNTA(B658:E658)=0,"",IF(COUNTA(B658:E658)&lt;4,"⚠ กรอกไม่ครบ",IF(NOT(ISNUMBER(B658)),"⚠ วันที่ไม่ถูกต้อง",IF(COUNTIFS(Setup!$L$6:$L$60,D658,Setup!$M$6:$M$60,C658)=0,"⚠ หมวดไม่ตรงประเภท","✓"))))</f>
        <v/>
      </c>
    </row>
    <row r="659">
      <c r="B659" s="113" t="n"/>
      <c r="C659" s="114" t="n"/>
      <c r="D659" s="115" t="n"/>
      <c r="E659" s="116" t="n"/>
      <c r="F659" s="115" t="n"/>
      <c r="G659" s="117">
        <f>IF(COUNTA(B659:E659)=0,"",IF(COUNTA(B659:E659)&lt;4,"⚠ กรอกไม่ครบ",IF(NOT(ISNUMBER(B659)),"⚠ วันที่ไม่ถูกต้อง",IF(COUNTIFS(Setup!$L$6:$L$60,D659,Setup!$M$6:$M$60,C659)=0,"⚠ หมวดไม่ตรงประเภท","✓"))))</f>
        <v/>
      </c>
    </row>
    <row r="660">
      <c r="B660" s="113" t="n"/>
      <c r="C660" s="114" t="n"/>
      <c r="D660" s="115" t="n"/>
      <c r="E660" s="116" t="n"/>
      <c r="F660" s="115" t="n"/>
      <c r="G660" s="117">
        <f>IF(COUNTA(B660:E660)=0,"",IF(COUNTA(B660:E660)&lt;4,"⚠ กรอกไม่ครบ",IF(NOT(ISNUMBER(B660)),"⚠ วันที่ไม่ถูกต้อง",IF(COUNTIFS(Setup!$L$6:$L$60,D660,Setup!$M$6:$M$60,C660)=0,"⚠ หมวดไม่ตรงประเภท","✓"))))</f>
        <v/>
      </c>
    </row>
    <row r="661">
      <c r="B661" s="113" t="n"/>
      <c r="C661" s="114" t="n"/>
      <c r="D661" s="115" t="n"/>
      <c r="E661" s="116" t="n"/>
      <c r="F661" s="115" t="n"/>
      <c r="G661" s="117">
        <f>IF(COUNTA(B661:E661)=0,"",IF(COUNTA(B661:E661)&lt;4,"⚠ กรอกไม่ครบ",IF(NOT(ISNUMBER(B661)),"⚠ วันที่ไม่ถูกต้อง",IF(COUNTIFS(Setup!$L$6:$L$60,D661,Setup!$M$6:$M$60,C661)=0,"⚠ หมวดไม่ตรงประเภท","✓"))))</f>
        <v/>
      </c>
    </row>
    <row r="662">
      <c r="B662" s="113" t="n"/>
      <c r="C662" s="114" t="n"/>
      <c r="D662" s="115" t="n"/>
      <c r="E662" s="116" t="n"/>
      <c r="F662" s="115" t="n"/>
      <c r="G662" s="117">
        <f>IF(COUNTA(B662:E662)=0,"",IF(COUNTA(B662:E662)&lt;4,"⚠ กรอกไม่ครบ",IF(NOT(ISNUMBER(B662)),"⚠ วันที่ไม่ถูกต้อง",IF(COUNTIFS(Setup!$L$6:$L$60,D662,Setup!$M$6:$M$60,C662)=0,"⚠ หมวดไม่ตรงประเภท","✓"))))</f>
        <v/>
      </c>
    </row>
    <row r="663">
      <c r="B663" s="113" t="n"/>
      <c r="C663" s="114" t="n"/>
      <c r="D663" s="115" t="n"/>
      <c r="E663" s="116" t="n"/>
      <c r="F663" s="115" t="n"/>
      <c r="G663" s="117">
        <f>IF(COUNTA(B663:E663)=0,"",IF(COUNTA(B663:E663)&lt;4,"⚠ กรอกไม่ครบ",IF(NOT(ISNUMBER(B663)),"⚠ วันที่ไม่ถูกต้อง",IF(COUNTIFS(Setup!$L$6:$L$60,D663,Setup!$M$6:$M$60,C663)=0,"⚠ หมวดไม่ตรงประเภท","✓"))))</f>
        <v/>
      </c>
    </row>
    <row r="664">
      <c r="B664" s="113" t="n"/>
      <c r="C664" s="114" t="n"/>
      <c r="D664" s="115" t="n"/>
      <c r="E664" s="116" t="n"/>
      <c r="F664" s="115" t="n"/>
      <c r="G664" s="117">
        <f>IF(COUNTA(B664:E664)=0,"",IF(COUNTA(B664:E664)&lt;4,"⚠ กรอกไม่ครบ",IF(NOT(ISNUMBER(B664)),"⚠ วันที่ไม่ถูกต้อง",IF(COUNTIFS(Setup!$L$6:$L$60,D664,Setup!$M$6:$M$60,C664)=0,"⚠ หมวดไม่ตรงประเภท","✓"))))</f>
        <v/>
      </c>
    </row>
    <row r="665">
      <c r="B665" s="113" t="n"/>
      <c r="C665" s="114" t="n"/>
      <c r="D665" s="115" t="n"/>
      <c r="E665" s="116" t="n"/>
      <c r="F665" s="115" t="n"/>
      <c r="G665" s="117">
        <f>IF(COUNTA(B665:E665)=0,"",IF(COUNTA(B665:E665)&lt;4,"⚠ กรอกไม่ครบ",IF(NOT(ISNUMBER(B665)),"⚠ วันที่ไม่ถูกต้อง",IF(COUNTIFS(Setup!$L$6:$L$60,D665,Setup!$M$6:$M$60,C665)=0,"⚠ หมวดไม่ตรงประเภท","✓"))))</f>
        <v/>
      </c>
    </row>
    <row r="666">
      <c r="B666" s="113" t="n"/>
      <c r="C666" s="114" t="n"/>
      <c r="D666" s="115" t="n"/>
      <c r="E666" s="116" t="n"/>
      <c r="F666" s="115" t="n"/>
      <c r="G666" s="117">
        <f>IF(COUNTA(B666:E666)=0,"",IF(COUNTA(B666:E666)&lt;4,"⚠ กรอกไม่ครบ",IF(NOT(ISNUMBER(B666)),"⚠ วันที่ไม่ถูกต้อง",IF(COUNTIFS(Setup!$L$6:$L$60,D666,Setup!$M$6:$M$60,C666)=0,"⚠ หมวดไม่ตรงประเภท","✓"))))</f>
        <v/>
      </c>
    </row>
    <row r="667">
      <c r="B667" s="113" t="n"/>
      <c r="C667" s="114" t="n"/>
      <c r="D667" s="115" t="n"/>
      <c r="E667" s="116" t="n"/>
      <c r="F667" s="115" t="n"/>
      <c r="G667" s="117">
        <f>IF(COUNTA(B667:E667)=0,"",IF(COUNTA(B667:E667)&lt;4,"⚠ กรอกไม่ครบ",IF(NOT(ISNUMBER(B667)),"⚠ วันที่ไม่ถูกต้อง",IF(COUNTIFS(Setup!$L$6:$L$60,D667,Setup!$M$6:$M$60,C667)=0,"⚠ หมวดไม่ตรงประเภท","✓"))))</f>
        <v/>
      </c>
    </row>
    <row r="668">
      <c r="B668" s="113" t="n"/>
      <c r="C668" s="114" t="n"/>
      <c r="D668" s="115" t="n"/>
      <c r="E668" s="116" t="n"/>
      <c r="F668" s="115" t="n"/>
      <c r="G668" s="117">
        <f>IF(COUNTA(B668:E668)=0,"",IF(COUNTA(B668:E668)&lt;4,"⚠ กรอกไม่ครบ",IF(NOT(ISNUMBER(B668)),"⚠ วันที่ไม่ถูกต้อง",IF(COUNTIFS(Setup!$L$6:$L$60,D668,Setup!$M$6:$M$60,C668)=0,"⚠ หมวดไม่ตรงประเภท","✓"))))</f>
        <v/>
      </c>
    </row>
    <row r="669">
      <c r="B669" s="113" t="n"/>
      <c r="C669" s="114" t="n"/>
      <c r="D669" s="115" t="n"/>
      <c r="E669" s="116" t="n"/>
      <c r="F669" s="115" t="n"/>
      <c r="G669" s="117">
        <f>IF(COUNTA(B669:E669)=0,"",IF(COUNTA(B669:E669)&lt;4,"⚠ กรอกไม่ครบ",IF(NOT(ISNUMBER(B669)),"⚠ วันที่ไม่ถูกต้อง",IF(COUNTIFS(Setup!$L$6:$L$60,D669,Setup!$M$6:$M$60,C669)=0,"⚠ หมวดไม่ตรงประเภท","✓"))))</f>
        <v/>
      </c>
    </row>
    <row r="670">
      <c r="B670" s="113" t="n"/>
      <c r="C670" s="114" t="n"/>
      <c r="D670" s="115" t="n"/>
      <c r="E670" s="116" t="n"/>
      <c r="F670" s="115" t="n"/>
      <c r="G670" s="117">
        <f>IF(COUNTA(B670:E670)=0,"",IF(COUNTA(B670:E670)&lt;4,"⚠ กรอกไม่ครบ",IF(NOT(ISNUMBER(B670)),"⚠ วันที่ไม่ถูกต้อง",IF(COUNTIFS(Setup!$L$6:$L$60,D670,Setup!$M$6:$M$60,C670)=0,"⚠ หมวดไม่ตรงประเภท","✓"))))</f>
        <v/>
      </c>
    </row>
    <row r="671">
      <c r="B671" s="113" t="n"/>
      <c r="C671" s="114" t="n"/>
      <c r="D671" s="115" t="n"/>
      <c r="E671" s="116" t="n"/>
      <c r="F671" s="115" t="n"/>
      <c r="G671" s="117">
        <f>IF(COUNTA(B671:E671)=0,"",IF(COUNTA(B671:E671)&lt;4,"⚠ กรอกไม่ครบ",IF(NOT(ISNUMBER(B671)),"⚠ วันที่ไม่ถูกต้อง",IF(COUNTIFS(Setup!$L$6:$L$60,D671,Setup!$M$6:$M$60,C671)=0,"⚠ หมวดไม่ตรงประเภท","✓"))))</f>
        <v/>
      </c>
    </row>
    <row r="672">
      <c r="B672" s="113" t="n"/>
      <c r="C672" s="114" t="n"/>
      <c r="D672" s="115" t="n"/>
      <c r="E672" s="116" t="n"/>
      <c r="F672" s="115" t="n"/>
      <c r="G672" s="117">
        <f>IF(COUNTA(B672:E672)=0,"",IF(COUNTA(B672:E672)&lt;4,"⚠ กรอกไม่ครบ",IF(NOT(ISNUMBER(B672)),"⚠ วันที่ไม่ถูกต้อง",IF(COUNTIFS(Setup!$L$6:$L$60,D672,Setup!$M$6:$M$60,C672)=0,"⚠ หมวดไม่ตรงประเภท","✓"))))</f>
        <v/>
      </c>
    </row>
    <row r="673">
      <c r="B673" s="113" t="n"/>
      <c r="C673" s="114" t="n"/>
      <c r="D673" s="115" t="n"/>
      <c r="E673" s="116" t="n"/>
      <c r="F673" s="115" t="n"/>
      <c r="G673" s="117">
        <f>IF(COUNTA(B673:E673)=0,"",IF(COUNTA(B673:E673)&lt;4,"⚠ กรอกไม่ครบ",IF(NOT(ISNUMBER(B673)),"⚠ วันที่ไม่ถูกต้อง",IF(COUNTIFS(Setup!$L$6:$L$60,D673,Setup!$M$6:$M$60,C673)=0,"⚠ หมวดไม่ตรงประเภท","✓"))))</f>
        <v/>
      </c>
    </row>
    <row r="674">
      <c r="B674" s="113" t="n"/>
      <c r="C674" s="114" t="n"/>
      <c r="D674" s="115" t="n"/>
      <c r="E674" s="116" t="n"/>
      <c r="F674" s="115" t="n"/>
      <c r="G674" s="117">
        <f>IF(COUNTA(B674:E674)=0,"",IF(COUNTA(B674:E674)&lt;4,"⚠ กรอกไม่ครบ",IF(NOT(ISNUMBER(B674)),"⚠ วันที่ไม่ถูกต้อง",IF(COUNTIFS(Setup!$L$6:$L$60,D674,Setup!$M$6:$M$60,C674)=0,"⚠ หมวดไม่ตรงประเภท","✓"))))</f>
        <v/>
      </c>
    </row>
    <row r="675">
      <c r="B675" s="113" t="n"/>
      <c r="C675" s="114" t="n"/>
      <c r="D675" s="115" t="n"/>
      <c r="E675" s="116" t="n"/>
      <c r="F675" s="115" t="n"/>
      <c r="G675" s="117">
        <f>IF(COUNTA(B675:E675)=0,"",IF(COUNTA(B675:E675)&lt;4,"⚠ กรอกไม่ครบ",IF(NOT(ISNUMBER(B675)),"⚠ วันที่ไม่ถูกต้อง",IF(COUNTIFS(Setup!$L$6:$L$60,D675,Setup!$M$6:$M$60,C675)=0,"⚠ หมวดไม่ตรงประเภท","✓"))))</f>
        <v/>
      </c>
    </row>
    <row r="676">
      <c r="B676" s="113" t="n"/>
      <c r="C676" s="114" t="n"/>
      <c r="D676" s="115" t="n"/>
      <c r="E676" s="116" t="n"/>
      <c r="F676" s="115" t="n"/>
      <c r="G676" s="117">
        <f>IF(COUNTA(B676:E676)=0,"",IF(COUNTA(B676:E676)&lt;4,"⚠ กรอกไม่ครบ",IF(NOT(ISNUMBER(B676)),"⚠ วันที่ไม่ถูกต้อง",IF(COUNTIFS(Setup!$L$6:$L$60,D676,Setup!$M$6:$M$60,C676)=0,"⚠ หมวดไม่ตรงประเภท","✓"))))</f>
        <v/>
      </c>
    </row>
    <row r="677">
      <c r="B677" s="113" t="n"/>
      <c r="C677" s="114" t="n"/>
      <c r="D677" s="115" t="n"/>
      <c r="E677" s="116" t="n"/>
      <c r="F677" s="115" t="n"/>
      <c r="G677" s="117">
        <f>IF(COUNTA(B677:E677)=0,"",IF(COUNTA(B677:E677)&lt;4,"⚠ กรอกไม่ครบ",IF(NOT(ISNUMBER(B677)),"⚠ วันที่ไม่ถูกต้อง",IF(COUNTIFS(Setup!$L$6:$L$60,D677,Setup!$M$6:$M$60,C677)=0,"⚠ หมวดไม่ตรงประเภท","✓"))))</f>
        <v/>
      </c>
    </row>
    <row r="678">
      <c r="B678" s="113" t="n"/>
      <c r="C678" s="114" t="n"/>
      <c r="D678" s="115" t="n"/>
      <c r="E678" s="116" t="n"/>
      <c r="F678" s="115" t="n"/>
      <c r="G678" s="117">
        <f>IF(COUNTA(B678:E678)=0,"",IF(COUNTA(B678:E678)&lt;4,"⚠ กรอกไม่ครบ",IF(NOT(ISNUMBER(B678)),"⚠ วันที่ไม่ถูกต้อง",IF(COUNTIFS(Setup!$L$6:$L$60,D678,Setup!$M$6:$M$60,C678)=0,"⚠ หมวดไม่ตรงประเภท","✓"))))</f>
        <v/>
      </c>
    </row>
    <row r="679">
      <c r="B679" s="113" t="n"/>
      <c r="C679" s="114" t="n"/>
      <c r="D679" s="115" t="n"/>
      <c r="E679" s="116" t="n"/>
      <c r="F679" s="115" t="n"/>
      <c r="G679" s="117">
        <f>IF(COUNTA(B679:E679)=0,"",IF(COUNTA(B679:E679)&lt;4,"⚠ กรอกไม่ครบ",IF(NOT(ISNUMBER(B679)),"⚠ วันที่ไม่ถูกต้อง",IF(COUNTIFS(Setup!$L$6:$L$60,D679,Setup!$M$6:$M$60,C679)=0,"⚠ หมวดไม่ตรงประเภท","✓"))))</f>
        <v/>
      </c>
    </row>
    <row r="680">
      <c r="B680" s="113" t="n"/>
      <c r="C680" s="114" t="n"/>
      <c r="D680" s="115" t="n"/>
      <c r="E680" s="116" t="n"/>
      <c r="F680" s="115" t="n"/>
      <c r="G680" s="117">
        <f>IF(COUNTA(B680:E680)=0,"",IF(COUNTA(B680:E680)&lt;4,"⚠ กรอกไม่ครบ",IF(NOT(ISNUMBER(B680)),"⚠ วันที่ไม่ถูกต้อง",IF(COUNTIFS(Setup!$L$6:$L$60,D680,Setup!$M$6:$M$60,C680)=0,"⚠ หมวดไม่ตรงประเภท","✓"))))</f>
        <v/>
      </c>
    </row>
    <row r="681">
      <c r="B681" s="113" t="n"/>
      <c r="C681" s="114" t="n"/>
      <c r="D681" s="115" t="n"/>
      <c r="E681" s="116" t="n"/>
      <c r="F681" s="115" t="n"/>
      <c r="G681" s="117">
        <f>IF(COUNTA(B681:E681)=0,"",IF(COUNTA(B681:E681)&lt;4,"⚠ กรอกไม่ครบ",IF(NOT(ISNUMBER(B681)),"⚠ วันที่ไม่ถูกต้อง",IF(COUNTIFS(Setup!$L$6:$L$60,D681,Setup!$M$6:$M$60,C681)=0,"⚠ หมวดไม่ตรงประเภท","✓"))))</f>
        <v/>
      </c>
    </row>
    <row r="682">
      <c r="B682" s="113" t="n"/>
      <c r="C682" s="114" t="n"/>
      <c r="D682" s="115" t="n"/>
      <c r="E682" s="116" t="n"/>
      <c r="F682" s="115" t="n"/>
      <c r="G682" s="117">
        <f>IF(COUNTA(B682:E682)=0,"",IF(COUNTA(B682:E682)&lt;4,"⚠ กรอกไม่ครบ",IF(NOT(ISNUMBER(B682)),"⚠ วันที่ไม่ถูกต้อง",IF(COUNTIFS(Setup!$L$6:$L$60,D682,Setup!$M$6:$M$60,C682)=0,"⚠ หมวดไม่ตรงประเภท","✓"))))</f>
        <v/>
      </c>
    </row>
    <row r="683">
      <c r="B683" s="113" t="n"/>
      <c r="C683" s="114" t="n"/>
      <c r="D683" s="115" t="n"/>
      <c r="E683" s="116" t="n"/>
      <c r="F683" s="115" t="n"/>
      <c r="G683" s="117">
        <f>IF(COUNTA(B683:E683)=0,"",IF(COUNTA(B683:E683)&lt;4,"⚠ กรอกไม่ครบ",IF(NOT(ISNUMBER(B683)),"⚠ วันที่ไม่ถูกต้อง",IF(COUNTIFS(Setup!$L$6:$L$60,D683,Setup!$M$6:$M$60,C683)=0,"⚠ หมวดไม่ตรงประเภท","✓"))))</f>
        <v/>
      </c>
    </row>
    <row r="684">
      <c r="B684" s="113" t="n"/>
      <c r="C684" s="114" t="n"/>
      <c r="D684" s="115" t="n"/>
      <c r="E684" s="116" t="n"/>
      <c r="F684" s="115" t="n"/>
      <c r="G684" s="117">
        <f>IF(COUNTA(B684:E684)=0,"",IF(COUNTA(B684:E684)&lt;4,"⚠ กรอกไม่ครบ",IF(NOT(ISNUMBER(B684)),"⚠ วันที่ไม่ถูกต้อง",IF(COUNTIFS(Setup!$L$6:$L$60,D684,Setup!$M$6:$M$60,C684)=0,"⚠ หมวดไม่ตรงประเภท","✓"))))</f>
        <v/>
      </c>
    </row>
    <row r="685">
      <c r="B685" s="113" t="n"/>
      <c r="C685" s="114" t="n"/>
      <c r="D685" s="115" t="n"/>
      <c r="E685" s="116" t="n"/>
      <c r="F685" s="115" t="n"/>
      <c r="G685" s="117">
        <f>IF(COUNTA(B685:E685)=0,"",IF(COUNTA(B685:E685)&lt;4,"⚠ กรอกไม่ครบ",IF(NOT(ISNUMBER(B685)),"⚠ วันที่ไม่ถูกต้อง",IF(COUNTIFS(Setup!$L$6:$L$60,D685,Setup!$M$6:$M$60,C685)=0,"⚠ หมวดไม่ตรงประเภท","✓"))))</f>
        <v/>
      </c>
    </row>
    <row r="686">
      <c r="B686" s="113" t="n"/>
      <c r="C686" s="114" t="n"/>
      <c r="D686" s="115" t="n"/>
      <c r="E686" s="116" t="n"/>
      <c r="F686" s="115" t="n"/>
      <c r="G686" s="117">
        <f>IF(COUNTA(B686:E686)=0,"",IF(COUNTA(B686:E686)&lt;4,"⚠ กรอกไม่ครบ",IF(NOT(ISNUMBER(B686)),"⚠ วันที่ไม่ถูกต้อง",IF(COUNTIFS(Setup!$L$6:$L$60,D686,Setup!$M$6:$M$60,C686)=0,"⚠ หมวดไม่ตรงประเภท","✓"))))</f>
        <v/>
      </c>
    </row>
    <row r="687">
      <c r="B687" s="113" t="n"/>
      <c r="C687" s="114" t="n"/>
      <c r="D687" s="115" t="n"/>
      <c r="E687" s="116" t="n"/>
      <c r="F687" s="115" t="n"/>
      <c r="G687" s="117">
        <f>IF(COUNTA(B687:E687)=0,"",IF(COUNTA(B687:E687)&lt;4,"⚠ กรอกไม่ครบ",IF(NOT(ISNUMBER(B687)),"⚠ วันที่ไม่ถูกต้อง",IF(COUNTIFS(Setup!$L$6:$L$60,D687,Setup!$M$6:$M$60,C687)=0,"⚠ หมวดไม่ตรงประเภท","✓"))))</f>
        <v/>
      </c>
    </row>
    <row r="688">
      <c r="B688" s="113" t="n"/>
      <c r="C688" s="114" t="n"/>
      <c r="D688" s="115" t="n"/>
      <c r="E688" s="116" t="n"/>
      <c r="F688" s="115" t="n"/>
      <c r="G688" s="117">
        <f>IF(COUNTA(B688:E688)=0,"",IF(COUNTA(B688:E688)&lt;4,"⚠ กรอกไม่ครบ",IF(NOT(ISNUMBER(B688)),"⚠ วันที่ไม่ถูกต้อง",IF(COUNTIFS(Setup!$L$6:$L$60,D688,Setup!$M$6:$M$60,C688)=0,"⚠ หมวดไม่ตรงประเภท","✓"))))</f>
        <v/>
      </c>
    </row>
    <row r="689">
      <c r="B689" s="113" t="n"/>
      <c r="C689" s="114" t="n"/>
      <c r="D689" s="115" t="n"/>
      <c r="E689" s="116" t="n"/>
      <c r="F689" s="115" t="n"/>
      <c r="G689" s="117">
        <f>IF(COUNTA(B689:E689)=0,"",IF(COUNTA(B689:E689)&lt;4,"⚠ กรอกไม่ครบ",IF(NOT(ISNUMBER(B689)),"⚠ วันที่ไม่ถูกต้อง",IF(COUNTIFS(Setup!$L$6:$L$60,D689,Setup!$M$6:$M$60,C689)=0,"⚠ หมวดไม่ตรงประเภท","✓"))))</f>
        <v/>
      </c>
    </row>
    <row r="690">
      <c r="B690" s="113" t="n"/>
      <c r="C690" s="114" t="n"/>
      <c r="D690" s="115" t="n"/>
      <c r="E690" s="116" t="n"/>
      <c r="F690" s="115" t="n"/>
      <c r="G690" s="117">
        <f>IF(COUNTA(B690:E690)=0,"",IF(COUNTA(B690:E690)&lt;4,"⚠ กรอกไม่ครบ",IF(NOT(ISNUMBER(B690)),"⚠ วันที่ไม่ถูกต้อง",IF(COUNTIFS(Setup!$L$6:$L$60,D690,Setup!$M$6:$M$60,C690)=0,"⚠ หมวดไม่ตรงประเภท","✓"))))</f>
        <v/>
      </c>
    </row>
    <row r="691">
      <c r="B691" s="113" t="n"/>
      <c r="C691" s="114" t="n"/>
      <c r="D691" s="115" t="n"/>
      <c r="E691" s="116" t="n"/>
      <c r="F691" s="115" t="n"/>
      <c r="G691" s="117">
        <f>IF(COUNTA(B691:E691)=0,"",IF(COUNTA(B691:E691)&lt;4,"⚠ กรอกไม่ครบ",IF(NOT(ISNUMBER(B691)),"⚠ วันที่ไม่ถูกต้อง",IF(COUNTIFS(Setup!$L$6:$L$60,D691,Setup!$M$6:$M$60,C691)=0,"⚠ หมวดไม่ตรงประเภท","✓"))))</f>
        <v/>
      </c>
    </row>
    <row r="692">
      <c r="B692" s="113" t="n"/>
      <c r="C692" s="114" t="n"/>
      <c r="D692" s="115" t="n"/>
      <c r="E692" s="116" t="n"/>
      <c r="F692" s="115" t="n"/>
      <c r="G692" s="117">
        <f>IF(COUNTA(B692:E692)=0,"",IF(COUNTA(B692:E692)&lt;4,"⚠ กรอกไม่ครบ",IF(NOT(ISNUMBER(B692)),"⚠ วันที่ไม่ถูกต้อง",IF(COUNTIFS(Setup!$L$6:$L$60,D692,Setup!$M$6:$M$60,C692)=0,"⚠ หมวดไม่ตรงประเภท","✓"))))</f>
        <v/>
      </c>
    </row>
    <row r="693">
      <c r="B693" s="113" t="n"/>
      <c r="C693" s="114" t="n"/>
      <c r="D693" s="115" t="n"/>
      <c r="E693" s="116" t="n"/>
      <c r="F693" s="115" t="n"/>
      <c r="G693" s="117">
        <f>IF(COUNTA(B693:E693)=0,"",IF(COUNTA(B693:E693)&lt;4,"⚠ กรอกไม่ครบ",IF(NOT(ISNUMBER(B693)),"⚠ วันที่ไม่ถูกต้อง",IF(COUNTIFS(Setup!$L$6:$L$60,D693,Setup!$M$6:$M$60,C693)=0,"⚠ หมวดไม่ตรงประเภท","✓"))))</f>
        <v/>
      </c>
    </row>
    <row r="694">
      <c r="B694" s="113" t="n"/>
      <c r="C694" s="114" t="n"/>
      <c r="D694" s="115" t="n"/>
      <c r="E694" s="116" t="n"/>
      <c r="F694" s="115" t="n"/>
      <c r="G694" s="117">
        <f>IF(COUNTA(B694:E694)=0,"",IF(COUNTA(B694:E694)&lt;4,"⚠ กรอกไม่ครบ",IF(NOT(ISNUMBER(B694)),"⚠ วันที่ไม่ถูกต้อง",IF(COUNTIFS(Setup!$L$6:$L$60,D694,Setup!$M$6:$M$60,C694)=0,"⚠ หมวดไม่ตรงประเภท","✓"))))</f>
        <v/>
      </c>
    </row>
    <row r="695">
      <c r="B695" s="113" t="n"/>
      <c r="C695" s="114" t="n"/>
      <c r="D695" s="115" t="n"/>
      <c r="E695" s="116" t="n"/>
      <c r="F695" s="115" t="n"/>
      <c r="G695" s="117">
        <f>IF(COUNTA(B695:E695)=0,"",IF(COUNTA(B695:E695)&lt;4,"⚠ กรอกไม่ครบ",IF(NOT(ISNUMBER(B695)),"⚠ วันที่ไม่ถูกต้อง",IF(COUNTIFS(Setup!$L$6:$L$60,D695,Setup!$M$6:$M$60,C695)=0,"⚠ หมวดไม่ตรงประเภท","✓"))))</f>
        <v/>
      </c>
    </row>
    <row r="696">
      <c r="B696" s="113" t="n"/>
      <c r="C696" s="114" t="n"/>
      <c r="D696" s="115" t="n"/>
      <c r="E696" s="116" t="n"/>
      <c r="F696" s="115" t="n"/>
      <c r="G696" s="117">
        <f>IF(COUNTA(B696:E696)=0,"",IF(COUNTA(B696:E696)&lt;4,"⚠ กรอกไม่ครบ",IF(NOT(ISNUMBER(B696)),"⚠ วันที่ไม่ถูกต้อง",IF(COUNTIFS(Setup!$L$6:$L$60,D696,Setup!$M$6:$M$60,C696)=0,"⚠ หมวดไม่ตรงประเภท","✓"))))</f>
        <v/>
      </c>
    </row>
    <row r="697">
      <c r="B697" s="113" t="n"/>
      <c r="C697" s="114" t="n"/>
      <c r="D697" s="115" t="n"/>
      <c r="E697" s="116" t="n"/>
      <c r="F697" s="115" t="n"/>
      <c r="G697" s="117">
        <f>IF(COUNTA(B697:E697)=0,"",IF(COUNTA(B697:E697)&lt;4,"⚠ กรอกไม่ครบ",IF(NOT(ISNUMBER(B697)),"⚠ วันที่ไม่ถูกต้อง",IF(COUNTIFS(Setup!$L$6:$L$60,D697,Setup!$M$6:$M$60,C697)=0,"⚠ หมวดไม่ตรงประเภท","✓"))))</f>
        <v/>
      </c>
    </row>
    <row r="698">
      <c r="B698" s="113" t="n"/>
      <c r="C698" s="114" t="n"/>
      <c r="D698" s="115" t="n"/>
      <c r="E698" s="116" t="n"/>
      <c r="F698" s="115" t="n"/>
      <c r="G698" s="117">
        <f>IF(COUNTA(B698:E698)=0,"",IF(COUNTA(B698:E698)&lt;4,"⚠ กรอกไม่ครบ",IF(NOT(ISNUMBER(B698)),"⚠ วันที่ไม่ถูกต้อง",IF(COUNTIFS(Setup!$L$6:$L$60,D698,Setup!$M$6:$M$60,C698)=0,"⚠ หมวดไม่ตรงประเภท","✓"))))</f>
        <v/>
      </c>
    </row>
    <row r="699">
      <c r="B699" s="113" t="n"/>
      <c r="C699" s="114" t="n"/>
      <c r="D699" s="115" t="n"/>
      <c r="E699" s="116" t="n"/>
      <c r="F699" s="115" t="n"/>
      <c r="G699" s="117">
        <f>IF(COUNTA(B699:E699)=0,"",IF(COUNTA(B699:E699)&lt;4,"⚠ กรอกไม่ครบ",IF(NOT(ISNUMBER(B699)),"⚠ วันที่ไม่ถูกต้อง",IF(COUNTIFS(Setup!$L$6:$L$60,D699,Setup!$M$6:$M$60,C699)=0,"⚠ หมวดไม่ตรงประเภท","✓"))))</f>
        <v/>
      </c>
    </row>
    <row r="700">
      <c r="B700" s="113" t="n"/>
      <c r="C700" s="114" t="n"/>
      <c r="D700" s="115" t="n"/>
      <c r="E700" s="116" t="n"/>
      <c r="F700" s="115" t="n"/>
      <c r="G700" s="117">
        <f>IF(COUNTA(B700:E700)=0,"",IF(COUNTA(B700:E700)&lt;4,"⚠ กรอกไม่ครบ",IF(NOT(ISNUMBER(B700)),"⚠ วันที่ไม่ถูกต้อง",IF(COUNTIFS(Setup!$L$6:$L$60,D700,Setup!$M$6:$M$60,C700)=0,"⚠ หมวดไม่ตรงประเภท","✓"))))</f>
        <v/>
      </c>
    </row>
    <row r="701">
      <c r="B701" s="113" t="n"/>
      <c r="C701" s="114" t="n"/>
      <c r="D701" s="115" t="n"/>
      <c r="E701" s="116" t="n"/>
      <c r="F701" s="115" t="n"/>
      <c r="G701" s="117">
        <f>IF(COUNTA(B701:E701)=0,"",IF(COUNTA(B701:E701)&lt;4,"⚠ กรอกไม่ครบ",IF(NOT(ISNUMBER(B701)),"⚠ วันที่ไม่ถูกต้อง",IF(COUNTIFS(Setup!$L$6:$L$60,D701,Setup!$M$6:$M$60,C701)=0,"⚠ หมวดไม่ตรงประเภท","✓"))))</f>
        <v/>
      </c>
    </row>
    <row r="702">
      <c r="B702" s="113" t="n"/>
      <c r="C702" s="114" t="n"/>
      <c r="D702" s="115" t="n"/>
      <c r="E702" s="116" t="n"/>
      <c r="F702" s="115" t="n"/>
      <c r="G702" s="117">
        <f>IF(COUNTA(B702:E702)=0,"",IF(COUNTA(B702:E702)&lt;4,"⚠ กรอกไม่ครบ",IF(NOT(ISNUMBER(B702)),"⚠ วันที่ไม่ถูกต้อง",IF(COUNTIFS(Setup!$L$6:$L$60,D702,Setup!$M$6:$M$60,C702)=0,"⚠ หมวดไม่ตรงประเภท","✓"))))</f>
        <v/>
      </c>
    </row>
    <row r="703">
      <c r="B703" s="113" t="n"/>
      <c r="C703" s="114" t="n"/>
      <c r="D703" s="115" t="n"/>
      <c r="E703" s="116" t="n"/>
      <c r="F703" s="115" t="n"/>
      <c r="G703" s="117">
        <f>IF(COUNTA(B703:E703)=0,"",IF(COUNTA(B703:E703)&lt;4,"⚠ กรอกไม่ครบ",IF(NOT(ISNUMBER(B703)),"⚠ วันที่ไม่ถูกต้อง",IF(COUNTIFS(Setup!$L$6:$L$60,D703,Setup!$M$6:$M$60,C703)=0,"⚠ หมวดไม่ตรงประเภท","✓"))))</f>
        <v/>
      </c>
    </row>
    <row r="704">
      <c r="B704" s="113" t="n"/>
      <c r="C704" s="114" t="n"/>
      <c r="D704" s="115" t="n"/>
      <c r="E704" s="116" t="n"/>
      <c r="F704" s="115" t="n"/>
      <c r="G704" s="117">
        <f>IF(COUNTA(B704:E704)=0,"",IF(COUNTA(B704:E704)&lt;4,"⚠ กรอกไม่ครบ",IF(NOT(ISNUMBER(B704)),"⚠ วันที่ไม่ถูกต้อง",IF(COUNTIFS(Setup!$L$6:$L$60,D704,Setup!$M$6:$M$60,C704)=0,"⚠ หมวดไม่ตรงประเภท","✓"))))</f>
        <v/>
      </c>
    </row>
    <row r="705">
      <c r="B705" s="113" t="n"/>
      <c r="C705" s="114" t="n"/>
      <c r="D705" s="115" t="n"/>
      <c r="E705" s="116" t="n"/>
      <c r="F705" s="115" t="n"/>
      <c r="G705" s="117">
        <f>IF(COUNTA(B705:E705)=0,"",IF(COUNTA(B705:E705)&lt;4,"⚠ กรอกไม่ครบ",IF(NOT(ISNUMBER(B705)),"⚠ วันที่ไม่ถูกต้อง",IF(COUNTIFS(Setup!$L$6:$L$60,D705,Setup!$M$6:$M$60,C705)=0,"⚠ หมวดไม่ตรงประเภท","✓"))))</f>
        <v/>
      </c>
    </row>
    <row r="706">
      <c r="B706" s="113" t="n"/>
      <c r="C706" s="114" t="n"/>
      <c r="D706" s="115" t="n"/>
      <c r="E706" s="116" t="n"/>
      <c r="F706" s="115" t="n"/>
      <c r="G706" s="117">
        <f>IF(COUNTA(B706:E706)=0,"",IF(COUNTA(B706:E706)&lt;4,"⚠ กรอกไม่ครบ",IF(NOT(ISNUMBER(B706)),"⚠ วันที่ไม่ถูกต้อง",IF(COUNTIFS(Setup!$L$6:$L$60,D706,Setup!$M$6:$M$60,C706)=0,"⚠ หมวดไม่ตรงประเภท","✓"))))</f>
        <v/>
      </c>
    </row>
    <row r="707">
      <c r="B707" s="113" t="n"/>
      <c r="C707" s="114" t="n"/>
      <c r="D707" s="115" t="n"/>
      <c r="E707" s="116" t="n"/>
      <c r="F707" s="115" t="n"/>
      <c r="G707" s="117">
        <f>IF(COUNTA(B707:E707)=0,"",IF(COUNTA(B707:E707)&lt;4,"⚠ กรอกไม่ครบ",IF(NOT(ISNUMBER(B707)),"⚠ วันที่ไม่ถูกต้อง",IF(COUNTIFS(Setup!$L$6:$L$60,D707,Setup!$M$6:$M$60,C707)=0,"⚠ หมวดไม่ตรงประเภท","✓"))))</f>
        <v/>
      </c>
    </row>
    <row r="708">
      <c r="B708" s="113" t="n"/>
      <c r="C708" s="114" t="n"/>
      <c r="D708" s="115" t="n"/>
      <c r="E708" s="116" t="n"/>
      <c r="F708" s="115" t="n"/>
      <c r="G708" s="117">
        <f>IF(COUNTA(B708:E708)=0,"",IF(COUNTA(B708:E708)&lt;4,"⚠ กรอกไม่ครบ",IF(NOT(ISNUMBER(B708)),"⚠ วันที่ไม่ถูกต้อง",IF(COUNTIFS(Setup!$L$6:$L$60,D708,Setup!$M$6:$M$60,C708)=0,"⚠ หมวดไม่ตรงประเภท","✓"))))</f>
        <v/>
      </c>
    </row>
    <row r="709">
      <c r="B709" s="113" t="n"/>
      <c r="C709" s="114" t="n"/>
      <c r="D709" s="115" t="n"/>
      <c r="E709" s="116" t="n"/>
      <c r="F709" s="115" t="n"/>
      <c r="G709" s="117">
        <f>IF(COUNTA(B709:E709)=0,"",IF(COUNTA(B709:E709)&lt;4,"⚠ กรอกไม่ครบ",IF(NOT(ISNUMBER(B709)),"⚠ วันที่ไม่ถูกต้อง",IF(COUNTIFS(Setup!$L$6:$L$60,D709,Setup!$M$6:$M$60,C709)=0,"⚠ หมวดไม่ตรงประเภท","✓"))))</f>
        <v/>
      </c>
    </row>
    <row r="710">
      <c r="B710" s="113" t="n"/>
      <c r="C710" s="114" t="n"/>
      <c r="D710" s="115" t="n"/>
      <c r="E710" s="116" t="n"/>
      <c r="F710" s="115" t="n"/>
      <c r="G710" s="117">
        <f>IF(COUNTA(B710:E710)=0,"",IF(COUNTA(B710:E710)&lt;4,"⚠ กรอกไม่ครบ",IF(NOT(ISNUMBER(B710)),"⚠ วันที่ไม่ถูกต้อง",IF(COUNTIFS(Setup!$L$6:$L$60,D710,Setup!$M$6:$M$60,C710)=0,"⚠ หมวดไม่ตรงประเภท","✓"))))</f>
        <v/>
      </c>
    </row>
    <row r="711">
      <c r="B711" s="113" t="n"/>
      <c r="C711" s="114" t="n"/>
      <c r="D711" s="115" t="n"/>
      <c r="E711" s="116" t="n"/>
      <c r="F711" s="115" t="n"/>
      <c r="G711" s="117">
        <f>IF(COUNTA(B711:E711)=0,"",IF(COUNTA(B711:E711)&lt;4,"⚠ กรอกไม่ครบ",IF(NOT(ISNUMBER(B711)),"⚠ วันที่ไม่ถูกต้อง",IF(COUNTIFS(Setup!$L$6:$L$60,D711,Setup!$M$6:$M$60,C711)=0,"⚠ หมวดไม่ตรงประเภท","✓"))))</f>
        <v/>
      </c>
    </row>
    <row r="712">
      <c r="B712" s="113" t="n"/>
      <c r="C712" s="114" t="n"/>
      <c r="D712" s="115" t="n"/>
      <c r="E712" s="116" t="n"/>
      <c r="F712" s="115" t="n"/>
      <c r="G712" s="117">
        <f>IF(COUNTA(B712:E712)=0,"",IF(COUNTA(B712:E712)&lt;4,"⚠ กรอกไม่ครบ",IF(NOT(ISNUMBER(B712)),"⚠ วันที่ไม่ถูกต้อง",IF(COUNTIFS(Setup!$L$6:$L$60,D712,Setup!$M$6:$M$60,C712)=0,"⚠ หมวดไม่ตรงประเภท","✓"))))</f>
        <v/>
      </c>
    </row>
    <row r="713">
      <c r="B713" s="113" t="n"/>
      <c r="C713" s="114" t="n"/>
      <c r="D713" s="115" t="n"/>
      <c r="E713" s="116" t="n"/>
      <c r="F713" s="115" t="n"/>
      <c r="G713" s="117">
        <f>IF(COUNTA(B713:E713)=0,"",IF(COUNTA(B713:E713)&lt;4,"⚠ กรอกไม่ครบ",IF(NOT(ISNUMBER(B713)),"⚠ วันที่ไม่ถูกต้อง",IF(COUNTIFS(Setup!$L$6:$L$60,D713,Setup!$M$6:$M$60,C713)=0,"⚠ หมวดไม่ตรงประเภท","✓"))))</f>
        <v/>
      </c>
    </row>
    <row r="714">
      <c r="B714" s="113" t="n"/>
      <c r="C714" s="114" t="n"/>
      <c r="D714" s="115" t="n"/>
      <c r="E714" s="116" t="n"/>
      <c r="F714" s="115" t="n"/>
      <c r="G714" s="117">
        <f>IF(COUNTA(B714:E714)=0,"",IF(COUNTA(B714:E714)&lt;4,"⚠ กรอกไม่ครบ",IF(NOT(ISNUMBER(B714)),"⚠ วันที่ไม่ถูกต้อง",IF(COUNTIFS(Setup!$L$6:$L$60,D714,Setup!$M$6:$M$60,C714)=0,"⚠ หมวดไม่ตรงประเภท","✓"))))</f>
        <v/>
      </c>
    </row>
    <row r="715">
      <c r="B715" s="113" t="n"/>
      <c r="C715" s="114" t="n"/>
      <c r="D715" s="115" t="n"/>
      <c r="E715" s="116" t="n"/>
      <c r="F715" s="115" t="n"/>
      <c r="G715" s="117">
        <f>IF(COUNTA(B715:E715)=0,"",IF(COUNTA(B715:E715)&lt;4,"⚠ กรอกไม่ครบ",IF(NOT(ISNUMBER(B715)),"⚠ วันที่ไม่ถูกต้อง",IF(COUNTIFS(Setup!$L$6:$L$60,D715,Setup!$M$6:$M$60,C715)=0,"⚠ หมวดไม่ตรงประเภท","✓"))))</f>
        <v/>
      </c>
    </row>
    <row r="716">
      <c r="B716" s="113" t="n"/>
      <c r="C716" s="114" t="n"/>
      <c r="D716" s="115" t="n"/>
      <c r="E716" s="116" t="n"/>
      <c r="F716" s="115" t="n"/>
      <c r="G716" s="117">
        <f>IF(COUNTA(B716:E716)=0,"",IF(COUNTA(B716:E716)&lt;4,"⚠ กรอกไม่ครบ",IF(NOT(ISNUMBER(B716)),"⚠ วันที่ไม่ถูกต้อง",IF(COUNTIFS(Setup!$L$6:$L$60,D716,Setup!$M$6:$M$60,C716)=0,"⚠ หมวดไม่ตรงประเภท","✓"))))</f>
        <v/>
      </c>
    </row>
    <row r="717">
      <c r="B717" s="113" t="n"/>
      <c r="C717" s="114" t="n"/>
      <c r="D717" s="115" t="n"/>
      <c r="E717" s="116" t="n"/>
      <c r="F717" s="115" t="n"/>
      <c r="G717" s="117">
        <f>IF(COUNTA(B717:E717)=0,"",IF(COUNTA(B717:E717)&lt;4,"⚠ กรอกไม่ครบ",IF(NOT(ISNUMBER(B717)),"⚠ วันที่ไม่ถูกต้อง",IF(COUNTIFS(Setup!$L$6:$L$60,D717,Setup!$M$6:$M$60,C717)=0,"⚠ หมวดไม่ตรงประเภท","✓"))))</f>
        <v/>
      </c>
    </row>
    <row r="718">
      <c r="B718" s="113" t="n"/>
      <c r="C718" s="114" t="n"/>
      <c r="D718" s="115" t="n"/>
      <c r="E718" s="116" t="n"/>
      <c r="F718" s="115" t="n"/>
      <c r="G718" s="117">
        <f>IF(COUNTA(B718:E718)=0,"",IF(COUNTA(B718:E718)&lt;4,"⚠ กรอกไม่ครบ",IF(NOT(ISNUMBER(B718)),"⚠ วันที่ไม่ถูกต้อง",IF(COUNTIFS(Setup!$L$6:$L$60,D718,Setup!$M$6:$M$60,C718)=0,"⚠ หมวดไม่ตรงประเภท","✓"))))</f>
        <v/>
      </c>
    </row>
    <row r="719">
      <c r="B719" s="113" t="n"/>
      <c r="C719" s="114" t="n"/>
      <c r="D719" s="115" t="n"/>
      <c r="E719" s="116" t="n"/>
      <c r="F719" s="115" t="n"/>
      <c r="G719" s="117">
        <f>IF(COUNTA(B719:E719)=0,"",IF(COUNTA(B719:E719)&lt;4,"⚠ กรอกไม่ครบ",IF(NOT(ISNUMBER(B719)),"⚠ วันที่ไม่ถูกต้อง",IF(COUNTIFS(Setup!$L$6:$L$60,D719,Setup!$M$6:$M$60,C719)=0,"⚠ หมวดไม่ตรงประเภท","✓"))))</f>
        <v/>
      </c>
    </row>
    <row r="720">
      <c r="B720" s="113" t="n"/>
      <c r="C720" s="114" t="n"/>
      <c r="D720" s="115" t="n"/>
      <c r="E720" s="116" t="n"/>
      <c r="F720" s="115" t="n"/>
      <c r="G720" s="117">
        <f>IF(COUNTA(B720:E720)=0,"",IF(COUNTA(B720:E720)&lt;4,"⚠ กรอกไม่ครบ",IF(NOT(ISNUMBER(B720)),"⚠ วันที่ไม่ถูกต้อง",IF(COUNTIFS(Setup!$L$6:$L$60,D720,Setup!$M$6:$M$60,C720)=0,"⚠ หมวดไม่ตรงประเภท","✓"))))</f>
        <v/>
      </c>
    </row>
    <row r="721">
      <c r="B721" s="113" t="n"/>
      <c r="C721" s="114" t="n"/>
      <c r="D721" s="115" t="n"/>
      <c r="E721" s="116" t="n"/>
      <c r="F721" s="115" t="n"/>
      <c r="G721" s="117">
        <f>IF(COUNTA(B721:E721)=0,"",IF(COUNTA(B721:E721)&lt;4,"⚠ กรอกไม่ครบ",IF(NOT(ISNUMBER(B721)),"⚠ วันที่ไม่ถูกต้อง",IF(COUNTIFS(Setup!$L$6:$L$60,D721,Setup!$M$6:$M$60,C721)=0,"⚠ หมวดไม่ตรงประเภท","✓"))))</f>
        <v/>
      </c>
    </row>
    <row r="722">
      <c r="B722" s="113" t="n"/>
      <c r="C722" s="114" t="n"/>
      <c r="D722" s="115" t="n"/>
      <c r="E722" s="116" t="n"/>
      <c r="F722" s="115" t="n"/>
      <c r="G722" s="117">
        <f>IF(COUNTA(B722:E722)=0,"",IF(COUNTA(B722:E722)&lt;4,"⚠ กรอกไม่ครบ",IF(NOT(ISNUMBER(B722)),"⚠ วันที่ไม่ถูกต้อง",IF(COUNTIFS(Setup!$L$6:$L$60,D722,Setup!$M$6:$M$60,C722)=0,"⚠ หมวดไม่ตรงประเภท","✓"))))</f>
        <v/>
      </c>
    </row>
    <row r="723">
      <c r="B723" s="113" t="n"/>
      <c r="C723" s="114" t="n"/>
      <c r="D723" s="115" t="n"/>
      <c r="E723" s="116" t="n"/>
      <c r="F723" s="115" t="n"/>
      <c r="G723" s="117">
        <f>IF(COUNTA(B723:E723)=0,"",IF(COUNTA(B723:E723)&lt;4,"⚠ กรอกไม่ครบ",IF(NOT(ISNUMBER(B723)),"⚠ วันที่ไม่ถูกต้อง",IF(COUNTIFS(Setup!$L$6:$L$60,D723,Setup!$M$6:$M$60,C723)=0,"⚠ หมวดไม่ตรงประเภท","✓"))))</f>
        <v/>
      </c>
    </row>
    <row r="724">
      <c r="B724" s="113" t="n"/>
      <c r="C724" s="114" t="n"/>
      <c r="D724" s="115" t="n"/>
      <c r="E724" s="116" t="n"/>
      <c r="F724" s="115" t="n"/>
      <c r="G724" s="117">
        <f>IF(COUNTA(B724:E724)=0,"",IF(COUNTA(B724:E724)&lt;4,"⚠ กรอกไม่ครบ",IF(NOT(ISNUMBER(B724)),"⚠ วันที่ไม่ถูกต้อง",IF(COUNTIFS(Setup!$L$6:$L$60,D724,Setup!$M$6:$M$60,C724)=0,"⚠ หมวดไม่ตรงประเภท","✓"))))</f>
        <v/>
      </c>
    </row>
    <row r="725">
      <c r="B725" s="113" t="n"/>
      <c r="C725" s="114" t="n"/>
      <c r="D725" s="115" t="n"/>
      <c r="E725" s="116" t="n"/>
      <c r="F725" s="115" t="n"/>
      <c r="G725" s="117">
        <f>IF(COUNTA(B725:E725)=0,"",IF(COUNTA(B725:E725)&lt;4,"⚠ กรอกไม่ครบ",IF(NOT(ISNUMBER(B725)),"⚠ วันที่ไม่ถูกต้อง",IF(COUNTIFS(Setup!$L$6:$L$60,D725,Setup!$M$6:$M$60,C725)=0,"⚠ หมวดไม่ตรงประเภท","✓"))))</f>
        <v/>
      </c>
    </row>
    <row r="726">
      <c r="B726" s="113" t="n"/>
      <c r="C726" s="114" t="n"/>
      <c r="D726" s="115" t="n"/>
      <c r="E726" s="116" t="n"/>
      <c r="F726" s="115" t="n"/>
      <c r="G726" s="117">
        <f>IF(COUNTA(B726:E726)=0,"",IF(COUNTA(B726:E726)&lt;4,"⚠ กรอกไม่ครบ",IF(NOT(ISNUMBER(B726)),"⚠ วันที่ไม่ถูกต้อง",IF(COUNTIFS(Setup!$L$6:$L$60,D726,Setup!$M$6:$M$60,C726)=0,"⚠ หมวดไม่ตรงประเภท","✓"))))</f>
        <v/>
      </c>
    </row>
    <row r="727">
      <c r="B727" s="113" t="n"/>
      <c r="C727" s="114" t="n"/>
      <c r="D727" s="115" t="n"/>
      <c r="E727" s="116" t="n"/>
      <c r="F727" s="115" t="n"/>
      <c r="G727" s="117">
        <f>IF(COUNTA(B727:E727)=0,"",IF(COUNTA(B727:E727)&lt;4,"⚠ กรอกไม่ครบ",IF(NOT(ISNUMBER(B727)),"⚠ วันที่ไม่ถูกต้อง",IF(COUNTIFS(Setup!$L$6:$L$60,D727,Setup!$M$6:$M$60,C727)=0,"⚠ หมวดไม่ตรงประเภท","✓"))))</f>
        <v/>
      </c>
    </row>
    <row r="728">
      <c r="B728" s="113" t="n"/>
      <c r="C728" s="114" t="n"/>
      <c r="D728" s="115" t="n"/>
      <c r="E728" s="116" t="n"/>
      <c r="F728" s="115" t="n"/>
      <c r="G728" s="117">
        <f>IF(COUNTA(B728:E728)=0,"",IF(COUNTA(B728:E728)&lt;4,"⚠ กรอกไม่ครบ",IF(NOT(ISNUMBER(B728)),"⚠ วันที่ไม่ถูกต้อง",IF(COUNTIFS(Setup!$L$6:$L$60,D728,Setup!$M$6:$M$60,C728)=0,"⚠ หมวดไม่ตรงประเภท","✓"))))</f>
        <v/>
      </c>
    </row>
    <row r="729">
      <c r="B729" s="113" t="n"/>
      <c r="C729" s="114" t="n"/>
      <c r="D729" s="115" t="n"/>
      <c r="E729" s="116" t="n"/>
      <c r="F729" s="115" t="n"/>
      <c r="G729" s="117">
        <f>IF(COUNTA(B729:E729)=0,"",IF(COUNTA(B729:E729)&lt;4,"⚠ กรอกไม่ครบ",IF(NOT(ISNUMBER(B729)),"⚠ วันที่ไม่ถูกต้อง",IF(COUNTIFS(Setup!$L$6:$L$60,D729,Setup!$M$6:$M$60,C729)=0,"⚠ หมวดไม่ตรงประเภท","✓"))))</f>
        <v/>
      </c>
    </row>
    <row r="730">
      <c r="B730" s="113" t="n"/>
      <c r="C730" s="114" t="n"/>
      <c r="D730" s="115" t="n"/>
      <c r="E730" s="116" t="n"/>
      <c r="F730" s="115" t="n"/>
      <c r="G730" s="117">
        <f>IF(COUNTA(B730:E730)=0,"",IF(COUNTA(B730:E730)&lt;4,"⚠ กรอกไม่ครบ",IF(NOT(ISNUMBER(B730)),"⚠ วันที่ไม่ถูกต้อง",IF(COUNTIFS(Setup!$L$6:$L$60,D730,Setup!$M$6:$M$60,C730)=0,"⚠ หมวดไม่ตรงประเภท","✓"))))</f>
        <v/>
      </c>
    </row>
    <row r="731">
      <c r="B731" s="113" t="n"/>
      <c r="C731" s="114" t="n"/>
      <c r="D731" s="115" t="n"/>
      <c r="E731" s="116" t="n"/>
      <c r="F731" s="115" t="n"/>
      <c r="G731" s="117">
        <f>IF(COUNTA(B731:E731)=0,"",IF(COUNTA(B731:E731)&lt;4,"⚠ กรอกไม่ครบ",IF(NOT(ISNUMBER(B731)),"⚠ วันที่ไม่ถูกต้อง",IF(COUNTIFS(Setup!$L$6:$L$60,D731,Setup!$M$6:$M$60,C731)=0,"⚠ หมวดไม่ตรงประเภท","✓"))))</f>
        <v/>
      </c>
    </row>
    <row r="732">
      <c r="B732" s="113" t="n"/>
      <c r="C732" s="114" t="n"/>
      <c r="D732" s="115" t="n"/>
      <c r="E732" s="116" t="n"/>
      <c r="F732" s="115" t="n"/>
      <c r="G732" s="117">
        <f>IF(COUNTA(B732:E732)=0,"",IF(COUNTA(B732:E732)&lt;4,"⚠ กรอกไม่ครบ",IF(NOT(ISNUMBER(B732)),"⚠ วันที่ไม่ถูกต้อง",IF(COUNTIFS(Setup!$L$6:$L$60,D732,Setup!$M$6:$M$60,C732)=0,"⚠ หมวดไม่ตรงประเภท","✓"))))</f>
        <v/>
      </c>
    </row>
    <row r="733">
      <c r="B733" s="113" t="n"/>
      <c r="C733" s="114" t="n"/>
      <c r="D733" s="115" t="n"/>
      <c r="E733" s="116" t="n"/>
      <c r="F733" s="115" t="n"/>
      <c r="G733" s="117">
        <f>IF(COUNTA(B733:E733)=0,"",IF(COUNTA(B733:E733)&lt;4,"⚠ กรอกไม่ครบ",IF(NOT(ISNUMBER(B733)),"⚠ วันที่ไม่ถูกต้อง",IF(COUNTIFS(Setup!$L$6:$L$60,D733,Setup!$M$6:$M$60,C733)=0,"⚠ หมวดไม่ตรงประเภท","✓"))))</f>
        <v/>
      </c>
    </row>
    <row r="734">
      <c r="B734" s="113" t="n"/>
      <c r="C734" s="114" t="n"/>
      <c r="D734" s="115" t="n"/>
      <c r="E734" s="116" t="n"/>
      <c r="F734" s="115" t="n"/>
      <c r="G734" s="117">
        <f>IF(COUNTA(B734:E734)=0,"",IF(COUNTA(B734:E734)&lt;4,"⚠ กรอกไม่ครบ",IF(NOT(ISNUMBER(B734)),"⚠ วันที่ไม่ถูกต้อง",IF(COUNTIFS(Setup!$L$6:$L$60,D734,Setup!$M$6:$M$60,C734)=0,"⚠ หมวดไม่ตรงประเภท","✓"))))</f>
        <v/>
      </c>
    </row>
    <row r="735">
      <c r="B735" s="113" t="n"/>
      <c r="C735" s="114" t="n"/>
      <c r="D735" s="115" t="n"/>
      <c r="E735" s="116" t="n"/>
      <c r="F735" s="115" t="n"/>
      <c r="G735" s="117">
        <f>IF(COUNTA(B735:E735)=0,"",IF(COUNTA(B735:E735)&lt;4,"⚠ กรอกไม่ครบ",IF(NOT(ISNUMBER(B735)),"⚠ วันที่ไม่ถูกต้อง",IF(COUNTIFS(Setup!$L$6:$L$60,D735,Setup!$M$6:$M$60,C735)=0,"⚠ หมวดไม่ตรงประเภท","✓"))))</f>
        <v/>
      </c>
    </row>
    <row r="736">
      <c r="B736" s="113" t="n"/>
      <c r="C736" s="114" t="n"/>
      <c r="D736" s="115" t="n"/>
      <c r="E736" s="116" t="n"/>
      <c r="F736" s="115" t="n"/>
      <c r="G736" s="117">
        <f>IF(COUNTA(B736:E736)=0,"",IF(COUNTA(B736:E736)&lt;4,"⚠ กรอกไม่ครบ",IF(NOT(ISNUMBER(B736)),"⚠ วันที่ไม่ถูกต้อง",IF(COUNTIFS(Setup!$L$6:$L$60,D736,Setup!$M$6:$M$60,C736)=0,"⚠ หมวดไม่ตรงประเภท","✓"))))</f>
        <v/>
      </c>
    </row>
    <row r="737">
      <c r="B737" s="113" t="n"/>
      <c r="C737" s="114" t="n"/>
      <c r="D737" s="115" t="n"/>
      <c r="E737" s="116" t="n"/>
      <c r="F737" s="115" t="n"/>
      <c r="G737" s="117">
        <f>IF(COUNTA(B737:E737)=0,"",IF(COUNTA(B737:E737)&lt;4,"⚠ กรอกไม่ครบ",IF(NOT(ISNUMBER(B737)),"⚠ วันที่ไม่ถูกต้อง",IF(COUNTIFS(Setup!$L$6:$L$60,D737,Setup!$M$6:$M$60,C737)=0,"⚠ หมวดไม่ตรงประเภท","✓"))))</f>
        <v/>
      </c>
    </row>
    <row r="738">
      <c r="B738" s="113" t="n"/>
      <c r="C738" s="114" t="n"/>
      <c r="D738" s="115" t="n"/>
      <c r="E738" s="116" t="n"/>
      <c r="F738" s="115" t="n"/>
      <c r="G738" s="117">
        <f>IF(COUNTA(B738:E738)=0,"",IF(COUNTA(B738:E738)&lt;4,"⚠ กรอกไม่ครบ",IF(NOT(ISNUMBER(B738)),"⚠ วันที่ไม่ถูกต้อง",IF(COUNTIFS(Setup!$L$6:$L$60,D738,Setup!$M$6:$M$60,C738)=0,"⚠ หมวดไม่ตรงประเภท","✓"))))</f>
        <v/>
      </c>
    </row>
    <row r="739">
      <c r="B739" s="113" t="n"/>
      <c r="C739" s="114" t="n"/>
      <c r="D739" s="115" t="n"/>
      <c r="E739" s="116" t="n"/>
      <c r="F739" s="115" t="n"/>
      <c r="G739" s="117">
        <f>IF(COUNTA(B739:E739)=0,"",IF(COUNTA(B739:E739)&lt;4,"⚠ กรอกไม่ครบ",IF(NOT(ISNUMBER(B739)),"⚠ วันที่ไม่ถูกต้อง",IF(COUNTIFS(Setup!$L$6:$L$60,D739,Setup!$M$6:$M$60,C739)=0,"⚠ หมวดไม่ตรงประเภท","✓"))))</f>
        <v/>
      </c>
    </row>
    <row r="740">
      <c r="B740" s="113" t="n"/>
      <c r="C740" s="114" t="n"/>
      <c r="D740" s="115" t="n"/>
      <c r="E740" s="116" t="n"/>
      <c r="F740" s="115" t="n"/>
      <c r="G740" s="117">
        <f>IF(COUNTA(B740:E740)=0,"",IF(COUNTA(B740:E740)&lt;4,"⚠ กรอกไม่ครบ",IF(NOT(ISNUMBER(B740)),"⚠ วันที่ไม่ถูกต้อง",IF(COUNTIFS(Setup!$L$6:$L$60,D740,Setup!$M$6:$M$60,C740)=0,"⚠ หมวดไม่ตรงประเภท","✓"))))</f>
        <v/>
      </c>
    </row>
    <row r="741">
      <c r="B741" s="113" t="n"/>
      <c r="C741" s="114" t="n"/>
      <c r="D741" s="115" t="n"/>
      <c r="E741" s="116" t="n"/>
      <c r="F741" s="115" t="n"/>
      <c r="G741" s="117">
        <f>IF(COUNTA(B741:E741)=0,"",IF(COUNTA(B741:E741)&lt;4,"⚠ กรอกไม่ครบ",IF(NOT(ISNUMBER(B741)),"⚠ วันที่ไม่ถูกต้อง",IF(COUNTIFS(Setup!$L$6:$L$60,D741,Setup!$M$6:$M$60,C741)=0,"⚠ หมวดไม่ตรงประเภท","✓"))))</f>
        <v/>
      </c>
    </row>
    <row r="742">
      <c r="B742" s="113" t="n"/>
      <c r="C742" s="114" t="n"/>
      <c r="D742" s="115" t="n"/>
      <c r="E742" s="116" t="n"/>
      <c r="F742" s="115" t="n"/>
      <c r="G742" s="117">
        <f>IF(COUNTA(B742:E742)=0,"",IF(COUNTA(B742:E742)&lt;4,"⚠ กรอกไม่ครบ",IF(NOT(ISNUMBER(B742)),"⚠ วันที่ไม่ถูกต้อง",IF(COUNTIFS(Setup!$L$6:$L$60,D742,Setup!$M$6:$M$60,C742)=0,"⚠ หมวดไม่ตรงประเภท","✓"))))</f>
        <v/>
      </c>
    </row>
    <row r="743">
      <c r="B743" s="113" t="n"/>
      <c r="C743" s="114" t="n"/>
      <c r="D743" s="115" t="n"/>
      <c r="E743" s="116" t="n"/>
      <c r="F743" s="115" t="n"/>
      <c r="G743" s="117">
        <f>IF(COUNTA(B743:E743)=0,"",IF(COUNTA(B743:E743)&lt;4,"⚠ กรอกไม่ครบ",IF(NOT(ISNUMBER(B743)),"⚠ วันที่ไม่ถูกต้อง",IF(COUNTIFS(Setup!$L$6:$L$60,D743,Setup!$M$6:$M$60,C743)=0,"⚠ หมวดไม่ตรงประเภท","✓"))))</f>
        <v/>
      </c>
    </row>
    <row r="744">
      <c r="B744" s="113" t="n"/>
      <c r="C744" s="114" t="n"/>
      <c r="D744" s="115" t="n"/>
      <c r="E744" s="116" t="n"/>
      <c r="F744" s="115" t="n"/>
      <c r="G744" s="117">
        <f>IF(COUNTA(B744:E744)=0,"",IF(COUNTA(B744:E744)&lt;4,"⚠ กรอกไม่ครบ",IF(NOT(ISNUMBER(B744)),"⚠ วันที่ไม่ถูกต้อง",IF(COUNTIFS(Setup!$L$6:$L$60,D744,Setup!$M$6:$M$60,C744)=0,"⚠ หมวดไม่ตรงประเภท","✓"))))</f>
        <v/>
      </c>
    </row>
    <row r="745">
      <c r="B745" s="113" t="n"/>
      <c r="C745" s="114" t="n"/>
      <c r="D745" s="115" t="n"/>
      <c r="E745" s="116" t="n"/>
      <c r="F745" s="115" t="n"/>
      <c r="G745" s="117">
        <f>IF(COUNTA(B745:E745)=0,"",IF(COUNTA(B745:E745)&lt;4,"⚠ กรอกไม่ครบ",IF(NOT(ISNUMBER(B745)),"⚠ วันที่ไม่ถูกต้อง",IF(COUNTIFS(Setup!$L$6:$L$60,D745,Setup!$M$6:$M$60,C745)=0,"⚠ หมวดไม่ตรงประเภท","✓"))))</f>
        <v/>
      </c>
    </row>
    <row r="746">
      <c r="B746" s="113" t="n"/>
      <c r="C746" s="114" t="n"/>
      <c r="D746" s="115" t="n"/>
      <c r="E746" s="116" t="n"/>
      <c r="F746" s="115" t="n"/>
      <c r="G746" s="117">
        <f>IF(COUNTA(B746:E746)=0,"",IF(COUNTA(B746:E746)&lt;4,"⚠ กรอกไม่ครบ",IF(NOT(ISNUMBER(B746)),"⚠ วันที่ไม่ถูกต้อง",IF(COUNTIFS(Setup!$L$6:$L$60,D746,Setup!$M$6:$M$60,C746)=0,"⚠ หมวดไม่ตรงประเภท","✓"))))</f>
        <v/>
      </c>
    </row>
    <row r="747">
      <c r="B747" s="113" t="n"/>
      <c r="C747" s="114" t="n"/>
      <c r="D747" s="115" t="n"/>
      <c r="E747" s="116" t="n"/>
      <c r="F747" s="115" t="n"/>
      <c r="G747" s="117">
        <f>IF(COUNTA(B747:E747)=0,"",IF(COUNTA(B747:E747)&lt;4,"⚠ กรอกไม่ครบ",IF(NOT(ISNUMBER(B747)),"⚠ วันที่ไม่ถูกต้อง",IF(COUNTIFS(Setup!$L$6:$L$60,D747,Setup!$M$6:$M$60,C747)=0,"⚠ หมวดไม่ตรงประเภท","✓"))))</f>
        <v/>
      </c>
    </row>
    <row r="748">
      <c r="B748" s="113" t="n"/>
      <c r="C748" s="114" t="n"/>
      <c r="D748" s="115" t="n"/>
      <c r="E748" s="116" t="n"/>
      <c r="F748" s="115" t="n"/>
      <c r="G748" s="117">
        <f>IF(COUNTA(B748:E748)=0,"",IF(COUNTA(B748:E748)&lt;4,"⚠ กรอกไม่ครบ",IF(NOT(ISNUMBER(B748)),"⚠ วันที่ไม่ถูกต้อง",IF(COUNTIFS(Setup!$L$6:$L$60,D748,Setup!$M$6:$M$60,C748)=0,"⚠ หมวดไม่ตรงประเภท","✓"))))</f>
        <v/>
      </c>
    </row>
    <row r="749">
      <c r="B749" s="113" t="n"/>
      <c r="C749" s="114" t="n"/>
      <c r="D749" s="115" t="n"/>
      <c r="E749" s="116" t="n"/>
      <c r="F749" s="115" t="n"/>
      <c r="G749" s="117">
        <f>IF(COUNTA(B749:E749)=0,"",IF(COUNTA(B749:E749)&lt;4,"⚠ กรอกไม่ครบ",IF(NOT(ISNUMBER(B749)),"⚠ วันที่ไม่ถูกต้อง",IF(COUNTIFS(Setup!$L$6:$L$60,D749,Setup!$M$6:$M$60,C749)=0,"⚠ หมวดไม่ตรงประเภท","✓"))))</f>
        <v/>
      </c>
    </row>
    <row r="750">
      <c r="B750" s="113" t="n"/>
      <c r="C750" s="114" t="n"/>
      <c r="D750" s="115" t="n"/>
      <c r="E750" s="116" t="n"/>
      <c r="F750" s="115" t="n"/>
      <c r="G750" s="117">
        <f>IF(COUNTA(B750:E750)=0,"",IF(COUNTA(B750:E750)&lt;4,"⚠ กรอกไม่ครบ",IF(NOT(ISNUMBER(B750)),"⚠ วันที่ไม่ถูกต้อง",IF(COUNTIFS(Setup!$L$6:$L$60,D750,Setup!$M$6:$M$60,C750)=0,"⚠ หมวดไม่ตรงประเภท","✓"))))</f>
        <v/>
      </c>
    </row>
    <row r="751">
      <c r="B751" s="113" t="n"/>
      <c r="C751" s="114" t="n"/>
      <c r="D751" s="115" t="n"/>
      <c r="E751" s="116" t="n"/>
      <c r="F751" s="115" t="n"/>
      <c r="G751" s="117">
        <f>IF(COUNTA(B751:E751)=0,"",IF(COUNTA(B751:E751)&lt;4,"⚠ กรอกไม่ครบ",IF(NOT(ISNUMBER(B751)),"⚠ วันที่ไม่ถูกต้อง",IF(COUNTIFS(Setup!$L$6:$L$60,D751,Setup!$M$6:$M$60,C751)=0,"⚠ หมวดไม่ตรงประเภท","✓"))))</f>
        <v/>
      </c>
    </row>
    <row r="752">
      <c r="B752" s="113" t="n"/>
      <c r="C752" s="114" t="n"/>
      <c r="D752" s="115" t="n"/>
      <c r="E752" s="116" t="n"/>
      <c r="F752" s="115" t="n"/>
      <c r="G752" s="117">
        <f>IF(COUNTA(B752:E752)=0,"",IF(COUNTA(B752:E752)&lt;4,"⚠ กรอกไม่ครบ",IF(NOT(ISNUMBER(B752)),"⚠ วันที่ไม่ถูกต้อง",IF(COUNTIFS(Setup!$L$6:$L$60,D752,Setup!$M$6:$M$60,C752)=0,"⚠ หมวดไม่ตรงประเภท","✓"))))</f>
        <v/>
      </c>
    </row>
    <row r="753">
      <c r="B753" s="113" t="n"/>
      <c r="C753" s="114" t="n"/>
      <c r="D753" s="115" t="n"/>
      <c r="E753" s="116" t="n"/>
      <c r="F753" s="115" t="n"/>
      <c r="G753" s="117">
        <f>IF(COUNTA(B753:E753)=0,"",IF(COUNTA(B753:E753)&lt;4,"⚠ กรอกไม่ครบ",IF(NOT(ISNUMBER(B753)),"⚠ วันที่ไม่ถูกต้อง",IF(COUNTIFS(Setup!$L$6:$L$60,D753,Setup!$M$6:$M$60,C753)=0,"⚠ หมวดไม่ตรงประเภท","✓"))))</f>
        <v/>
      </c>
    </row>
    <row r="754">
      <c r="B754" s="113" t="n"/>
      <c r="C754" s="114" t="n"/>
      <c r="D754" s="115" t="n"/>
      <c r="E754" s="116" t="n"/>
      <c r="F754" s="115" t="n"/>
      <c r="G754" s="117">
        <f>IF(COUNTA(B754:E754)=0,"",IF(COUNTA(B754:E754)&lt;4,"⚠ กรอกไม่ครบ",IF(NOT(ISNUMBER(B754)),"⚠ วันที่ไม่ถูกต้อง",IF(COUNTIFS(Setup!$L$6:$L$60,D754,Setup!$M$6:$M$60,C754)=0,"⚠ หมวดไม่ตรงประเภท","✓"))))</f>
        <v/>
      </c>
    </row>
    <row r="755">
      <c r="B755" s="113" t="n"/>
      <c r="C755" s="114" t="n"/>
      <c r="D755" s="115" t="n"/>
      <c r="E755" s="116" t="n"/>
      <c r="F755" s="115" t="n"/>
      <c r="G755" s="117">
        <f>IF(COUNTA(B755:E755)=0,"",IF(COUNTA(B755:E755)&lt;4,"⚠ กรอกไม่ครบ",IF(NOT(ISNUMBER(B755)),"⚠ วันที่ไม่ถูกต้อง",IF(COUNTIFS(Setup!$L$6:$L$60,D755,Setup!$M$6:$M$60,C755)=0,"⚠ หมวดไม่ตรงประเภท","✓"))))</f>
        <v/>
      </c>
    </row>
    <row r="756">
      <c r="B756" s="113" t="n"/>
      <c r="C756" s="114" t="n"/>
      <c r="D756" s="115" t="n"/>
      <c r="E756" s="116" t="n"/>
      <c r="F756" s="115" t="n"/>
      <c r="G756" s="117">
        <f>IF(COUNTA(B756:E756)=0,"",IF(COUNTA(B756:E756)&lt;4,"⚠ กรอกไม่ครบ",IF(NOT(ISNUMBER(B756)),"⚠ วันที่ไม่ถูกต้อง",IF(COUNTIFS(Setup!$L$6:$L$60,D756,Setup!$M$6:$M$60,C756)=0,"⚠ หมวดไม่ตรงประเภท","✓"))))</f>
        <v/>
      </c>
    </row>
    <row r="757">
      <c r="B757" s="113" t="n"/>
      <c r="C757" s="114" t="n"/>
      <c r="D757" s="115" t="n"/>
      <c r="E757" s="116" t="n"/>
      <c r="F757" s="115" t="n"/>
      <c r="G757" s="117">
        <f>IF(COUNTA(B757:E757)=0,"",IF(COUNTA(B757:E757)&lt;4,"⚠ กรอกไม่ครบ",IF(NOT(ISNUMBER(B757)),"⚠ วันที่ไม่ถูกต้อง",IF(COUNTIFS(Setup!$L$6:$L$60,D757,Setup!$M$6:$M$60,C757)=0,"⚠ หมวดไม่ตรงประเภท","✓"))))</f>
        <v/>
      </c>
    </row>
    <row r="758">
      <c r="B758" s="113" t="n"/>
      <c r="C758" s="114" t="n"/>
      <c r="D758" s="115" t="n"/>
      <c r="E758" s="116" t="n"/>
      <c r="F758" s="115" t="n"/>
      <c r="G758" s="117">
        <f>IF(COUNTA(B758:E758)=0,"",IF(COUNTA(B758:E758)&lt;4,"⚠ กรอกไม่ครบ",IF(NOT(ISNUMBER(B758)),"⚠ วันที่ไม่ถูกต้อง",IF(COUNTIFS(Setup!$L$6:$L$60,D758,Setup!$M$6:$M$60,C758)=0,"⚠ หมวดไม่ตรงประเภท","✓"))))</f>
        <v/>
      </c>
    </row>
    <row r="759">
      <c r="B759" s="113" t="n"/>
      <c r="C759" s="114" t="n"/>
      <c r="D759" s="115" t="n"/>
      <c r="E759" s="116" t="n"/>
      <c r="F759" s="115" t="n"/>
      <c r="G759" s="117">
        <f>IF(COUNTA(B759:E759)=0,"",IF(COUNTA(B759:E759)&lt;4,"⚠ กรอกไม่ครบ",IF(NOT(ISNUMBER(B759)),"⚠ วันที่ไม่ถูกต้อง",IF(COUNTIFS(Setup!$L$6:$L$60,D759,Setup!$M$6:$M$60,C759)=0,"⚠ หมวดไม่ตรงประเภท","✓"))))</f>
        <v/>
      </c>
    </row>
    <row r="760">
      <c r="B760" s="113" t="n"/>
      <c r="C760" s="114" t="n"/>
      <c r="D760" s="115" t="n"/>
      <c r="E760" s="116" t="n"/>
      <c r="F760" s="115" t="n"/>
      <c r="G760" s="117">
        <f>IF(COUNTA(B760:E760)=0,"",IF(COUNTA(B760:E760)&lt;4,"⚠ กรอกไม่ครบ",IF(NOT(ISNUMBER(B760)),"⚠ วันที่ไม่ถูกต้อง",IF(COUNTIFS(Setup!$L$6:$L$60,D760,Setup!$M$6:$M$60,C760)=0,"⚠ หมวดไม่ตรงประเภท","✓"))))</f>
        <v/>
      </c>
    </row>
    <row r="761">
      <c r="B761" s="113" t="n"/>
      <c r="C761" s="114" t="n"/>
      <c r="D761" s="115" t="n"/>
      <c r="E761" s="116" t="n"/>
      <c r="F761" s="115" t="n"/>
      <c r="G761" s="117">
        <f>IF(COUNTA(B761:E761)=0,"",IF(COUNTA(B761:E761)&lt;4,"⚠ กรอกไม่ครบ",IF(NOT(ISNUMBER(B761)),"⚠ วันที่ไม่ถูกต้อง",IF(COUNTIFS(Setup!$L$6:$L$60,D761,Setup!$M$6:$M$60,C761)=0,"⚠ หมวดไม่ตรงประเภท","✓"))))</f>
        <v/>
      </c>
    </row>
    <row r="762">
      <c r="B762" s="113" t="n"/>
      <c r="C762" s="114" t="n"/>
      <c r="D762" s="115" t="n"/>
      <c r="E762" s="116" t="n"/>
      <c r="F762" s="115" t="n"/>
      <c r="G762" s="117">
        <f>IF(COUNTA(B762:E762)=0,"",IF(COUNTA(B762:E762)&lt;4,"⚠ กรอกไม่ครบ",IF(NOT(ISNUMBER(B762)),"⚠ วันที่ไม่ถูกต้อง",IF(COUNTIFS(Setup!$L$6:$L$60,D762,Setup!$M$6:$M$60,C762)=0,"⚠ หมวดไม่ตรงประเภท","✓"))))</f>
        <v/>
      </c>
    </row>
    <row r="763">
      <c r="B763" s="113" t="n"/>
      <c r="C763" s="114" t="n"/>
      <c r="D763" s="115" t="n"/>
      <c r="E763" s="116" t="n"/>
      <c r="F763" s="115" t="n"/>
      <c r="G763" s="117">
        <f>IF(COUNTA(B763:E763)=0,"",IF(COUNTA(B763:E763)&lt;4,"⚠ กรอกไม่ครบ",IF(NOT(ISNUMBER(B763)),"⚠ วันที่ไม่ถูกต้อง",IF(COUNTIFS(Setup!$L$6:$L$60,D763,Setup!$M$6:$M$60,C763)=0,"⚠ หมวดไม่ตรงประเภท","✓"))))</f>
        <v/>
      </c>
    </row>
    <row r="764">
      <c r="B764" s="113" t="n"/>
      <c r="C764" s="114" t="n"/>
      <c r="D764" s="115" t="n"/>
      <c r="E764" s="116" t="n"/>
      <c r="F764" s="115" t="n"/>
      <c r="G764" s="117">
        <f>IF(COUNTA(B764:E764)=0,"",IF(COUNTA(B764:E764)&lt;4,"⚠ กรอกไม่ครบ",IF(NOT(ISNUMBER(B764)),"⚠ วันที่ไม่ถูกต้อง",IF(COUNTIFS(Setup!$L$6:$L$60,D764,Setup!$M$6:$M$60,C764)=0,"⚠ หมวดไม่ตรงประเภท","✓"))))</f>
        <v/>
      </c>
    </row>
    <row r="765">
      <c r="B765" s="113" t="n"/>
      <c r="C765" s="114" t="n"/>
      <c r="D765" s="115" t="n"/>
      <c r="E765" s="116" t="n"/>
      <c r="F765" s="115" t="n"/>
      <c r="G765" s="117">
        <f>IF(COUNTA(B765:E765)=0,"",IF(COUNTA(B765:E765)&lt;4,"⚠ กรอกไม่ครบ",IF(NOT(ISNUMBER(B765)),"⚠ วันที่ไม่ถูกต้อง",IF(COUNTIFS(Setup!$L$6:$L$60,D765,Setup!$M$6:$M$60,C765)=0,"⚠ หมวดไม่ตรงประเภท","✓"))))</f>
        <v/>
      </c>
    </row>
    <row r="766">
      <c r="B766" s="113" t="n"/>
      <c r="C766" s="114" t="n"/>
      <c r="D766" s="115" t="n"/>
      <c r="E766" s="116" t="n"/>
      <c r="F766" s="115" t="n"/>
      <c r="G766" s="117">
        <f>IF(COUNTA(B766:E766)=0,"",IF(COUNTA(B766:E766)&lt;4,"⚠ กรอกไม่ครบ",IF(NOT(ISNUMBER(B766)),"⚠ วันที่ไม่ถูกต้อง",IF(COUNTIFS(Setup!$L$6:$L$60,D766,Setup!$M$6:$M$60,C766)=0,"⚠ หมวดไม่ตรงประเภท","✓"))))</f>
        <v/>
      </c>
    </row>
    <row r="767">
      <c r="B767" s="113" t="n"/>
      <c r="C767" s="114" t="n"/>
      <c r="D767" s="115" t="n"/>
      <c r="E767" s="116" t="n"/>
      <c r="F767" s="115" t="n"/>
      <c r="G767" s="117">
        <f>IF(COUNTA(B767:E767)=0,"",IF(COUNTA(B767:E767)&lt;4,"⚠ กรอกไม่ครบ",IF(NOT(ISNUMBER(B767)),"⚠ วันที่ไม่ถูกต้อง",IF(COUNTIFS(Setup!$L$6:$L$60,D767,Setup!$M$6:$M$60,C767)=0,"⚠ หมวดไม่ตรงประเภท","✓"))))</f>
        <v/>
      </c>
    </row>
    <row r="768">
      <c r="B768" s="113" t="n"/>
      <c r="C768" s="114" t="n"/>
      <c r="D768" s="115" t="n"/>
      <c r="E768" s="116" t="n"/>
      <c r="F768" s="115" t="n"/>
      <c r="G768" s="117">
        <f>IF(COUNTA(B768:E768)=0,"",IF(COUNTA(B768:E768)&lt;4,"⚠ กรอกไม่ครบ",IF(NOT(ISNUMBER(B768)),"⚠ วันที่ไม่ถูกต้อง",IF(COUNTIFS(Setup!$L$6:$L$60,D768,Setup!$M$6:$M$60,C768)=0,"⚠ หมวดไม่ตรงประเภท","✓"))))</f>
        <v/>
      </c>
    </row>
    <row r="769">
      <c r="B769" s="113" t="n"/>
      <c r="C769" s="114" t="n"/>
      <c r="D769" s="115" t="n"/>
      <c r="E769" s="116" t="n"/>
      <c r="F769" s="115" t="n"/>
      <c r="G769" s="117">
        <f>IF(COUNTA(B769:E769)=0,"",IF(COUNTA(B769:E769)&lt;4,"⚠ กรอกไม่ครบ",IF(NOT(ISNUMBER(B769)),"⚠ วันที่ไม่ถูกต้อง",IF(COUNTIFS(Setup!$L$6:$L$60,D769,Setup!$M$6:$M$60,C769)=0,"⚠ หมวดไม่ตรงประเภท","✓"))))</f>
        <v/>
      </c>
    </row>
    <row r="770">
      <c r="B770" s="113" t="n"/>
      <c r="C770" s="114" t="n"/>
      <c r="D770" s="115" t="n"/>
      <c r="E770" s="116" t="n"/>
      <c r="F770" s="115" t="n"/>
      <c r="G770" s="117">
        <f>IF(COUNTA(B770:E770)=0,"",IF(COUNTA(B770:E770)&lt;4,"⚠ กรอกไม่ครบ",IF(NOT(ISNUMBER(B770)),"⚠ วันที่ไม่ถูกต้อง",IF(COUNTIFS(Setup!$L$6:$L$60,D770,Setup!$M$6:$M$60,C770)=0,"⚠ หมวดไม่ตรงประเภท","✓"))))</f>
        <v/>
      </c>
    </row>
    <row r="771">
      <c r="B771" s="113" t="n"/>
      <c r="C771" s="114" t="n"/>
      <c r="D771" s="115" t="n"/>
      <c r="E771" s="116" t="n"/>
      <c r="F771" s="115" t="n"/>
      <c r="G771" s="117">
        <f>IF(COUNTA(B771:E771)=0,"",IF(COUNTA(B771:E771)&lt;4,"⚠ กรอกไม่ครบ",IF(NOT(ISNUMBER(B771)),"⚠ วันที่ไม่ถูกต้อง",IF(COUNTIFS(Setup!$L$6:$L$60,D771,Setup!$M$6:$M$60,C771)=0,"⚠ หมวดไม่ตรงประเภท","✓"))))</f>
        <v/>
      </c>
    </row>
    <row r="772">
      <c r="B772" s="113" t="n"/>
      <c r="C772" s="114" t="n"/>
      <c r="D772" s="115" t="n"/>
      <c r="E772" s="116" t="n"/>
      <c r="F772" s="115" t="n"/>
      <c r="G772" s="117">
        <f>IF(COUNTA(B772:E772)=0,"",IF(COUNTA(B772:E772)&lt;4,"⚠ กรอกไม่ครบ",IF(NOT(ISNUMBER(B772)),"⚠ วันที่ไม่ถูกต้อง",IF(COUNTIFS(Setup!$L$6:$L$60,D772,Setup!$M$6:$M$60,C772)=0,"⚠ หมวดไม่ตรงประเภท","✓"))))</f>
        <v/>
      </c>
    </row>
    <row r="773">
      <c r="B773" s="113" t="n"/>
      <c r="C773" s="114" t="n"/>
      <c r="D773" s="115" t="n"/>
      <c r="E773" s="116" t="n"/>
      <c r="F773" s="115" t="n"/>
      <c r="G773" s="117">
        <f>IF(COUNTA(B773:E773)=0,"",IF(COUNTA(B773:E773)&lt;4,"⚠ กรอกไม่ครบ",IF(NOT(ISNUMBER(B773)),"⚠ วันที่ไม่ถูกต้อง",IF(COUNTIFS(Setup!$L$6:$L$60,D773,Setup!$M$6:$M$60,C773)=0,"⚠ หมวดไม่ตรงประเภท","✓"))))</f>
        <v/>
      </c>
    </row>
    <row r="774">
      <c r="B774" s="113" t="n"/>
      <c r="C774" s="114" t="n"/>
      <c r="D774" s="115" t="n"/>
      <c r="E774" s="116" t="n"/>
      <c r="F774" s="115" t="n"/>
      <c r="G774" s="117">
        <f>IF(COUNTA(B774:E774)=0,"",IF(COUNTA(B774:E774)&lt;4,"⚠ กรอกไม่ครบ",IF(NOT(ISNUMBER(B774)),"⚠ วันที่ไม่ถูกต้อง",IF(COUNTIFS(Setup!$L$6:$L$60,D774,Setup!$M$6:$M$60,C774)=0,"⚠ หมวดไม่ตรงประเภท","✓"))))</f>
        <v/>
      </c>
    </row>
    <row r="775">
      <c r="B775" s="113" t="n"/>
      <c r="C775" s="114" t="n"/>
      <c r="D775" s="115" t="n"/>
      <c r="E775" s="116" t="n"/>
      <c r="F775" s="115" t="n"/>
      <c r="G775" s="117">
        <f>IF(COUNTA(B775:E775)=0,"",IF(COUNTA(B775:E775)&lt;4,"⚠ กรอกไม่ครบ",IF(NOT(ISNUMBER(B775)),"⚠ วันที่ไม่ถูกต้อง",IF(COUNTIFS(Setup!$L$6:$L$60,D775,Setup!$M$6:$M$60,C775)=0,"⚠ หมวดไม่ตรงประเภท","✓"))))</f>
        <v/>
      </c>
    </row>
    <row r="776">
      <c r="B776" s="113" t="n"/>
      <c r="C776" s="114" t="n"/>
      <c r="D776" s="115" t="n"/>
      <c r="E776" s="116" t="n"/>
      <c r="F776" s="115" t="n"/>
      <c r="G776" s="117">
        <f>IF(COUNTA(B776:E776)=0,"",IF(COUNTA(B776:E776)&lt;4,"⚠ กรอกไม่ครบ",IF(NOT(ISNUMBER(B776)),"⚠ วันที่ไม่ถูกต้อง",IF(COUNTIFS(Setup!$L$6:$L$60,D776,Setup!$M$6:$M$60,C776)=0,"⚠ หมวดไม่ตรงประเภท","✓"))))</f>
        <v/>
      </c>
    </row>
    <row r="777">
      <c r="B777" s="113" t="n"/>
      <c r="C777" s="114" t="n"/>
      <c r="D777" s="115" t="n"/>
      <c r="E777" s="116" t="n"/>
      <c r="F777" s="115" t="n"/>
      <c r="G777" s="117">
        <f>IF(COUNTA(B777:E777)=0,"",IF(COUNTA(B777:E777)&lt;4,"⚠ กรอกไม่ครบ",IF(NOT(ISNUMBER(B777)),"⚠ วันที่ไม่ถูกต้อง",IF(COUNTIFS(Setup!$L$6:$L$60,D777,Setup!$M$6:$M$60,C777)=0,"⚠ หมวดไม่ตรงประเภท","✓"))))</f>
        <v/>
      </c>
    </row>
    <row r="778">
      <c r="B778" s="113" t="n"/>
      <c r="C778" s="114" t="n"/>
      <c r="D778" s="115" t="n"/>
      <c r="E778" s="116" t="n"/>
      <c r="F778" s="115" t="n"/>
      <c r="G778" s="117">
        <f>IF(COUNTA(B778:E778)=0,"",IF(COUNTA(B778:E778)&lt;4,"⚠ กรอกไม่ครบ",IF(NOT(ISNUMBER(B778)),"⚠ วันที่ไม่ถูกต้อง",IF(COUNTIFS(Setup!$L$6:$L$60,D778,Setup!$M$6:$M$60,C778)=0,"⚠ หมวดไม่ตรงประเภท","✓"))))</f>
        <v/>
      </c>
    </row>
    <row r="779">
      <c r="B779" s="113" t="n"/>
      <c r="C779" s="114" t="n"/>
      <c r="D779" s="115" t="n"/>
      <c r="E779" s="116" t="n"/>
      <c r="F779" s="115" t="n"/>
      <c r="G779" s="117">
        <f>IF(COUNTA(B779:E779)=0,"",IF(COUNTA(B779:E779)&lt;4,"⚠ กรอกไม่ครบ",IF(NOT(ISNUMBER(B779)),"⚠ วันที่ไม่ถูกต้อง",IF(COUNTIFS(Setup!$L$6:$L$60,D779,Setup!$M$6:$M$60,C779)=0,"⚠ หมวดไม่ตรงประเภท","✓"))))</f>
        <v/>
      </c>
    </row>
    <row r="780">
      <c r="B780" s="113" t="n"/>
      <c r="C780" s="114" t="n"/>
      <c r="D780" s="115" t="n"/>
      <c r="E780" s="116" t="n"/>
      <c r="F780" s="115" t="n"/>
      <c r="G780" s="117">
        <f>IF(COUNTA(B780:E780)=0,"",IF(COUNTA(B780:E780)&lt;4,"⚠ กรอกไม่ครบ",IF(NOT(ISNUMBER(B780)),"⚠ วันที่ไม่ถูกต้อง",IF(COUNTIFS(Setup!$L$6:$L$60,D780,Setup!$M$6:$M$60,C780)=0,"⚠ หมวดไม่ตรงประเภท","✓"))))</f>
        <v/>
      </c>
    </row>
    <row r="781">
      <c r="B781" s="113" t="n"/>
      <c r="C781" s="114" t="n"/>
      <c r="D781" s="115" t="n"/>
      <c r="E781" s="116" t="n"/>
      <c r="F781" s="115" t="n"/>
      <c r="G781" s="117">
        <f>IF(COUNTA(B781:E781)=0,"",IF(COUNTA(B781:E781)&lt;4,"⚠ กรอกไม่ครบ",IF(NOT(ISNUMBER(B781)),"⚠ วันที่ไม่ถูกต้อง",IF(COUNTIFS(Setup!$L$6:$L$60,D781,Setup!$M$6:$M$60,C781)=0,"⚠ หมวดไม่ตรงประเภท","✓"))))</f>
        <v/>
      </c>
    </row>
    <row r="782">
      <c r="B782" s="113" t="n"/>
      <c r="C782" s="114" t="n"/>
      <c r="D782" s="115" t="n"/>
      <c r="E782" s="116" t="n"/>
      <c r="F782" s="115" t="n"/>
      <c r="G782" s="117">
        <f>IF(COUNTA(B782:E782)=0,"",IF(COUNTA(B782:E782)&lt;4,"⚠ กรอกไม่ครบ",IF(NOT(ISNUMBER(B782)),"⚠ วันที่ไม่ถูกต้อง",IF(COUNTIFS(Setup!$L$6:$L$60,D782,Setup!$M$6:$M$60,C782)=0,"⚠ หมวดไม่ตรงประเภท","✓"))))</f>
        <v/>
      </c>
    </row>
    <row r="783">
      <c r="B783" s="113" t="n"/>
      <c r="C783" s="114" t="n"/>
      <c r="D783" s="115" t="n"/>
      <c r="E783" s="116" t="n"/>
      <c r="F783" s="115" t="n"/>
      <c r="G783" s="117">
        <f>IF(COUNTA(B783:E783)=0,"",IF(COUNTA(B783:E783)&lt;4,"⚠ กรอกไม่ครบ",IF(NOT(ISNUMBER(B783)),"⚠ วันที่ไม่ถูกต้อง",IF(COUNTIFS(Setup!$L$6:$L$60,D783,Setup!$M$6:$M$60,C783)=0,"⚠ หมวดไม่ตรงประเภท","✓"))))</f>
        <v/>
      </c>
    </row>
    <row r="784">
      <c r="B784" s="113" t="n"/>
      <c r="C784" s="114" t="n"/>
      <c r="D784" s="115" t="n"/>
      <c r="E784" s="116" t="n"/>
      <c r="F784" s="115" t="n"/>
      <c r="G784" s="117">
        <f>IF(COUNTA(B784:E784)=0,"",IF(COUNTA(B784:E784)&lt;4,"⚠ กรอกไม่ครบ",IF(NOT(ISNUMBER(B784)),"⚠ วันที่ไม่ถูกต้อง",IF(COUNTIFS(Setup!$L$6:$L$60,D784,Setup!$M$6:$M$60,C784)=0,"⚠ หมวดไม่ตรงประเภท","✓"))))</f>
        <v/>
      </c>
    </row>
    <row r="785">
      <c r="B785" s="113" t="n"/>
      <c r="C785" s="114" t="n"/>
      <c r="D785" s="115" t="n"/>
      <c r="E785" s="116" t="n"/>
      <c r="F785" s="115" t="n"/>
      <c r="G785" s="117">
        <f>IF(COUNTA(B785:E785)=0,"",IF(COUNTA(B785:E785)&lt;4,"⚠ กรอกไม่ครบ",IF(NOT(ISNUMBER(B785)),"⚠ วันที่ไม่ถูกต้อง",IF(COUNTIFS(Setup!$L$6:$L$60,D785,Setup!$M$6:$M$60,C785)=0,"⚠ หมวดไม่ตรงประเภท","✓"))))</f>
        <v/>
      </c>
    </row>
    <row r="786">
      <c r="B786" s="113" t="n"/>
      <c r="C786" s="114" t="n"/>
      <c r="D786" s="115" t="n"/>
      <c r="E786" s="116" t="n"/>
      <c r="F786" s="115" t="n"/>
      <c r="G786" s="117">
        <f>IF(COUNTA(B786:E786)=0,"",IF(COUNTA(B786:E786)&lt;4,"⚠ กรอกไม่ครบ",IF(NOT(ISNUMBER(B786)),"⚠ วันที่ไม่ถูกต้อง",IF(COUNTIFS(Setup!$L$6:$L$60,D786,Setup!$M$6:$M$60,C786)=0,"⚠ หมวดไม่ตรงประเภท","✓"))))</f>
        <v/>
      </c>
    </row>
    <row r="787">
      <c r="B787" s="113" t="n"/>
      <c r="C787" s="114" t="n"/>
      <c r="D787" s="115" t="n"/>
      <c r="E787" s="116" t="n"/>
      <c r="F787" s="115" t="n"/>
      <c r="G787" s="117">
        <f>IF(COUNTA(B787:E787)=0,"",IF(COUNTA(B787:E787)&lt;4,"⚠ กรอกไม่ครบ",IF(NOT(ISNUMBER(B787)),"⚠ วันที่ไม่ถูกต้อง",IF(COUNTIFS(Setup!$L$6:$L$60,D787,Setup!$M$6:$M$60,C787)=0,"⚠ หมวดไม่ตรงประเภท","✓"))))</f>
        <v/>
      </c>
    </row>
    <row r="788">
      <c r="B788" s="113" t="n"/>
      <c r="C788" s="114" t="n"/>
      <c r="D788" s="115" t="n"/>
      <c r="E788" s="116" t="n"/>
      <c r="F788" s="115" t="n"/>
      <c r="G788" s="117">
        <f>IF(COUNTA(B788:E788)=0,"",IF(COUNTA(B788:E788)&lt;4,"⚠ กรอกไม่ครบ",IF(NOT(ISNUMBER(B788)),"⚠ วันที่ไม่ถูกต้อง",IF(COUNTIFS(Setup!$L$6:$L$60,D788,Setup!$M$6:$M$60,C788)=0,"⚠ หมวดไม่ตรงประเภท","✓"))))</f>
        <v/>
      </c>
    </row>
    <row r="789">
      <c r="B789" s="113" t="n"/>
      <c r="C789" s="114" t="n"/>
      <c r="D789" s="115" t="n"/>
      <c r="E789" s="116" t="n"/>
      <c r="F789" s="115" t="n"/>
      <c r="G789" s="117">
        <f>IF(COUNTA(B789:E789)=0,"",IF(COUNTA(B789:E789)&lt;4,"⚠ กรอกไม่ครบ",IF(NOT(ISNUMBER(B789)),"⚠ วันที่ไม่ถูกต้อง",IF(COUNTIFS(Setup!$L$6:$L$60,D789,Setup!$M$6:$M$60,C789)=0,"⚠ หมวดไม่ตรงประเภท","✓"))))</f>
        <v/>
      </c>
    </row>
    <row r="790">
      <c r="B790" s="113" t="n"/>
      <c r="C790" s="114" t="n"/>
      <c r="D790" s="115" t="n"/>
      <c r="E790" s="116" t="n"/>
      <c r="F790" s="115" t="n"/>
      <c r="G790" s="117">
        <f>IF(COUNTA(B790:E790)=0,"",IF(COUNTA(B790:E790)&lt;4,"⚠ กรอกไม่ครบ",IF(NOT(ISNUMBER(B790)),"⚠ วันที่ไม่ถูกต้อง",IF(COUNTIFS(Setup!$L$6:$L$60,D790,Setup!$M$6:$M$60,C790)=0,"⚠ หมวดไม่ตรงประเภท","✓"))))</f>
        <v/>
      </c>
    </row>
    <row r="791">
      <c r="B791" s="113" t="n"/>
      <c r="C791" s="114" t="n"/>
      <c r="D791" s="115" t="n"/>
      <c r="E791" s="116" t="n"/>
      <c r="F791" s="115" t="n"/>
      <c r="G791" s="117">
        <f>IF(COUNTA(B791:E791)=0,"",IF(COUNTA(B791:E791)&lt;4,"⚠ กรอกไม่ครบ",IF(NOT(ISNUMBER(B791)),"⚠ วันที่ไม่ถูกต้อง",IF(COUNTIFS(Setup!$L$6:$L$60,D791,Setup!$M$6:$M$60,C791)=0,"⚠ หมวดไม่ตรงประเภท","✓"))))</f>
        <v/>
      </c>
    </row>
    <row r="792">
      <c r="B792" s="113" t="n"/>
      <c r="C792" s="114" t="n"/>
      <c r="D792" s="115" t="n"/>
      <c r="E792" s="116" t="n"/>
      <c r="F792" s="115" t="n"/>
      <c r="G792" s="117">
        <f>IF(COUNTA(B792:E792)=0,"",IF(COUNTA(B792:E792)&lt;4,"⚠ กรอกไม่ครบ",IF(NOT(ISNUMBER(B792)),"⚠ วันที่ไม่ถูกต้อง",IF(COUNTIFS(Setup!$L$6:$L$60,D792,Setup!$M$6:$M$60,C792)=0,"⚠ หมวดไม่ตรงประเภท","✓"))))</f>
        <v/>
      </c>
    </row>
    <row r="793">
      <c r="B793" s="113" t="n"/>
      <c r="C793" s="114" t="n"/>
      <c r="D793" s="115" t="n"/>
      <c r="E793" s="116" t="n"/>
      <c r="F793" s="115" t="n"/>
      <c r="G793" s="117">
        <f>IF(COUNTA(B793:E793)=0,"",IF(COUNTA(B793:E793)&lt;4,"⚠ กรอกไม่ครบ",IF(NOT(ISNUMBER(B793)),"⚠ วันที่ไม่ถูกต้อง",IF(COUNTIFS(Setup!$L$6:$L$60,D793,Setup!$M$6:$M$60,C793)=0,"⚠ หมวดไม่ตรงประเภท","✓"))))</f>
        <v/>
      </c>
    </row>
    <row r="794">
      <c r="B794" s="113" t="n"/>
      <c r="C794" s="114" t="n"/>
      <c r="D794" s="115" t="n"/>
      <c r="E794" s="116" t="n"/>
      <c r="F794" s="115" t="n"/>
      <c r="G794" s="117">
        <f>IF(COUNTA(B794:E794)=0,"",IF(COUNTA(B794:E794)&lt;4,"⚠ กรอกไม่ครบ",IF(NOT(ISNUMBER(B794)),"⚠ วันที่ไม่ถูกต้อง",IF(COUNTIFS(Setup!$L$6:$L$60,D794,Setup!$M$6:$M$60,C794)=0,"⚠ หมวดไม่ตรงประเภท","✓"))))</f>
        <v/>
      </c>
    </row>
    <row r="795">
      <c r="B795" s="113" t="n"/>
      <c r="C795" s="114" t="n"/>
      <c r="D795" s="115" t="n"/>
      <c r="E795" s="116" t="n"/>
      <c r="F795" s="115" t="n"/>
      <c r="G795" s="117">
        <f>IF(COUNTA(B795:E795)=0,"",IF(COUNTA(B795:E795)&lt;4,"⚠ กรอกไม่ครบ",IF(NOT(ISNUMBER(B795)),"⚠ วันที่ไม่ถูกต้อง",IF(COUNTIFS(Setup!$L$6:$L$60,D795,Setup!$M$6:$M$60,C795)=0,"⚠ หมวดไม่ตรงประเภท","✓"))))</f>
        <v/>
      </c>
    </row>
    <row r="796">
      <c r="B796" s="113" t="n"/>
      <c r="C796" s="114" t="n"/>
      <c r="D796" s="115" t="n"/>
      <c r="E796" s="116" t="n"/>
      <c r="F796" s="115" t="n"/>
      <c r="G796" s="117">
        <f>IF(COUNTA(B796:E796)=0,"",IF(COUNTA(B796:E796)&lt;4,"⚠ กรอกไม่ครบ",IF(NOT(ISNUMBER(B796)),"⚠ วันที่ไม่ถูกต้อง",IF(COUNTIFS(Setup!$L$6:$L$60,D796,Setup!$M$6:$M$60,C796)=0,"⚠ หมวดไม่ตรงประเภท","✓"))))</f>
        <v/>
      </c>
    </row>
    <row r="797">
      <c r="B797" s="113" t="n"/>
      <c r="C797" s="114" t="n"/>
      <c r="D797" s="115" t="n"/>
      <c r="E797" s="116" t="n"/>
      <c r="F797" s="115" t="n"/>
      <c r="G797" s="117">
        <f>IF(COUNTA(B797:E797)=0,"",IF(COUNTA(B797:E797)&lt;4,"⚠ กรอกไม่ครบ",IF(NOT(ISNUMBER(B797)),"⚠ วันที่ไม่ถูกต้อง",IF(COUNTIFS(Setup!$L$6:$L$60,D797,Setup!$M$6:$M$60,C797)=0,"⚠ หมวดไม่ตรงประเภท","✓"))))</f>
        <v/>
      </c>
    </row>
    <row r="798">
      <c r="B798" s="113" t="n"/>
      <c r="C798" s="114" t="n"/>
      <c r="D798" s="115" t="n"/>
      <c r="E798" s="116" t="n"/>
      <c r="F798" s="115" t="n"/>
      <c r="G798" s="117">
        <f>IF(COUNTA(B798:E798)=0,"",IF(COUNTA(B798:E798)&lt;4,"⚠ กรอกไม่ครบ",IF(NOT(ISNUMBER(B798)),"⚠ วันที่ไม่ถูกต้อง",IF(COUNTIFS(Setup!$L$6:$L$60,D798,Setup!$M$6:$M$60,C798)=0,"⚠ หมวดไม่ตรงประเภท","✓"))))</f>
        <v/>
      </c>
    </row>
    <row r="799">
      <c r="B799" s="113" t="n"/>
      <c r="C799" s="114" t="n"/>
      <c r="D799" s="115" t="n"/>
      <c r="E799" s="116" t="n"/>
      <c r="F799" s="115" t="n"/>
      <c r="G799" s="117">
        <f>IF(COUNTA(B799:E799)=0,"",IF(COUNTA(B799:E799)&lt;4,"⚠ กรอกไม่ครบ",IF(NOT(ISNUMBER(B799)),"⚠ วันที่ไม่ถูกต้อง",IF(COUNTIFS(Setup!$L$6:$L$60,D799,Setup!$M$6:$M$60,C799)=0,"⚠ หมวดไม่ตรงประเภท","✓"))))</f>
        <v/>
      </c>
    </row>
    <row r="800">
      <c r="B800" s="113" t="n"/>
      <c r="C800" s="114" t="n"/>
      <c r="D800" s="115" t="n"/>
      <c r="E800" s="116" t="n"/>
      <c r="F800" s="115" t="n"/>
      <c r="G800" s="117">
        <f>IF(COUNTA(B800:E800)=0,"",IF(COUNTA(B800:E800)&lt;4,"⚠ กรอกไม่ครบ",IF(NOT(ISNUMBER(B800)),"⚠ วันที่ไม่ถูกต้อง",IF(COUNTIFS(Setup!$L$6:$L$60,D800,Setup!$M$6:$M$60,C800)=0,"⚠ หมวดไม่ตรงประเภท","✓"))))</f>
        <v/>
      </c>
    </row>
    <row r="801">
      <c r="B801" s="113" t="n"/>
      <c r="C801" s="114" t="n"/>
      <c r="D801" s="115" t="n"/>
      <c r="E801" s="116" t="n"/>
      <c r="F801" s="115" t="n"/>
      <c r="G801" s="117">
        <f>IF(COUNTA(B801:E801)=0,"",IF(COUNTA(B801:E801)&lt;4,"⚠ กรอกไม่ครบ",IF(NOT(ISNUMBER(B801)),"⚠ วันที่ไม่ถูกต้อง",IF(COUNTIFS(Setup!$L$6:$L$60,D801,Setup!$M$6:$M$60,C801)=0,"⚠ หมวดไม่ตรงประเภท","✓"))))</f>
        <v/>
      </c>
    </row>
    <row r="802">
      <c r="B802" s="113" t="n"/>
      <c r="C802" s="114" t="n"/>
      <c r="D802" s="115" t="n"/>
      <c r="E802" s="116" t="n"/>
      <c r="F802" s="115" t="n"/>
      <c r="G802" s="117">
        <f>IF(COUNTA(B802:E802)=0,"",IF(COUNTA(B802:E802)&lt;4,"⚠ กรอกไม่ครบ",IF(NOT(ISNUMBER(B802)),"⚠ วันที่ไม่ถูกต้อง",IF(COUNTIFS(Setup!$L$6:$L$60,D802,Setup!$M$6:$M$60,C802)=0,"⚠ หมวดไม่ตรงประเภท","✓"))))</f>
        <v/>
      </c>
    </row>
    <row r="803">
      <c r="B803" s="113" t="n"/>
      <c r="C803" s="114" t="n"/>
      <c r="D803" s="115" t="n"/>
      <c r="E803" s="116" t="n"/>
      <c r="F803" s="115" t="n"/>
      <c r="G803" s="117">
        <f>IF(COUNTA(B803:E803)=0,"",IF(COUNTA(B803:E803)&lt;4,"⚠ กรอกไม่ครบ",IF(NOT(ISNUMBER(B803)),"⚠ วันที่ไม่ถูกต้อง",IF(COUNTIFS(Setup!$L$6:$L$60,D803,Setup!$M$6:$M$60,C803)=0,"⚠ หมวดไม่ตรงประเภท","✓"))))</f>
        <v/>
      </c>
    </row>
    <row r="804">
      <c r="B804" s="113" t="n"/>
      <c r="C804" s="114" t="n"/>
      <c r="D804" s="115" t="n"/>
      <c r="E804" s="116" t="n"/>
      <c r="F804" s="115" t="n"/>
      <c r="G804" s="117">
        <f>IF(COUNTA(B804:E804)=0,"",IF(COUNTA(B804:E804)&lt;4,"⚠ กรอกไม่ครบ",IF(NOT(ISNUMBER(B804)),"⚠ วันที่ไม่ถูกต้อง",IF(COUNTIFS(Setup!$L$6:$L$60,D804,Setup!$M$6:$M$60,C804)=0,"⚠ หมวดไม่ตรงประเภท","✓"))))</f>
        <v/>
      </c>
    </row>
    <row r="805">
      <c r="B805" s="113" t="n"/>
      <c r="C805" s="114" t="n"/>
      <c r="D805" s="115" t="n"/>
      <c r="E805" s="116" t="n"/>
      <c r="F805" s="115" t="n"/>
      <c r="G805" s="117">
        <f>IF(COUNTA(B805:E805)=0,"",IF(COUNTA(B805:E805)&lt;4,"⚠ กรอกไม่ครบ",IF(NOT(ISNUMBER(B805)),"⚠ วันที่ไม่ถูกต้อง",IF(COUNTIFS(Setup!$L$6:$L$60,D805,Setup!$M$6:$M$60,C805)=0,"⚠ หมวดไม่ตรงประเภท","✓"))))</f>
        <v/>
      </c>
    </row>
    <row r="806">
      <c r="B806" s="113" t="n"/>
      <c r="C806" s="114" t="n"/>
      <c r="D806" s="115" t="n"/>
      <c r="E806" s="116" t="n"/>
      <c r="F806" s="115" t="n"/>
      <c r="G806" s="117">
        <f>IF(COUNTA(B806:E806)=0,"",IF(COUNTA(B806:E806)&lt;4,"⚠ กรอกไม่ครบ",IF(NOT(ISNUMBER(B806)),"⚠ วันที่ไม่ถูกต้อง",IF(COUNTIFS(Setup!$L$6:$L$60,D806,Setup!$M$6:$M$60,C806)=0,"⚠ หมวดไม่ตรงประเภท","✓"))))</f>
        <v/>
      </c>
    </row>
    <row r="807">
      <c r="B807" s="113" t="n"/>
      <c r="C807" s="114" t="n"/>
      <c r="D807" s="115" t="n"/>
      <c r="E807" s="116" t="n"/>
      <c r="F807" s="115" t="n"/>
      <c r="G807" s="117">
        <f>IF(COUNTA(B807:E807)=0,"",IF(COUNTA(B807:E807)&lt;4,"⚠ กรอกไม่ครบ",IF(NOT(ISNUMBER(B807)),"⚠ วันที่ไม่ถูกต้อง",IF(COUNTIFS(Setup!$L$6:$L$60,D807,Setup!$M$6:$M$60,C807)=0,"⚠ หมวดไม่ตรงประเภท","✓"))))</f>
        <v/>
      </c>
    </row>
    <row r="808">
      <c r="B808" s="113" t="n"/>
      <c r="C808" s="114" t="n"/>
      <c r="D808" s="115" t="n"/>
      <c r="E808" s="116" t="n"/>
      <c r="F808" s="115" t="n"/>
      <c r="G808" s="117">
        <f>IF(COUNTA(B808:E808)=0,"",IF(COUNTA(B808:E808)&lt;4,"⚠ กรอกไม่ครบ",IF(NOT(ISNUMBER(B808)),"⚠ วันที่ไม่ถูกต้อง",IF(COUNTIFS(Setup!$L$6:$L$60,D808,Setup!$M$6:$M$60,C808)=0,"⚠ หมวดไม่ตรงประเภท","✓"))))</f>
        <v/>
      </c>
    </row>
    <row r="809">
      <c r="B809" s="113" t="n"/>
      <c r="C809" s="114" t="n"/>
      <c r="D809" s="115" t="n"/>
      <c r="E809" s="116" t="n"/>
      <c r="F809" s="115" t="n"/>
      <c r="G809" s="117">
        <f>IF(COUNTA(B809:E809)=0,"",IF(COUNTA(B809:E809)&lt;4,"⚠ กรอกไม่ครบ",IF(NOT(ISNUMBER(B809)),"⚠ วันที่ไม่ถูกต้อง",IF(COUNTIFS(Setup!$L$6:$L$60,D809,Setup!$M$6:$M$60,C809)=0,"⚠ หมวดไม่ตรงประเภท","✓"))))</f>
        <v/>
      </c>
    </row>
    <row r="810">
      <c r="B810" s="113" t="n"/>
      <c r="C810" s="114" t="n"/>
      <c r="D810" s="115" t="n"/>
      <c r="E810" s="116" t="n"/>
      <c r="F810" s="115" t="n"/>
      <c r="G810" s="117">
        <f>IF(COUNTA(B810:E810)=0,"",IF(COUNTA(B810:E810)&lt;4,"⚠ กรอกไม่ครบ",IF(NOT(ISNUMBER(B810)),"⚠ วันที่ไม่ถูกต้อง",IF(COUNTIFS(Setup!$L$6:$L$60,D810,Setup!$M$6:$M$60,C810)=0,"⚠ หมวดไม่ตรงประเภท","✓"))))</f>
        <v/>
      </c>
    </row>
    <row r="811">
      <c r="B811" s="113" t="n"/>
      <c r="C811" s="114" t="n"/>
      <c r="D811" s="115" t="n"/>
      <c r="E811" s="116" t="n"/>
      <c r="F811" s="115" t="n"/>
      <c r="G811" s="117">
        <f>IF(COUNTA(B811:E811)=0,"",IF(COUNTA(B811:E811)&lt;4,"⚠ กรอกไม่ครบ",IF(NOT(ISNUMBER(B811)),"⚠ วันที่ไม่ถูกต้อง",IF(COUNTIFS(Setup!$L$6:$L$60,D811,Setup!$M$6:$M$60,C811)=0,"⚠ หมวดไม่ตรงประเภท","✓"))))</f>
        <v/>
      </c>
    </row>
    <row r="812">
      <c r="B812" s="113" t="n"/>
      <c r="C812" s="114" t="n"/>
      <c r="D812" s="115" t="n"/>
      <c r="E812" s="116" t="n"/>
      <c r="F812" s="115" t="n"/>
      <c r="G812" s="117">
        <f>IF(COUNTA(B812:E812)=0,"",IF(COUNTA(B812:E812)&lt;4,"⚠ กรอกไม่ครบ",IF(NOT(ISNUMBER(B812)),"⚠ วันที่ไม่ถูกต้อง",IF(COUNTIFS(Setup!$L$6:$L$60,D812,Setup!$M$6:$M$60,C812)=0,"⚠ หมวดไม่ตรงประเภท","✓"))))</f>
        <v/>
      </c>
    </row>
    <row r="813">
      <c r="B813" s="113" t="n"/>
      <c r="C813" s="114" t="n"/>
      <c r="D813" s="115" t="n"/>
      <c r="E813" s="116" t="n"/>
      <c r="F813" s="115" t="n"/>
      <c r="G813" s="117">
        <f>IF(COUNTA(B813:E813)=0,"",IF(COUNTA(B813:E813)&lt;4,"⚠ กรอกไม่ครบ",IF(NOT(ISNUMBER(B813)),"⚠ วันที่ไม่ถูกต้อง",IF(COUNTIFS(Setup!$L$6:$L$60,D813,Setup!$M$6:$M$60,C813)=0,"⚠ หมวดไม่ตรงประเภท","✓"))))</f>
        <v/>
      </c>
    </row>
    <row r="814">
      <c r="B814" s="113" t="n"/>
      <c r="C814" s="114" t="n"/>
      <c r="D814" s="115" t="n"/>
      <c r="E814" s="116" t="n"/>
      <c r="F814" s="115" t="n"/>
      <c r="G814" s="117">
        <f>IF(COUNTA(B814:E814)=0,"",IF(COUNTA(B814:E814)&lt;4,"⚠ กรอกไม่ครบ",IF(NOT(ISNUMBER(B814)),"⚠ วันที่ไม่ถูกต้อง",IF(COUNTIFS(Setup!$L$6:$L$60,D814,Setup!$M$6:$M$60,C814)=0,"⚠ หมวดไม่ตรงประเภท","✓"))))</f>
        <v/>
      </c>
    </row>
    <row r="815">
      <c r="B815" s="113" t="n"/>
      <c r="C815" s="114" t="n"/>
      <c r="D815" s="115" t="n"/>
      <c r="E815" s="116" t="n"/>
      <c r="F815" s="115" t="n"/>
      <c r="G815" s="117">
        <f>IF(COUNTA(B815:E815)=0,"",IF(COUNTA(B815:E815)&lt;4,"⚠ กรอกไม่ครบ",IF(NOT(ISNUMBER(B815)),"⚠ วันที่ไม่ถูกต้อง",IF(COUNTIFS(Setup!$L$6:$L$60,D815,Setup!$M$6:$M$60,C815)=0,"⚠ หมวดไม่ตรงประเภท","✓"))))</f>
        <v/>
      </c>
    </row>
    <row r="816">
      <c r="B816" s="113" t="n"/>
      <c r="C816" s="114" t="n"/>
      <c r="D816" s="115" t="n"/>
      <c r="E816" s="116" t="n"/>
      <c r="F816" s="115" t="n"/>
      <c r="G816" s="117">
        <f>IF(COUNTA(B816:E816)=0,"",IF(COUNTA(B816:E816)&lt;4,"⚠ กรอกไม่ครบ",IF(NOT(ISNUMBER(B816)),"⚠ วันที่ไม่ถูกต้อง",IF(COUNTIFS(Setup!$L$6:$L$60,D816,Setup!$M$6:$M$60,C816)=0,"⚠ หมวดไม่ตรงประเภท","✓"))))</f>
        <v/>
      </c>
    </row>
    <row r="817">
      <c r="B817" s="113" t="n"/>
      <c r="C817" s="114" t="n"/>
      <c r="D817" s="115" t="n"/>
      <c r="E817" s="116" t="n"/>
      <c r="F817" s="115" t="n"/>
      <c r="G817" s="117">
        <f>IF(COUNTA(B817:E817)=0,"",IF(COUNTA(B817:E817)&lt;4,"⚠ กรอกไม่ครบ",IF(NOT(ISNUMBER(B817)),"⚠ วันที่ไม่ถูกต้อง",IF(COUNTIFS(Setup!$L$6:$L$60,D817,Setup!$M$6:$M$60,C817)=0,"⚠ หมวดไม่ตรงประเภท","✓"))))</f>
        <v/>
      </c>
    </row>
    <row r="818">
      <c r="B818" s="113" t="n"/>
      <c r="C818" s="114" t="n"/>
      <c r="D818" s="115" t="n"/>
      <c r="E818" s="116" t="n"/>
      <c r="F818" s="115" t="n"/>
      <c r="G818" s="117">
        <f>IF(COUNTA(B818:E818)=0,"",IF(COUNTA(B818:E818)&lt;4,"⚠ กรอกไม่ครบ",IF(NOT(ISNUMBER(B818)),"⚠ วันที่ไม่ถูกต้อง",IF(COUNTIFS(Setup!$L$6:$L$60,D818,Setup!$M$6:$M$60,C818)=0,"⚠ หมวดไม่ตรงประเภท","✓"))))</f>
        <v/>
      </c>
    </row>
    <row r="819">
      <c r="B819" s="113" t="n"/>
      <c r="C819" s="114" t="n"/>
      <c r="D819" s="115" t="n"/>
      <c r="E819" s="116" t="n"/>
      <c r="F819" s="115" t="n"/>
      <c r="G819" s="117">
        <f>IF(COUNTA(B819:E819)=0,"",IF(COUNTA(B819:E819)&lt;4,"⚠ กรอกไม่ครบ",IF(NOT(ISNUMBER(B819)),"⚠ วันที่ไม่ถูกต้อง",IF(COUNTIFS(Setup!$L$6:$L$60,D819,Setup!$M$6:$M$60,C819)=0,"⚠ หมวดไม่ตรงประเภท","✓"))))</f>
        <v/>
      </c>
    </row>
    <row r="820">
      <c r="B820" s="113" t="n"/>
      <c r="C820" s="114" t="n"/>
      <c r="D820" s="115" t="n"/>
      <c r="E820" s="116" t="n"/>
      <c r="F820" s="115" t="n"/>
      <c r="G820" s="117">
        <f>IF(COUNTA(B820:E820)=0,"",IF(COUNTA(B820:E820)&lt;4,"⚠ กรอกไม่ครบ",IF(NOT(ISNUMBER(B820)),"⚠ วันที่ไม่ถูกต้อง",IF(COUNTIFS(Setup!$L$6:$L$60,D820,Setup!$M$6:$M$60,C820)=0,"⚠ หมวดไม่ตรงประเภท","✓"))))</f>
        <v/>
      </c>
    </row>
    <row r="821">
      <c r="B821" s="113" t="n"/>
      <c r="C821" s="114" t="n"/>
      <c r="D821" s="115" t="n"/>
      <c r="E821" s="116" t="n"/>
      <c r="F821" s="115" t="n"/>
      <c r="G821" s="117">
        <f>IF(COUNTA(B821:E821)=0,"",IF(COUNTA(B821:E821)&lt;4,"⚠ กรอกไม่ครบ",IF(NOT(ISNUMBER(B821)),"⚠ วันที่ไม่ถูกต้อง",IF(COUNTIFS(Setup!$L$6:$L$60,D821,Setup!$M$6:$M$60,C821)=0,"⚠ หมวดไม่ตรงประเภท","✓"))))</f>
        <v/>
      </c>
    </row>
    <row r="822">
      <c r="B822" s="113" t="n"/>
      <c r="C822" s="114" t="n"/>
      <c r="D822" s="115" t="n"/>
      <c r="E822" s="116" t="n"/>
      <c r="F822" s="115" t="n"/>
      <c r="G822" s="117">
        <f>IF(COUNTA(B822:E822)=0,"",IF(COUNTA(B822:E822)&lt;4,"⚠ กรอกไม่ครบ",IF(NOT(ISNUMBER(B822)),"⚠ วันที่ไม่ถูกต้อง",IF(COUNTIFS(Setup!$L$6:$L$60,D822,Setup!$M$6:$M$60,C822)=0,"⚠ หมวดไม่ตรงประเภท","✓"))))</f>
        <v/>
      </c>
    </row>
    <row r="823">
      <c r="B823" s="113" t="n"/>
      <c r="C823" s="114" t="n"/>
      <c r="D823" s="115" t="n"/>
      <c r="E823" s="116" t="n"/>
      <c r="F823" s="115" t="n"/>
      <c r="G823" s="117">
        <f>IF(COUNTA(B823:E823)=0,"",IF(COUNTA(B823:E823)&lt;4,"⚠ กรอกไม่ครบ",IF(NOT(ISNUMBER(B823)),"⚠ วันที่ไม่ถูกต้อง",IF(COUNTIFS(Setup!$L$6:$L$60,D823,Setup!$M$6:$M$60,C823)=0,"⚠ หมวดไม่ตรงประเภท","✓"))))</f>
        <v/>
      </c>
    </row>
    <row r="824">
      <c r="B824" s="113" t="n"/>
      <c r="C824" s="114" t="n"/>
      <c r="D824" s="115" t="n"/>
      <c r="E824" s="116" t="n"/>
      <c r="F824" s="115" t="n"/>
      <c r="G824" s="117">
        <f>IF(COUNTA(B824:E824)=0,"",IF(COUNTA(B824:E824)&lt;4,"⚠ กรอกไม่ครบ",IF(NOT(ISNUMBER(B824)),"⚠ วันที่ไม่ถูกต้อง",IF(COUNTIFS(Setup!$L$6:$L$60,D824,Setup!$M$6:$M$60,C824)=0,"⚠ หมวดไม่ตรงประเภท","✓"))))</f>
        <v/>
      </c>
    </row>
    <row r="825">
      <c r="B825" s="113" t="n"/>
      <c r="C825" s="114" t="n"/>
      <c r="D825" s="115" t="n"/>
      <c r="E825" s="116" t="n"/>
      <c r="F825" s="115" t="n"/>
      <c r="G825" s="117">
        <f>IF(COUNTA(B825:E825)=0,"",IF(COUNTA(B825:E825)&lt;4,"⚠ กรอกไม่ครบ",IF(NOT(ISNUMBER(B825)),"⚠ วันที่ไม่ถูกต้อง",IF(COUNTIFS(Setup!$L$6:$L$60,D825,Setup!$M$6:$M$60,C825)=0,"⚠ หมวดไม่ตรงประเภท","✓"))))</f>
        <v/>
      </c>
    </row>
    <row r="826">
      <c r="B826" s="113" t="n"/>
      <c r="C826" s="114" t="n"/>
      <c r="D826" s="115" t="n"/>
      <c r="E826" s="116" t="n"/>
      <c r="F826" s="115" t="n"/>
      <c r="G826" s="117">
        <f>IF(COUNTA(B826:E826)=0,"",IF(COUNTA(B826:E826)&lt;4,"⚠ กรอกไม่ครบ",IF(NOT(ISNUMBER(B826)),"⚠ วันที่ไม่ถูกต้อง",IF(COUNTIFS(Setup!$L$6:$L$60,D826,Setup!$M$6:$M$60,C826)=0,"⚠ หมวดไม่ตรงประเภท","✓"))))</f>
        <v/>
      </c>
    </row>
    <row r="827">
      <c r="B827" s="113" t="n"/>
      <c r="C827" s="114" t="n"/>
      <c r="D827" s="115" t="n"/>
      <c r="E827" s="116" t="n"/>
      <c r="F827" s="115" t="n"/>
      <c r="G827" s="117">
        <f>IF(COUNTA(B827:E827)=0,"",IF(COUNTA(B827:E827)&lt;4,"⚠ กรอกไม่ครบ",IF(NOT(ISNUMBER(B827)),"⚠ วันที่ไม่ถูกต้อง",IF(COUNTIFS(Setup!$L$6:$L$60,D827,Setup!$M$6:$M$60,C827)=0,"⚠ หมวดไม่ตรงประเภท","✓"))))</f>
        <v/>
      </c>
    </row>
    <row r="828">
      <c r="B828" s="113" t="n"/>
      <c r="C828" s="114" t="n"/>
      <c r="D828" s="115" t="n"/>
      <c r="E828" s="116" t="n"/>
      <c r="F828" s="115" t="n"/>
      <c r="G828" s="117">
        <f>IF(COUNTA(B828:E828)=0,"",IF(COUNTA(B828:E828)&lt;4,"⚠ กรอกไม่ครบ",IF(NOT(ISNUMBER(B828)),"⚠ วันที่ไม่ถูกต้อง",IF(COUNTIFS(Setup!$L$6:$L$60,D828,Setup!$M$6:$M$60,C828)=0,"⚠ หมวดไม่ตรงประเภท","✓"))))</f>
        <v/>
      </c>
    </row>
    <row r="829">
      <c r="B829" s="113" t="n"/>
      <c r="C829" s="114" t="n"/>
      <c r="D829" s="115" t="n"/>
      <c r="E829" s="116" t="n"/>
      <c r="F829" s="115" t="n"/>
      <c r="G829" s="117">
        <f>IF(COUNTA(B829:E829)=0,"",IF(COUNTA(B829:E829)&lt;4,"⚠ กรอกไม่ครบ",IF(NOT(ISNUMBER(B829)),"⚠ วันที่ไม่ถูกต้อง",IF(COUNTIFS(Setup!$L$6:$L$60,D829,Setup!$M$6:$M$60,C829)=0,"⚠ หมวดไม่ตรงประเภท","✓"))))</f>
        <v/>
      </c>
    </row>
    <row r="830">
      <c r="B830" s="113" t="n"/>
      <c r="C830" s="114" t="n"/>
      <c r="D830" s="115" t="n"/>
      <c r="E830" s="116" t="n"/>
      <c r="F830" s="115" t="n"/>
      <c r="G830" s="117">
        <f>IF(COUNTA(B830:E830)=0,"",IF(COUNTA(B830:E830)&lt;4,"⚠ กรอกไม่ครบ",IF(NOT(ISNUMBER(B830)),"⚠ วันที่ไม่ถูกต้อง",IF(COUNTIFS(Setup!$L$6:$L$60,D830,Setup!$M$6:$M$60,C830)=0,"⚠ หมวดไม่ตรงประเภท","✓"))))</f>
        <v/>
      </c>
    </row>
    <row r="831">
      <c r="B831" s="113" t="n"/>
      <c r="C831" s="114" t="n"/>
      <c r="D831" s="115" t="n"/>
      <c r="E831" s="116" t="n"/>
      <c r="F831" s="115" t="n"/>
      <c r="G831" s="117">
        <f>IF(COUNTA(B831:E831)=0,"",IF(COUNTA(B831:E831)&lt;4,"⚠ กรอกไม่ครบ",IF(NOT(ISNUMBER(B831)),"⚠ วันที่ไม่ถูกต้อง",IF(COUNTIFS(Setup!$L$6:$L$60,D831,Setup!$M$6:$M$60,C831)=0,"⚠ หมวดไม่ตรงประเภท","✓"))))</f>
        <v/>
      </c>
    </row>
    <row r="832">
      <c r="B832" s="113" t="n"/>
      <c r="C832" s="114" t="n"/>
      <c r="D832" s="115" t="n"/>
      <c r="E832" s="116" t="n"/>
      <c r="F832" s="115" t="n"/>
      <c r="G832" s="117">
        <f>IF(COUNTA(B832:E832)=0,"",IF(COUNTA(B832:E832)&lt;4,"⚠ กรอกไม่ครบ",IF(NOT(ISNUMBER(B832)),"⚠ วันที่ไม่ถูกต้อง",IF(COUNTIFS(Setup!$L$6:$L$60,D832,Setup!$M$6:$M$60,C832)=0,"⚠ หมวดไม่ตรงประเภท","✓"))))</f>
        <v/>
      </c>
    </row>
    <row r="833">
      <c r="B833" s="113" t="n"/>
      <c r="C833" s="114" t="n"/>
      <c r="D833" s="115" t="n"/>
      <c r="E833" s="116" t="n"/>
      <c r="F833" s="115" t="n"/>
      <c r="G833" s="117">
        <f>IF(COUNTA(B833:E833)=0,"",IF(COUNTA(B833:E833)&lt;4,"⚠ กรอกไม่ครบ",IF(NOT(ISNUMBER(B833)),"⚠ วันที่ไม่ถูกต้อง",IF(COUNTIFS(Setup!$L$6:$L$60,D833,Setup!$M$6:$M$60,C833)=0,"⚠ หมวดไม่ตรงประเภท","✓"))))</f>
        <v/>
      </c>
    </row>
    <row r="834">
      <c r="B834" s="113" t="n"/>
      <c r="C834" s="114" t="n"/>
      <c r="D834" s="115" t="n"/>
      <c r="E834" s="116" t="n"/>
      <c r="F834" s="115" t="n"/>
      <c r="G834" s="117">
        <f>IF(COUNTA(B834:E834)=0,"",IF(COUNTA(B834:E834)&lt;4,"⚠ กรอกไม่ครบ",IF(NOT(ISNUMBER(B834)),"⚠ วันที่ไม่ถูกต้อง",IF(COUNTIFS(Setup!$L$6:$L$60,D834,Setup!$M$6:$M$60,C834)=0,"⚠ หมวดไม่ตรงประเภท","✓"))))</f>
        <v/>
      </c>
    </row>
    <row r="835">
      <c r="B835" s="113" t="n"/>
      <c r="C835" s="114" t="n"/>
      <c r="D835" s="115" t="n"/>
      <c r="E835" s="116" t="n"/>
      <c r="F835" s="115" t="n"/>
      <c r="G835" s="117">
        <f>IF(COUNTA(B835:E835)=0,"",IF(COUNTA(B835:E835)&lt;4,"⚠ กรอกไม่ครบ",IF(NOT(ISNUMBER(B835)),"⚠ วันที่ไม่ถูกต้อง",IF(COUNTIFS(Setup!$L$6:$L$60,D835,Setup!$M$6:$M$60,C835)=0,"⚠ หมวดไม่ตรงประเภท","✓"))))</f>
        <v/>
      </c>
    </row>
    <row r="836">
      <c r="B836" s="113" t="n"/>
      <c r="C836" s="114" t="n"/>
      <c r="D836" s="115" t="n"/>
      <c r="E836" s="116" t="n"/>
      <c r="F836" s="115" t="n"/>
      <c r="G836" s="117">
        <f>IF(COUNTA(B836:E836)=0,"",IF(COUNTA(B836:E836)&lt;4,"⚠ กรอกไม่ครบ",IF(NOT(ISNUMBER(B836)),"⚠ วันที่ไม่ถูกต้อง",IF(COUNTIFS(Setup!$L$6:$L$60,D836,Setup!$M$6:$M$60,C836)=0,"⚠ หมวดไม่ตรงประเภท","✓"))))</f>
        <v/>
      </c>
    </row>
    <row r="837">
      <c r="B837" s="113" t="n"/>
      <c r="C837" s="114" t="n"/>
      <c r="D837" s="115" t="n"/>
      <c r="E837" s="116" t="n"/>
      <c r="F837" s="115" t="n"/>
      <c r="G837" s="117">
        <f>IF(COUNTA(B837:E837)=0,"",IF(COUNTA(B837:E837)&lt;4,"⚠ กรอกไม่ครบ",IF(NOT(ISNUMBER(B837)),"⚠ วันที่ไม่ถูกต้อง",IF(COUNTIFS(Setup!$L$6:$L$60,D837,Setup!$M$6:$M$60,C837)=0,"⚠ หมวดไม่ตรงประเภท","✓"))))</f>
        <v/>
      </c>
    </row>
    <row r="838">
      <c r="B838" s="113" t="n"/>
      <c r="C838" s="114" t="n"/>
      <c r="D838" s="115" t="n"/>
      <c r="E838" s="116" t="n"/>
      <c r="F838" s="115" t="n"/>
      <c r="G838" s="117">
        <f>IF(COUNTA(B838:E838)=0,"",IF(COUNTA(B838:E838)&lt;4,"⚠ กรอกไม่ครบ",IF(NOT(ISNUMBER(B838)),"⚠ วันที่ไม่ถูกต้อง",IF(COUNTIFS(Setup!$L$6:$L$60,D838,Setup!$M$6:$M$60,C838)=0,"⚠ หมวดไม่ตรงประเภท","✓"))))</f>
        <v/>
      </c>
    </row>
    <row r="839">
      <c r="B839" s="113" t="n"/>
      <c r="C839" s="114" t="n"/>
      <c r="D839" s="115" t="n"/>
      <c r="E839" s="116" t="n"/>
      <c r="F839" s="115" t="n"/>
      <c r="G839" s="117">
        <f>IF(COUNTA(B839:E839)=0,"",IF(COUNTA(B839:E839)&lt;4,"⚠ กรอกไม่ครบ",IF(NOT(ISNUMBER(B839)),"⚠ วันที่ไม่ถูกต้อง",IF(COUNTIFS(Setup!$L$6:$L$60,D839,Setup!$M$6:$M$60,C839)=0,"⚠ หมวดไม่ตรงประเภท","✓"))))</f>
        <v/>
      </c>
    </row>
    <row r="840">
      <c r="B840" s="113" t="n"/>
      <c r="C840" s="114" t="n"/>
      <c r="D840" s="115" t="n"/>
      <c r="E840" s="116" t="n"/>
      <c r="F840" s="115" t="n"/>
      <c r="G840" s="117">
        <f>IF(COUNTA(B840:E840)=0,"",IF(COUNTA(B840:E840)&lt;4,"⚠ กรอกไม่ครบ",IF(NOT(ISNUMBER(B840)),"⚠ วันที่ไม่ถูกต้อง",IF(COUNTIFS(Setup!$L$6:$L$60,D840,Setup!$M$6:$M$60,C840)=0,"⚠ หมวดไม่ตรงประเภท","✓"))))</f>
        <v/>
      </c>
    </row>
    <row r="841">
      <c r="B841" s="113" t="n"/>
      <c r="C841" s="114" t="n"/>
      <c r="D841" s="115" t="n"/>
      <c r="E841" s="116" t="n"/>
      <c r="F841" s="115" t="n"/>
      <c r="G841" s="117">
        <f>IF(COUNTA(B841:E841)=0,"",IF(COUNTA(B841:E841)&lt;4,"⚠ กรอกไม่ครบ",IF(NOT(ISNUMBER(B841)),"⚠ วันที่ไม่ถูกต้อง",IF(COUNTIFS(Setup!$L$6:$L$60,D841,Setup!$M$6:$M$60,C841)=0,"⚠ หมวดไม่ตรงประเภท","✓"))))</f>
        <v/>
      </c>
    </row>
    <row r="842">
      <c r="B842" s="113" t="n"/>
      <c r="C842" s="114" t="n"/>
      <c r="D842" s="115" t="n"/>
      <c r="E842" s="116" t="n"/>
      <c r="F842" s="115" t="n"/>
      <c r="G842" s="117">
        <f>IF(COUNTA(B842:E842)=0,"",IF(COUNTA(B842:E842)&lt;4,"⚠ กรอกไม่ครบ",IF(NOT(ISNUMBER(B842)),"⚠ วันที่ไม่ถูกต้อง",IF(COUNTIFS(Setup!$L$6:$L$60,D842,Setup!$M$6:$M$60,C842)=0,"⚠ หมวดไม่ตรงประเภท","✓"))))</f>
        <v/>
      </c>
    </row>
    <row r="843">
      <c r="B843" s="113" t="n"/>
      <c r="C843" s="114" t="n"/>
      <c r="D843" s="115" t="n"/>
      <c r="E843" s="116" t="n"/>
      <c r="F843" s="115" t="n"/>
      <c r="G843" s="117">
        <f>IF(COUNTA(B843:E843)=0,"",IF(COUNTA(B843:E843)&lt;4,"⚠ กรอกไม่ครบ",IF(NOT(ISNUMBER(B843)),"⚠ วันที่ไม่ถูกต้อง",IF(COUNTIFS(Setup!$L$6:$L$60,D843,Setup!$M$6:$M$60,C843)=0,"⚠ หมวดไม่ตรงประเภท","✓"))))</f>
        <v/>
      </c>
    </row>
    <row r="844">
      <c r="B844" s="113" t="n"/>
      <c r="C844" s="114" t="n"/>
      <c r="D844" s="115" t="n"/>
      <c r="E844" s="116" t="n"/>
      <c r="F844" s="115" t="n"/>
      <c r="G844" s="117">
        <f>IF(COUNTA(B844:E844)=0,"",IF(COUNTA(B844:E844)&lt;4,"⚠ กรอกไม่ครบ",IF(NOT(ISNUMBER(B844)),"⚠ วันที่ไม่ถูกต้อง",IF(COUNTIFS(Setup!$L$6:$L$60,D844,Setup!$M$6:$M$60,C844)=0,"⚠ หมวดไม่ตรงประเภท","✓"))))</f>
        <v/>
      </c>
    </row>
    <row r="845">
      <c r="B845" s="113" t="n"/>
      <c r="C845" s="114" t="n"/>
      <c r="D845" s="115" t="n"/>
      <c r="E845" s="116" t="n"/>
      <c r="F845" s="115" t="n"/>
      <c r="G845" s="117">
        <f>IF(COUNTA(B845:E845)=0,"",IF(COUNTA(B845:E845)&lt;4,"⚠ กรอกไม่ครบ",IF(NOT(ISNUMBER(B845)),"⚠ วันที่ไม่ถูกต้อง",IF(COUNTIFS(Setup!$L$6:$L$60,D845,Setup!$M$6:$M$60,C845)=0,"⚠ หมวดไม่ตรงประเภท","✓"))))</f>
        <v/>
      </c>
    </row>
    <row r="846">
      <c r="B846" s="113" t="n"/>
      <c r="C846" s="114" t="n"/>
      <c r="D846" s="115" t="n"/>
      <c r="E846" s="116" t="n"/>
      <c r="F846" s="115" t="n"/>
      <c r="G846" s="117">
        <f>IF(COUNTA(B846:E846)=0,"",IF(COUNTA(B846:E846)&lt;4,"⚠ กรอกไม่ครบ",IF(NOT(ISNUMBER(B846)),"⚠ วันที่ไม่ถูกต้อง",IF(COUNTIFS(Setup!$L$6:$L$60,D846,Setup!$M$6:$M$60,C846)=0,"⚠ หมวดไม่ตรงประเภท","✓"))))</f>
        <v/>
      </c>
    </row>
    <row r="847">
      <c r="B847" s="113" t="n"/>
      <c r="C847" s="114" t="n"/>
      <c r="D847" s="115" t="n"/>
      <c r="E847" s="116" t="n"/>
      <c r="F847" s="115" t="n"/>
      <c r="G847" s="117">
        <f>IF(COUNTA(B847:E847)=0,"",IF(COUNTA(B847:E847)&lt;4,"⚠ กรอกไม่ครบ",IF(NOT(ISNUMBER(B847)),"⚠ วันที่ไม่ถูกต้อง",IF(COUNTIFS(Setup!$L$6:$L$60,D847,Setup!$M$6:$M$60,C847)=0,"⚠ หมวดไม่ตรงประเภท","✓"))))</f>
        <v/>
      </c>
    </row>
    <row r="848">
      <c r="B848" s="113" t="n"/>
      <c r="C848" s="114" t="n"/>
      <c r="D848" s="115" t="n"/>
      <c r="E848" s="116" t="n"/>
      <c r="F848" s="115" t="n"/>
      <c r="G848" s="117">
        <f>IF(COUNTA(B848:E848)=0,"",IF(COUNTA(B848:E848)&lt;4,"⚠ กรอกไม่ครบ",IF(NOT(ISNUMBER(B848)),"⚠ วันที่ไม่ถูกต้อง",IF(COUNTIFS(Setup!$L$6:$L$60,D848,Setup!$M$6:$M$60,C848)=0,"⚠ หมวดไม่ตรงประเภท","✓"))))</f>
        <v/>
      </c>
    </row>
    <row r="849">
      <c r="B849" s="113" t="n"/>
      <c r="C849" s="114" t="n"/>
      <c r="D849" s="115" t="n"/>
      <c r="E849" s="116" t="n"/>
      <c r="F849" s="115" t="n"/>
      <c r="G849" s="117">
        <f>IF(COUNTA(B849:E849)=0,"",IF(COUNTA(B849:E849)&lt;4,"⚠ กรอกไม่ครบ",IF(NOT(ISNUMBER(B849)),"⚠ วันที่ไม่ถูกต้อง",IF(COUNTIFS(Setup!$L$6:$L$60,D849,Setup!$M$6:$M$60,C849)=0,"⚠ หมวดไม่ตรงประเภท","✓"))))</f>
        <v/>
      </c>
    </row>
    <row r="850">
      <c r="B850" s="113" t="n"/>
      <c r="C850" s="114" t="n"/>
      <c r="D850" s="115" t="n"/>
      <c r="E850" s="116" t="n"/>
      <c r="F850" s="115" t="n"/>
      <c r="G850" s="117">
        <f>IF(COUNTA(B850:E850)=0,"",IF(COUNTA(B850:E850)&lt;4,"⚠ กรอกไม่ครบ",IF(NOT(ISNUMBER(B850)),"⚠ วันที่ไม่ถูกต้อง",IF(COUNTIFS(Setup!$L$6:$L$60,D850,Setup!$M$6:$M$60,C850)=0,"⚠ หมวดไม่ตรงประเภท","✓"))))</f>
        <v/>
      </c>
    </row>
    <row r="851">
      <c r="B851" s="113" t="n"/>
      <c r="C851" s="114" t="n"/>
      <c r="D851" s="115" t="n"/>
      <c r="E851" s="116" t="n"/>
      <c r="F851" s="115" t="n"/>
      <c r="G851" s="117">
        <f>IF(COUNTA(B851:E851)=0,"",IF(COUNTA(B851:E851)&lt;4,"⚠ กรอกไม่ครบ",IF(NOT(ISNUMBER(B851)),"⚠ วันที่ไม่ถูกต้อง",IF(COUNTIFS(Setup!$L$6:$L$60,D851,Setup!$M$6:$M$60,C851)=0,"⚠ หมวดไม่ตรงประเภท","✓"))))</f>
        <v/>
      </c>
    </row>
    <row r="852">
      <c r="B852" s="113" t="n"/>
      <c r="C852" s="114" t="n"/>
      <c r="D852" s="115" t="n"/>
      <c r="E852" s="116" t="n"/>
      <c r="F852" s="115" t="n"/>
      <c r="G852" s="117">
        <f>IF(COUNTA(B852:E852)=0,"",IF(COUNTA(B852:E852)&lt;4,"⚠ กรอกไม่ครบ",IF(NOT(ISNUMBER(B852)),"⚠ วันที่ไม่ถูกต้อง",IF(COUNTIFS(Setup!$L$6:$L$60,D852,Setup!$M$6:$M$60,C852)=0,"⚠ หมวดไม่ตรงประเภท","✓"))))</f>
        <v/>
      </c>
    </row>
    <row r="853">
      <c r="B853" s="113" t="n"/>
      <c r="C853" s="114" t="n"/>
      <c r="D853" s="115" t="n"/>
      <c r="E853" s="116" t="n"/>
      <c r="F853" s="115" t="n"/>
      <c r="G853" s="117">
        <f>IF(COUNTA(B853:E853)=0,"",IF(COUNTA(B853:E853)&lt;4,"⚠ กรอกไม่ครบ",IF(NOT(ISNUMBER(B853)),"⚠ วันที่ไม่ถูกต้อง",IF(COUNTIFS(Setup!$L$6:$L$60,D853,Setup!$M$6:$M$60,C853)=0,"⚠ หมวดไม่ตรงประเภท","✓"))))</f>
        <v/>
      </c>
    </row>
    <row r="854">
      <c r="B854" s="113" t="n"/>
      <c r="C854" s="114" t="n"/>
      <c r="D854" s="115" t="n"/>
      <c r="E854" s="116" t="n"/>
      <c r="F854" s="115" t="n"/>
      <c r="G854" s="117">
        <f>IF(COUNTA(B854:E854)=0,"",IF(COUNTA(B854:E854)&lt;4,"⚠ กรอกไม่ครบ",IF(NOT(ISNUMBER(B854)),"⚠ วันที่ไม่ถูกต้อง",IF(COUNTIFS(Setup!$L$6:$L$60,D854,Setup!$M$6:$M$60,C854)=0,"⚠ หมวดไม่ตรงประเภท","✓"))))</f>
        <v/>
      </c>
    </row>
    <row r="855">
      <c r="B855" s="113" t="n"/>
      <c r="C855" s="114" t="n"/>
      <c r="D855" s="115" t="n"/>
      <c r="E855" s="116" t="n"/>
      <c r="F855" s="115" t="n"/>
      <c r="G855" s="117">
        <f>IF(COUNTA(B855:E855)=0,"",IF(COUNTA(B855:E855)&lt;4,"⚠ กรอกไม่ครบ",IF(NOT(ISNUMBER(B855)),"⚠ วันที่ไม่ถูกต้อง",IF(COUNTIFS(Setup!$L$6:$L$60,D855,Setup!$M$6:$M$60,C855)=0,"⚠ หมวดไม่ตรงประเภท","✓"))))</f>
        <v/>
      </c>
    </row>
    <row r="856">
      <c r="B856" s="113" t="n"/>
      <c r="C856" s="114" t="n"/>
      <c r="D856" s="115" t="n"/>
      <c r="E856" s="116" t="n"/>
      <c r="F856" s="115" t="n"/>
      <c r="G856" s="117">
        <f>IF(COUNTA(B856:E856)=0,"",IF(COUNTA(B856:E856)&lt;4,"⚠ กรอกไม่ครบ",IF(NOT(ISNUMBER(B856)),"⚠ วันที่ไม่ถูกต้อง",IF(COUNTIFS(Setup!$L$6:$L$60,D856,Setup!$M$6:$M$60,C856)=0,"⚠ หมวดไม่ตรงประเภท","✓"))))</f>
        <v/>
      </c>
    </row>
    <row r="857">
      <c r="B857" s="113" t="n"/>
      <c r="C857" s="114" t="n"/>
      <c r="D857" s="115" t="n"/>
      <c r="E857" s="116" t="n"/>
      <c r="F857" s="115" t="n"/>
      <c r="G857" s="117">
        <f>IF(COUNTA(B857:E857)=0,"",IF(COUNTA(B857:E857)&lt;4,"⚠ กรอกไม่ครบ",IF(NOT(ISNUMBER(B857)),"⚠ วันที่ไม่ถูกต้อง",IF(COUNTIFS(Setup!$L$6:$L$60,D857,Setup!$M$6:$M$60,C857)=0,"⚠ หมวดไม่ตรงประเภท","✓"))))</f>
        <v/>
      </c>
    </row>
    <row r="858">
      <c r="B858" s="113" t="n"/>
      <c r="C858" s="114" t="n"/>
      <c r="D858" s="115" t="n"/>
      <c r="E858" s="116" t="n"/>
      <c r="F858" s="115" t="n"/>
      <c r="G858" s="117">
        <f>IF(COUNTA(B858:E858)=0,"",IF(COUNTA(B858:E858)&lt;4,"⚠ กรอกไม่ครบ",IF(NOT(ISNUMBER(B858)),"⚠ วันที่ไม่ถูกต้อง",IF(COUNTIFS(Setup!$L$6:$L$60,D858,Setup!$M$6:$M$60,C858)=0,"⚠ หมวดไม่ตรงประเภท","✓"))))</f>
        <v/>
      </c>
    </row>
    <row r="859">
      <c r="B859" s="113" t="n"/>
      <c r="C859" s="114" t="n"/>
      <c r="D859" s="115" t="n"/>
      <c r="E859" s="116" t="n"/>
      <c r="F859" s="115" t="n"/>
      <c r="G859" s="117">
        <f>IF(COUNTA(B859:E859)=0,"",IF(COUNTA(B859:E859)&lt;4,"⚠ กรอกไม่ครบ",IF(NOT(ISNUMBER(B859)),"⚠ วันที่ไม่ถูกต้อง",IF(COUNTIFS(Setup!$L$6:$L$60,D859,Setup!$M$6:$M$60,C859)=0,"⚠ หมวดไม่ตรงประเภท","✓"))))</f>
        <v/>
      </c>
    </row>
    <row r="860">
      <c r="B860" s="113" t="n"/>
      <c r="C860" s="114" t="n"/>
      <c r="D860" s="115" t="n"/>
      <c r="E860" s="116" t="n"/>
      <c r="F860" s="115" t="n"/>
      <c r="G860" s="117">
        <f>IF(COUNTA(B860:E860)=0,"",IF(COUNTA(B860:E860)&lt;4,"⚠ กรอกไม่ครบ",IF(NOT(ISNUMBER(B860)),"⚠ วันที่ไม่ถูกต้อง",IF(COUNTIFS(Setup!$L$6:$L$60,D860,Setup!$M$6:$M$60,C860)=0,"⚠ หมวดไม่ตรงประเภท","✓"))))</f>
        <v/>
      </c>
    </row>
    <row r="861">
      <c r="B861" s="113" t="n"/>
      <c r="C861" s="114" t="n"/>
      <c r="D861" s="115" t="n"/>
      <c r="E861" s="116" t="n"/>
      <c r="F861" s="115" t="n"/>
      <c r="G861" s="117">
        <f>IF(COUNTA(B861:E861)=0,"",IF(COUNTA(B861:E861)&lt;4,"⚠ กรอกไม่ครบ",IF(NOT(ISNUMBER(B861)),"⚠ วันที่ไม่ถูกต้อง",IF(COUNTIFS(Setup!$L$6:$L$60,D861,Setup!$M$6:$M$60,C861)=0,"⚠ หมวดไม่ตรงประเภท","✓"))))</f>
        <v/>
      </c>
    </row>
    <row r="862">
      <c r="B862" s="113" t="n"/>
      <c r="C862" s="114" t="n"/>
      <c r="D862" s="115" t="n"/>
      <c r="E862" s="116" t="n"/>
      <c r="F862" s="115" t="n"/>
      <c r="G862" s="117">
        <f>IF(COUNTA(B862:E862)=0,"",IF(COUNTA(B862:E862)&lt;4,"⚠ กรอกไม่ครบ",IF(NOT(ISNUMBER(B862)),"⚠ วันที่ไม่ถูกต้อง",IF(COUNTIFS(Setup!$L$6:$L$60,D862,Setup!$M$6:$M$60,C862)=0,"⚠ หมวดไม่ตรงประเภท","✓"))))</f>
        <v/>
      </c>
    </row>
    <row r="863">
      <c r="B863" s="113" t="n"/>
      <c r="C863" s="114" t="n"/>
      <c r="D863" s="115" t="n"/>
      <c r="E863" s="116" t="n"/>
      <c r="F863" s="115" t="n"/>
      <c r="G863" s="117">
        <f>IF(COUNTA(B863:E863)=0,"",IF(COUNTA(B863:E863)&lt;4,"⚠ กรอกไม่ครบ",IF(NOT(ISNUMBER(B863)),"⚠ วันที่ไม่ถูกต้อง",IF(COUNTIFS(Setup!$L$6:$L$60,D863,Setup!$M$6:$M$60,C863)=0,"⚠ หมวดไม่ตรงประเภท","✓"))))</f>
        <v/>
      </c>
    </row>
    <row r="864">
      <c r="B864" s="113" t="n"/>
      <c r="C864" s="114" t="n"/>
      <c r="D864" s="115" t="n"/>
      <c r="E864" s="116" t="n"/>
      <c r="F864" s="115" t="n"/>
      <c r="G864" s="117">
        <f>IF(COUNTA(B864:E864)=0,"",IF(COUNTA(B864:E864)&lt;4,"⚠ กรอกไม่ครบ",IF(NOT(ISNUMBER(B864)),"⚠ วันที่ไม่ถูกต้อง",IF(COUNTIFS(Setup!$L$6:$L$60,D864,Setup!$M$6:$M$60,C864)=0,"⚠ หมวดไม่ตรงประเภท","✓"))))</f>
        <v/>
      </c>
    </row>
    <row r="865">
      <c r="B865" s="113" t="n"/>
      <c r="C865" s="114" t="n"/>
      <c r="D865" s="115" t="n"/>
      <c r="E865" s="116" t="n"/>
      <c r="F865" s="115" t="n"/>
      <c r="G865" s="117">
        <f>IF(COUNTA(B865:E865)=0,"",IF(COUNTA(B865:E865)&lt;4,"⚠ กรอกไม่ครบ",IF(NOT(ISNUMBER(B865)),"⚠ วันที่ไม่ถูกต้อง",IF(COUNTIFS(Setup!$L$6:$L$60,D865,Setup!$M$6:$M$60,C865)=0,"⚠ หมวดไม่ตรงประเภท","✓"))))</f>
        <v/>
      </c>
    </row>
    <row r="866">
      <c r="B866" s="113" t="n"/>
      <c r="C866" s="114" t="n"/>
      <c r="D866" s="115" t="n"/>
      <c r="E866" s="116" t="n"/>
      <c r="F866" s="115" t="n"/>
      <c r="G866" s="117">
        <f>IF(COUNTA(B866:E866)=0,"",IF(COUNTA(B866:E866)&lt;4,"⚠ กรอกไม่ครบ",IF(NOT(ISNUMBER(B866)),"⚠ วันที่ไม่ถูกต้อง",IF(COUNTIFS(Setup!$L$6:$L$60,D866,Setup!$M$6:$M$60,C866)=0,"⚠ หมวดไม่ตรงประเภท","✓"))))</f>
        <v/>
      </c>
    </row>
    <row r="867">
      <c r="B867" s="113" t="n"/>
      <c r="C867" s="114" t="n"/>
      <c r="D867" s="115" t="n"/>
      <c r="E867" s="116" t="n"/>
      <c r="F867" s="115" t="n"/>
      <c r="G867" s="117">
        <f>IF(COUNTA(B867:E867)=0,"",IF(COUNTA(B867:E867)&lt;4,"⚠ กรอกไม่ครบ",IF(NOT(ISNUMBER(B867)),"⚠ วันที่ไม่ถูกต้อง",IF(COUNTIFS(Setup!$L$6:$L$60,D867,Setup!$M$6:$M$60,C867)=0,"⚠ หมวดไม่ตรงประเภท","✓"))))</f>
        <v/>
      </c>
    </row>
    <row r="868">
      <c r="B868" s="113" t="n"/>
      <c r="C868" s="114" t="n"/>
      <c r="D868" s="115" t="n"/>
      <c r="E868" s="116" t="n"/>
      <c r="F868" s="115" t="n"/>
      <c r="G868" s="117">
        <f>IF(COUNTA(B868:E868)=0,"",IF(COUNTA(B868:E868)&lt;4,"⚠ กรอกไม่ครบ",IF(NOT(ISNUMBER(B868)),"⚠ วันที่ไม่ถูกต้อง",IF(COUNTIFS(Setup!$L$6:$L$60,D868,Setup!$M$6:$M$60,C868)=0,"⚠ หมวดไม่ตรงประเภท","✓"))))</f>
        <v/>
      </c>
    </row>
    <row r="869">
      <c r="B869" s="113" t="n"/>
      <c r="C869" s="114" t="n"/>
      <c r="D869" s="115" t="n"/>
      <c r="E869" s="116" t="n"/>
      <c r="F869" s="115" t="n"/>
      <c r="G869" s="117">
        <f>IF(COUNTA(B869:E869)=0,"",IF(COUNTA(B869:E869)&lt;4,"⚠ กรอกไม่ครบ",IF(NOT(ISNUMBER(B869)),"⚠ วันที่ไม่ถูกต้อง",IF(COUNTIFS(Setup!$L$6:$L$60,D869,Setup!$M$6:$M$60,C869)=0,"⚠ หมวดไม่ตรงประเภท","✓"))))</f>
        <v/>
      </c>
    </row>
    <row r="870">
      <c r="B870" s="113" t="n"/>
      <c r="C870" s="114" t="n"/>
      <c r="D870" s="115" t="n"/>
      <c r="E870" s="116" t="n"/>
      <c r="F870" s="115" t="n"/>
      <c r="G870" s="117">
        <f>IF(COUNTA(B870:E870)=0,"",IF(COUNTA(B870:E870)&lt;4,"⚠ กรอกไม่ครบ",IF(NOT(ISNUMBER(B870)),"⚠ วันที่ไม่ถูกต้อง",IF(COUNTIFS(Setup!$L$6:$L$60,D870,Setup!$M$6:$M$60,C870)=0,"⚠ หมวดไม่ตรงประเภท","✓"))))</f>
        <v/>
      </c>
    </row>
    <row r="871">
      <c r="B871" s="113" t="n"/>
      <c r="C871" s="114" t="n"/>
      <c r="D871" s="115" t="n"/>
      <c r="E871" s="116" t="n"/>
      <c r="F871" s="115" t="n"/>
      <c r="G871" s="117">
        <f>IF(COUNTA(B871:E871)=0,"",IF(COUNTA(B871:E871)&lt;4,"⚠ กรอกไม่ครบ",IF(NOT(ISNUMBER(B871)),"⚠ วันที่ไม่ถูกต้อง",IF(COUNTIFS(Setup!$L$6:$L$60,D871,Setup!$M$6:$M$60,C871)=0,"⚠ หมวดไม่ตรงประเภท","✓"))))</f>
        <v/>
      </c>
    </row>
    <row r="872">
      <c r="B872" s="113" t="n"/>
      <c r="C872" s="114" t="n"/>
      <c r="D872" s="115" t="n"/>
      <c r="E872" s="116" t="n"/>
      <c r="F872" s="115" t="n"/>
      <c r="G872" s="117">
        <f>IF(COUNTA(B872:E872)=0,"",IF(COUNTA(B872:E872)&lt;4,"⚠ กรอกไม่ครบ",IF(NOT(ISNUMBER(B872)),"⚠ วันที่ไม่ถูกต้อง",IF(COUNTIFS(Setup!$L$6:$L$60,D872,Setup!$M$6:$M$60,C872)=0,"⚠ หมวดไม่ตรงประเภท","✓"))))</f>
        <v/>
      </c>
    </row>
    <row r="873">
      <c r="B873" s="113" t="n"/>
      <c r="C873" s="114" t="n"/>
      <c r="D873" s="115" t="n"/>
      <c r="E873" s="116" t="n"/>
      <c r="F873" s="115" t="n"/>
      <c r="G873" s="117">
        <f>IF(COUNTA(B873:E873)=0,"",IF(COUNTA(B873:E873)&lt;4,"⚠ กรอกไม่ครบ",IF(NOT(ISNUMBER(B873)),"⚠ วันที่ไม่ถูกต้อง",IF(COUNTIFS(Setup!$L$6:$L$60,D873,Setup!$M$6:$M$60,C873)=0,"⚠ หมวดไม่ตรงประเภท","✓"))))</f>
        <v/>
      </c>
    </row>
    <row r="874">
      <c r="B874" s="113" t="n"/>
      <c r="C874" s="114" t="n"/>
      <c r="D874" s="115" t="n"/>
      <c r="E874" s="116" t="n"/>
      <c r="F874" s="115" t="n"/>
      <c r="G874" s="117">
        <f>IF(COUNTA(B874:E874)=0,"",IF(COUNTA(B874:E874)&lt;4,"⚠ กรอกไม่ครบ",IF(NOT(ISNUMBER(B874)),"⚠ วันที่ไม่ถูกต้อง",IF(COUNTIFS(Setup!$L$6:$L$60,D874,Setup!$M$6:$M$60,C874)=0,"⚠ หมวดไม่ตรงประเภท","✓"))))</f>
        <v/>
      </c>
    </row>
    <row r="875">
      <c r="B875" s="113" t="n"/>
      <c r="C875" s="114" t="n"/>
      <c r="D875" s="115" t="n"/>
      <c r="E875" s="116" t="n"/>
      <c r="F875" s="115" t="n"/>
      <c r="G875" s="117">
        <f>IF(COUNTA(B875:E875)=0,"",IF(COUNTA(B875:E875)&lt;4,"⚠ กรอกไม่ครบ",IF(NOT(ISNUMBER(B875)),"⚠ วันที่ไม่ถูกต้อง",IF(COUNTIFS(Setup!$L$6:$L$60,D875,Setup!$M$6:$M$60,C875)=0,"⚠ หมวดไม่ตรงประเภท","✓"))))</f>
        <v/>
      </c>
    </row>
    <row r="876">
      <c r="B876" s="113" t="n"/>
      <c r="C876" s="114" t="n"/>
      <c r="D876" s="115" t="n"/>
      <c r="E876" s="116" t="n"/>
      <c r="F876" s="115" t="n"/>
      <c r="G876" s="117">
        <f>IF(COUNTA(B876:E876)=0,"",IF(COUNTA(B876:E876)&lt;4,"⚠ กรอกไม่ครบ",IF(NOT(ISNUMBER(B876)),"⚠ วันที่ไม่ถูกต้อง",IF(COUNTIFS(Setup!$L$6:$L$60,D876,Setup!$M$6:$M$60,C876)=0,"⚠ หมวดไม่ตรงประเภท","✓"))))</f>
        <v/>
      </c>
    </row>
    <row r="877">
      <c r="B877" s="113" t="n"/>
      <c r="C877" s="114" t="n"/>
      <c r="D877" s="115" t="n"/>
      <c r="E877" s="116" t="n"/>
      <c r="F877" s="115" t="n"/>
      <c r="G877" s="117">
        <f>IF(COUNTA(B877:E877)=0,"",IF(COUNTA(B877:E877)&lt;4,"⚠ กรอกไม่ครบ",IF(NOT(ISNUMBER(B877)),"⚠ วันที่ไม่ถูกต้อง",IF(COUNTIFS(Setup!$L$6:$L$60,D877,Setup!$M$6:$M$60,C877)=0,"⚠ หมวดไม่ตรงประเภท","✓"))))</f>
        <v/>
      </c>
    </row>
    <row r="878">
      <c r="B878" s="113" t="n"/>
      <c r="C878" s="114" t="n"/>
      <c r="D878" s="115" t="n"/>
      <c r="E878" s="116" t="n"/>
      <c r="F878" s="115" t="n"/>
      <c r="G878" s="117">
        <f>IF(COUNTA(B878:E878)=0,"",IF(COUNTA(B878:E878)&lt;4,"⚠ กรอกไม่ครบ",IF(NOT(ISNUMBER(B878)),"⚠ วันที่ไม่ถูกต้อง",IF(COUNTIFS(Setup!$L$6:$L$60,D878,Setup!$M$6:$M$60,C878)=0,"⚠ หมวดไม่ตรงประเภท","✓"))))</f>
        <v/>
      </c>
    </row>
    <row r="879">
      <c r="B879" s="113" t="n"/>
      <c r="C879" s="114" t="n"/>
      <c r="D879" s="115" t="n"/>
      <c r="E879" s="116" t="n"/>
      <c r="F879" s="115" t="n"/>
      <c r="G879" s="117">
        <f>IF(COUNTA(B879:E879)=0,"",IF(COUNTA(B879:E879)&lt;4,"⚠ กรอกไม่ครบ",IF(NOT(ISNUMBER(B879)),"⚠ วันที่ไม่ถูกต้อง",IF(COUNTIFS(Setup!$L$6:$L$60,D879,Setup!$M$6:$M$60,C879)=0,"⚠ หมวดไม่ตรงประเภท","✓"))))</f>
        <v/>
      </c>
    </row>
    <row r="880">
      <c r="B880" s="113" t="n"/>
      <c r="C880" s="114" t="n"/>
      <c r="D880" s="115" t="n"/>
      <c r="E880" s="116" t="n"/>
      <c r="F880" s="115" t="n"/>
      <c r="G880" s="117">
        <f>IF(COUNTA(B880:E880)=0,"",IF(COUNTA(B880:E880)&lt;4,"⚠ กรอกไม่ครบ",IF(NOT(ISNUMBER(B880)),"⚠ วันที่ไม่ถูกต้อง",IF(COUNTIFS(Setup!$L$6:$L$60,D880,Setup!$M$6:$M$60,C880)=0,"⚠ หมวดไม่ตรงประเภท","✓"))))</f>
        <v/>
      </c>
    </row>
    <row r="881">
      <c r="B881" s="113" t="n"/>
      <c r="C881" s="114" t="n"/>
      <c r="D881" s="115" t="n"/>
      <c r="E881" s="116" t="n"/>
      <c r="F881" s="115" t="n"/>
      <c r="G881" s="117">
        <f>IF(COUNTA(B881:E881)=0,"",IF(COUNTA(B881:E881)&lt;4,"⚠ กรอกไม่ครบ",IF(NOT(ISNUMBER(B881)),"⚠ วันที่ไม่ถูกต้อง",IF(COUNTIFS(Setup!$L$6:$L$60,D881,Setup!$M$6:$M$60,C881)=0,"⚠ หมวดไม่ตรงประเภท","✓"))))</f>
        <v/>
      </c>
    </row>
    <row r="882">
      <c r="B882" s="113" t="n"/>
      <c r="C882" s="114" t="n"/>
      <c r="D882" s="115" t="n"/>
      <c r="E882" s="116" t="n"/>
      <c r="F882" s="115" t="n"/>
      <c r="G882" s="117">
        <f>IF(COUNTA(B882:E882)=0,"",IF(COUNTA(B882:E882)&lt;4,"⚠ กรอกไม่ครบ",IF(NOT(ISNUMBER(B882)),"⚠ วันที่ไม่ถูกต้อง",IF(COUNTIFS(Setup!$L$6:$L$60,D882,Setup!$M$6:$M$60,C882)=0,"⚠ หมวดไม่ตรงประเภท","✓"))))</f>
        <v/>
      </c>
    </row>
    <row r="883">
      <c r="B883" s="113" t="n"/>
      <c r="C883" s="114" t="n"/>
      <c r="D883" s="115" t="n"/>
      <c r="E883" s="116" t="n"/>
      <c r="F883" s="115" t="n"/>
      <c r="G883" s="117">
        <f>IF(COUNTA(B883:E883)=0,"",IF(COUNTA(B883:E883)&lt;4,"⚠ กรอกไม่ครบ",IF(NOT(ISNUMBER(B883)),"⚠ วันที่ไม่ถูกต้อง",IF(COUNTIFS(Setup!$L$6:$L$60,D883,Setup!$M$6:$M$60,C883)=0,"⚠ หมวดไม่ตรงประเภท","✓"))))</f>
        <v/>
      </c>
    </row>
    <row r="884">
      <c r="B884" s="113" t="n"/>
      <c r="C884" s="114" t="n"/>
      <c r="D884" s="115" t="n"/>
      <c r="E884" s="116" t="n"/>
      <c r="F884" s="115" t="n"/>
      <c r="G884" s="117">
        <f>IF(COUNTA(B884:E884)=0,"",IF(COUNTA(B884:E884)&lt;4,"⚠ กรอกไม่ครบ",IF(NOT(ISNUMBER(B884)),"⚠ วันที่ไม่ถูกต้อง",IF(COUNTIFS(Setup!$L$6:$L$60,D884,Setup!$M$6:$M$60,C884)=0,"⚠ หมวดไม่ตรงประเภท","✓"))))</f>
        <v/>
      </c>
    </row>
    <row r="885">
      <c r="B885" s="113" t="n"/>
      <c r="C885" s="114" t="n"/>
      <c r="D885" s="115" t="n"/>
      <c r="E885" s="116" t="n"/>
      <c r="F885" s="115" t="n"/>
      <c r="G885" s="117">
        <f>IF(COUNTA(B885:E885)=0,"",IF(COUNTA(B885:E885)&lt;4,"⚠ กรอกไม่ครบ",IF(NOT(ISNUMBER(B885)),"⚠ วันที่ไม่ถูกต้อง",IF(COUNTIFS(Setup!$L$6:$L$60,D885,Setup!$M$6:$M$60,C885)=0,"⚠ หมวดไม่ตรงประเภท","✓"))))</f>
        <v/>
      </c>
    </row>
    <row r="886">
      <c r="B886" s="113" t="n"/>
      <c r="C886" s="114" t="n"/>
      <c r="D886" s="115" t="n"/>
      <c r="E886" s="116" t="n"/>
      <c r="F886" s="115" t="n"/>
      <c r="G886" s="117">
        <f>IF(COUNTA(B886:E886)=0,"",IF(COUNTA(B886:E886)&lt;4,"⚠ กรอกไม่ครบ",IF(NOT(ISNUMBER(B886)),"⚠ วันที่ไม่ถูกต้อง",IF(COUNTIFS(Setup!$L$6:$L$60,D886,Setup!$M$6:$M$60,C886)=0,"⚠ หมวดไม่ตรงประเภท","✓"))))</f>
        <v/>
      </c>
    </row>
    <row r="887">
      <c r="B887" s="113" t="n"/>
      <c r="C887" s="114" t="n"/>
      <c r="D887" s="115" t="n"/>
      <c r="E887" s="116" t="n"/>
      <c r="F887" s="115" t="n"/>
      <c r="G887" s="117">
        <f>IF(COUNTA(B887:E887)=0,"",IF(COUNTA(B887:E887)&lt;4,"⚠ กรอกไม่ครบ",IF(NOT(ISNUMBER(B887)),"⚠ วันที่ไม่ถูกต้อง",IF(COUNTIFS(Setup!$L$6:$L$60,D887,Setup!$M$6:$M$60,C887)=0,"⚠ หมวดไม่ตรงประเภท","✓"))))</f>
        <v/>
      </c>
    </row>
    <row r="888">
      <c r="B888" s="113" t="n"/>
      <c r="C888" s="114" t="n"/>
      <c r="D888" s="115" t="n"/>
      <c r="E888" s="116" t="n"/>
      <c r="F888" s="115" t="n"/>
      <c r="G888" s="117">
        <f>IF(COUNTA(B888:E888)=0,"",IF(COUNTA(B888:E888)&lt;4,"⚠ กรอกไม่ครบ",IF(NOT(ISNUMBER(B888)),"⚠ วันที่ไม่ถูกต้อง",IF(COUNTIFS(Setup!$L$6:$L$60,D888,Setup!$M$6:$M$60,C888)=0,"⚠ หมวดไม่ตรงประเภท","✓"))))</f>
        <v/>
      </c>
    </row>
    <row r="889">
      <c r="B889" s="113" t="n"/>
      <c r="C889" s="114" t="n"/>
      <c r="D889" s="115" t="n"/>
      <c r="E889" s="116" t="n"/>
      <c r="F889" s="115" t="n"/>
      <c r="G889" s="117">
        <f>IF(COUNTA(B889:E889)=0,"",IF(COUNTA(B889:E889)&lt;4,"⚠ กรอกไม่ครบ",IF(NOT(ISNUMBER(B889)),"⚠ วันที่ไม่ถูกต้อง",IF(COUNTIFS(Setup!$L$6:$L$60,D889,Setup!$M$6:$M$60,C889)=0,"⚠ หมวดไม่ตรงประเภท","✓"))))</f>
        <v/>
      </c>
    </row>
    <row r="890">
      <c r="B890" s="113" t="n"/>
      <c r="C890" s="114" t="n"/>
      <c r="D890" s="115" t="n"/>
      <c r="E890" s="116" t="n"/>
      <c r="F890" s="115" t="n"/>
      <c r="G890" s="117">
        <f>IF(COUNTA(B890:E890)=0,"",IF(COUNTA(B890:E890)&lt;4,"⚠ กรอกไม่ครบ",IF(NOT(ISNUMBER(B890)),"⚠ วันที่ไม่ถูกต้อง",IF(COUNTIFS(Setup!$L$6:$L$60,D890,Setup!$M$6:$M$60,C890)=0,"⚠ หมวดไม่ตรงประเภท","✓"))))</f>
        <v/>
      </c>
    </row>
    <row r="891">
      <c r="B891" s="113" t="n"/>
      <c r="C891" s="114" t="n"/>
      <c r="D891" s="115" t="n"/>
      <c r="E891" s="116" t="n"/>
      <c r="F891" s="115" t="n"/>
      <c r="G891" s="117">
        <f>IF(COUNTA(B891:E891)=0,"",IF(COUNTA(B891:E891)&lt;4,"⚠ กรอกไม่ครบ",IF(NOT(ISNUMBER(B891)),"⚠ วันที่ไม่ถูกต้อง",IF(COUNTIFS(Setup!$L$6:$L$60,D891,Setup!$M$6:$M$60,C891)=0,"⚠ หมวดไม่ตรงประเภท","✓"))))</f>
        <v/>
      </c>
    </row>
    <row r="892">
      <c r="B892" s="113" t="n"/>
      <c r="C892" s="114" t="n"/>
      <c r="D892" s="115" t="n"/>
      <c r="E892" s="116" t="n"/>
      <c r="F892" s="115" t="n"/>
      <c r="G892" s="117">
        <f>IF(COUNTA(B892:E892)=0,"",IF(COUNTA(B892:E892)&lt;4,"⚠ กรอกไม่ครบ",IF(NOT(ISNUMBER(B892)),"⚠ วันที่ไม่ถูกต้อง",IF(COUNTIFS(Setup!$L$6:$L$60,D892,Setup!$M$6:$M$60,C892)=0,"⚠ หมวดไม่ตรงประเภท","✓"))))</f>
        <v/>
      </c>
    </row>
    <row r="893">
      <c r="B893" s="113" t="n"/>
      <c r="C893" s="114" t="n"/>
      <c r="D893" s="115" t="n"/>
      <c r="E893" s="116" t="n"/>
      <c r="F893" s="115" t="n"/>
      <c r="G893" s="117">
        <f>IF(COUNTA(B893:E893)=0,"",IF(COUNTA(B893:E893)&lt;4,"⚠ กรอกไม่ครบ",IF(NOT(ISNUMBER(B893)),"⚠ วันที่ไม่ถูกต้อง",IF(COUNTIFS(Setup!$L$6:$L$60,D893,Setup!$M$6:$M$60,C893)=0,"⚠ หมวดไม่ตรงประเภท","✓"))))</f>
        <v/>
      </c>
    </row>
    <row r="894">
      <c r="B894" s="113" t="n"/>
      <c r="C894" s="114" t="n"/>
      <c r="D894" s="115" t="n"/>
      <c r="E894" s="116" t="n"/>
      <c r="F894" s="115" t="n"/>
      <c r="G894" s="117">
        <f>IF(COUNTA(B894:E894)=0,"",IF(COUNTA(B894:E894)&lt;4,"⚠ กรอกไม่ครบ",IF(NOT(ISNUMBER(B894)),"⚠ วันที่ไม่ถูกต้อง",IF(COUNTIFS(Setup!$L$6:$L$60,D894,Setup!$M$6:$M$60,C894)=0,"⚠ หมวดไม่ตรงประเภท","✓"))))</f>
        <v/>
      </c>
    </row>
    <row r="895">
      <c r="B895" s="113" t="n"/>
      <c r="C895" s="114" t="n"/>
      <c r="D895" s="115" t="n"/>
      <c r="E895" s="116" t="n"/>
      <c r="F895" s="115" t="n"/>
      <c r="G895" s="117">
        <f>IF(COUNTA(B895:E895)=0,"",IF(COUNTA(B895:E895)&lt;4,"⚠ กรอกไม่ครบ",IF(NOT(ISNUMBER(B895)),"⚠ วันที่ไม่ถูกต้อง",IF(COUNTIFS(Setup!$L$6:$L$60,D895,Setup!$M$6:$M$60,C895)=0,"⚠ หมวดไม่ตรงประเภท","✓"))))</f>
        <v/>
      </c>
    </row>
    <row r="896">
      <c r="B896" s="113" t="n"/>
      <c r="C896" s="114" t="n"/>
      <c r="D896" s="115" t="n"/>
      <c r="E896" s="116" t="n"/>
      <c r="F896" s="115" t="n"/>
      <c r="G896" s="117">
        <f>IF(COUNTA(B896:E896)=0,"",IF(COUNTA(B896:E896)&lt;4,"⚠ กรอกไม่ครบ",IF(NOT(ISNUMBER(B896)),"⚠ วันที่ไม่ถูกต้อง",IF(COUNTIFS(Setup!$L$6:$L$60,D896,Setup!$M$6:$M$60,C896)=0,"⚠ หมวดไม่ตรงประเภท","✓"))))</f>
        <v/>
      </c>
    </row>
    <row r="897">
      <c r="B897" s="113" t="n"/>
      <c r="C897" s="114" t="n"/>
      <c r="D897" s="115" t="n"/>
      <c r="E897" s="116" t="n"/>
      <c r="F897" s="115" t="n"/>
      <c r="G897" s="117">
        <f>IF(COUNTA(B897:E897)=0,"",IF(COUNTA(B897:E897)&lt;4,"⚠ กรอกไม่ครบ",IF(NOT(ISNUMBER(B897)),"⚠ วันที่ไม่ถูกต้อง",IF(COUNTIFS(Setup!$L$6:$L$60,D897,Setup!$M$6:$M$60,C897)=0,"⚠ หมวดไม่ตรงประเภท","✓"))))</f>
        <v/>
      </c>
    </row>
    <row r="898">
      <c r="B898" s="113" t="n"/>
      <c r="C898" s="114" t="n"/>
      <c r="D898" s="115" t="n"/>
      <c r="E898" s="116" t="n"/>
      <c r="F898" s="115" t="n"/>
      <c r="G898" s="117">
        <f>IF(COUNTA(B898:E898)=0,"",IF(COUNTA(B898:E898)&lt;4,"⚠ กรอกไม่ครบ",IF(NOT(ISNUMBER(B898)),"⚠ วันที่ไม่ถูกต้อง",IF(COUNTIFS(Setup!$L$6:$L$60,D898,Setup!$M$6:$M$60,C898)=0,"⚠ หมวดไม่ตรงประเภท","✓"))))</f>
        <v/>
      </c>
    </row>
    <row r="899">
      <c r="B899" s="113" t="n"/>
      <c r="C899" s="114" t="n"/>
      <c r="D899" s="115" t="n"/>
      <c r="E899" s="116" t="n"/>
      <c r="F899" s="115" t="n"/>
      <c r="G899" s="117">
        <f>IF(COUNTA(B899:E899)=0,"",IF(COUNTA(B899:E899)&lt;4,"⚠ กรอกไม่ครบ",IF(NOT(ISNUMBER(B899)),"⚠ วันที่ไม่ถูกต้อง",IF(COUNTIFS(Setup!$L$6:$L$60,D899,Setup!$M$6:$M$60,C899)=0,"⚠ หมวดไม่ตรงประเภท","✓"))))</f>
        <v/>
      </c>
    </row>
    <row r="900">
      <c r="B900" s="113" t="n"/>
      <c r="C900" s="114" t="n"/>
      <c r="D900" s="115" t="n"/>
      <c r="E900" s="116" t="n"/>
      <c r="F900" s="115" t="n"/>
      <c r="G900" s="117">
        <f>IF(COUNTA(B900:E900)=0,"",IF(COUNTA(B900:E900)&lt;4,"⚠ กรอกไม่ครบ",IF(NOT(ISNUMBER(B900)),"⚠ วันที่ไม่ถูกต้อง",IF(COUNTIFS(Setup!$L$6:$L$60,D900,Setup!$M$6:$M$60,C900)=0,"⚠ หมวดไม่ตรงประเภท","✓"))))</f>
        <v/>
      </c>
    </row>
    <row r="901">
      <c r="B901" s="113" t="n"/>
      <c r="C901" s="114" t="n"/>
      <c r="D901" s="115" t="n"/>
      <c r="E901" s="116" t="n"/>
      <c r="F901" s="115" t="n"/>
      <c r="G901" s="117">
        <f>IF(COUNTA(B901:E901)=0,"",IF(COUNTA(B901:E901)&lt;4,"⚠ กรอกไม่ครบ",IF(NOT(ISNUMBER(B901)),"⚠ วันที่ไม่ถูกต้อง",IF(COUNTIFS(Setup!$L$6:$L$60,D901,Setup!$M$6:$M$60,C901)=0,"⚠ หมวดไม่ตรงประเภท","✓"))))</f>
        <v/>
      </c>
    </row>
    <row r="902">
      <c r="B902" s="113" t="n"/>
      <c r="C902" s="114" t="n"/>
      <c r="D902" s="115" t="n"/>
      <c r="E902" s="116" t="n"/>
      <c r="F902" s="115" t="n"/>
      <c r="G902" s="117">
        <f>IF(COUNTA(B902:E902)=0,"",IF(COUNTA(B902:E902)&lt;4,"⚠ กรอกไม่ครบ",IF(NOT(ISNUMBER(B902)),"⚠ วันที่ไม่ถูกต้อง",IF(COUNTIFS(Setup!$L$6:$L$60,D902,Setup!$M$6:$M$60,C902)=0,"⚠ หมวดไม่ตรงประเภท","✓"))))</f>
        <v/>
      </c>
    </row>
    <row r="903">
      <c r="B903" s="113" t="n"/>
      <c r="C903" s="114" t="n"/>
      <c r="D903" s="115" t="n"/>
      <c r="E903" s="116" t="n"/>
      <c r="F903" s="115" t="n"/>
      <c r="G903" s="117">
        <f>IF(COUNTA(B903:E903)=0,"",IF(COUNTA(B903:E903)&lt;4,"⚠ กรอกไม่ครบ",IF(NOT(ISNUMBER(B903)),"⚠ วันที่ไม่ถูกต้อง",IF(COUNTIFS(Setup!$L$6:$L$60,D903,Setup!$M$6:$M$60,C903)=0,"⚠ หมวดไม่ตรงประเภท","✓"))))</f>
        <v/>
      </c>
    </row>
    <row r="904">
      <c r="B904" s="113" t="n"/>
      <c r="C904" s="114" t="n"/>
      <c r="D904" s="115" t="n"/>
      <c r="E904" s="116" t="n"/>
      <c r="F904" s="115" t="n"/>
      <c r="G904" s="117">
        <f>IF(COUNTA(B904:E904)=0,"",IF(COUNTA(B904:E904)&lt;4,"⚠ กรอกไม่ครบ",IF(NOT(ISNUMBER(B904)),"⚠ วันที่ไม่ถูกต้อง",IF(COUNTIFS(Setup!$L$6:$L$60,D904,Setup!$M$6:$M$60,C904)=0,"⚠ หมวดไม่ตรงประเภท","✓"))))</f>
        <v/>
      </c>
    </row>
    <row r="905">
      <c r="B905" s="113" t="n"/>
      <c r="C905" s="114" t="n"/>
      <c r="D905" s="115" t="n"/>
      <c r="E905" s="116" t="n"/>
      <c r="F905" s="115" t="n"/>
      <c r="G905" s="117">
        <f>IF(COUNTA(B905:E905)=0,"",IF(COUNTA(B905:E905)&lt;4,"⚠ กรอกไม่ครบ",IF(NOT(ISNUMBER(B905)),"⚠ วันที่ไม่ถูกต้อง",IF(COUNTIFS(Setup!$L$6:$L$60,D905,Setup!$M$6:$M$60,C905)=0,"⚠ หมวดไม่ตรงประเภท","✓"))))</f>
        <v/>
      </c>
    </row>
    <row r="906">
      <c r="B906" s="113" t="n"/>
      <c r="C906" s="114" t="n"/>
      <c r="D906" s="115" t="n"/>
      <c r="E906" s="116" t="n"/>
      <c r="F906" s="115" t="n"/>
      <c r="G906" s="117">
        <f>IF(COUNTA(B906:E906)=0,"",IF(COUNTA(B906:E906)&lt;4,"⚠ กรอกไม่ครบ",IF(NOT(ISNUMBER(B906)),"⚠ วันที่ไม่ถูกต้อง",IF(COUNTIFS(Setup!$L$6:$L$60,D906,Setup!$M$6:$M$60,C906)=0,"⚠ หมวดไม่ตรงประเภท","✓"))))</f>
        <v/>
      </c>
    </row>
    <row r="907">
      <c r="B907" s="113" t="n"/>
      <c r="C907" s="114" t="n"/>
      <c r="D907" s="115" t="n"/>
      <c r="E907" s="116" t="n"/>
      <c r="F907" s="115" t="n"/>
      <c r="G907" s="117">
        <f>IF(COUNTA(B907:E907)=0,"",IF(COUNTA(B907:E907)&lt;4,"⚠ กรอกไม่ครบ",IF(NOT(ISNUMBER(B907)),"⚠ วันที่ไม่ถูกต้อง",IF(COUNTIFS(Setup!$L$6:$L$60,D907,Setup!$M$6:$M$60,C907)=0,"⚠ หมวดไม่ตรงประเภท","✓"))))</f>
        <v/>
      </c>
    </row>
    <row r="908">
      <c r="B908" s="113" t="n"/>
      <c r="C908" s="114" t="n"/>
      <c r="D908" s="115" t="n"/>
      <c r="E908" s="116" t="n"/>
      <c r="F908" s="115" t="n"/>
      <c r="G908" s="117">
        <f>IF(COUNTA(B908:E908)=0,"",IF(COUNTA(B908:E908)&lt;4,"⚠ กรอกไม่ครบ",IF(NOT(ISNUMBER(B908)),"⚠ วันที่ไม่ถูกต้อง",IF(COUNTIFS(Setup!$L$6:$L$60,D908,Setup!$M$6:$M$60,C908)=0,"⚠ หมวดไม่ตรงประเภท","✓"))))</f>
        <v/>
      </c>
    </row>
    <row r="909">
      <c r="B909" s="113" t="n"/>
      <c r="C909" s="114" t="n"/>
      <c r="D909" s="115" t="n"/>
      <c r="E909" s="116" t="n"/>
      <c r="F909" s="115" t="n"/>
      <c r="G909" s="117">
        <f>IF(COUNTA(B909:E909)=0,"",IF(COUNTA(B909:E909)&lt;4,"⚠ กรอกไม่ครบ",IF(NOT(ISNUMBER(B909)),"⚠ วันที่ไม่ถูกต้อง",IF(COUNTIFS(Setup!$L$6:$L$60,D909,Setup!$M$6:$M$60,C909)=0,"⚠ หมวดไม่ตรงประเภท","✓"))))</f>
        <v/>
      </c>
    </row>
    <row r="910">
      <c r="B910" s="113" t="n"/>
      <c r="C910" s="114" t="n"/>
      <c r="D910" s="115" t="n"/>
      <c r="E910" s="116" t="n"/>
      <c r="F910" s="115" t="n"/>
      <c r="G910" s="117">
        <f>IF(COUNTA(B910:E910)=0,"",IF(COUNTA(B910:E910)&lt;4,"⚠ กรอกไม่ครบ",IF(NOT(ISNUMBER(B910)),"⚠ วันที่ไม่ถูกต้อง",IF(COUNTIFS(Setup!$L$6:$L$60,D910,Setup!$M$6:$M$60,C910)=0,"⚠ หมวดไม่ตรงประเภท","✓"))))</f>
        <v/>
      </c>
    </row>
    <row r="911">
      <c r="B911" s="113" t="n"/>
      <c r="C911" s="114" t="n"/>
      <c r="D911" s="115" t="n"/>
      <c r="E911" s="116" t="n"/>
      <c r="F911" s="115" t="n"/>
      <c r="G911" s="117">
        <f>IF(COUNTA(B911:E911)=0,"",IF(COUNTA(B911:E911)&lt;4,"⚠ กรอกไม่ครบ",IF(NOT(ISNUMBER(B911)),"⚠ วันที่ไม่ถูกต้อง",IF(COUNTIFS(Setup!$L$6:$L$60,D911,Setup!$M$6:$M$60,C911)=0,"⚠ หมวดไม่ตรงประเภท","✓"))))</f>
        <v/>
      </c>
    </row>
    <row r="912">
      <c r="B912" s="113" t="n"/>
      <c r="C912" s="114" t="n"/>
      <c r="D912" s="115" t="n"/>
      <c r="E912" s="116" t="n"/>
      <c r="F912" s="115" t="n"/>
      <c r="G912" s="117">
        <f>IF(COUNTA(B912:E912)=0,"",IF(COUNTA(B912:E912)&lt;4,"⚠ กรอกไม่ครบ",IF(NOT(ISNUMBER(B912)),"⚠ วันที่ไม่ถูกต้อง",IF(COUNTIFS(Setup!$L$6:$L$60,D912,Setup!$M$6:$M$60,C912)=0,"⚠ หมวดไม่ตรงประเภท","✓"))))</f>
        <v/>
      </c>
    </row>
    <row r="913">
      <c r="B913" s="113" t="n"/>
      <c r="C913" s="114" t="n"/>
      <c r="D913" s="115" t="n"/>
      <c r="E913" s="116" t="n"/>
      <c r="F913" s="115" t="n"/>
      <c r="G913" s="117">
        <f>IF(COUNTA(B913:E913)=0,"",IF(COUNTA(B913:E913)&lt;4,"⚠ กรอกไม่ครบ",IF(NOT(ISNUMBER(B913)),"⚠ วันที่ไม่ถูกต้อง",IF(COUNTIFS(Setup!$L$6:$L$60,D913,Setup!$M$6:$M$60,C913)=0,"⚠ หมวดไม่ตรงประเภท","✓"))))</f>
        <v/>
      </c>
    </row>
    <row r="914">
      <c r="B914" s="113" t="n"/>
      <c r="C914" s="114" t="n"/>
      <c r="D914" s="115" t="n"/>
      <c r="E914" s="116" t="n"/>
      <c r="F914" s="115" t="n"/>
      <c r="G914" s="117">
        <f>IF(COUNTA(B914:E914)=0,"",IF(COUNTA(B914:E914)&lt;4,"⚠ กรอกไม่ครบ",IF(NOT(ISNUMBER(B914)),"⚠ วันที่ไม่ถูกต้อง",IF(COUNTIFS(Setup!$L$6:$L$60,D914,Setup!$M$6:$M$60,C914)=0,"⚠ หมวดไม่ตรงประเภท","✓"))))</f>
        <v/>
      </c>
    </row>
    <row r="915">
      <c r="B915" s="113" t="n"/>
      <c r="C915" s="114" t="n"/>
      <c r="D915" s="115" t="n"/>
      <c r="E915" s="116" t="n"/>
      <c r="F915" s="115" t="n"/>
      <c r="G915" s="117">
        <f>IF(COUNTA(B915:E915)=0,"",IF(COUNTA(B915:E915)&lt;4,"⚠ กรอกไม่ครบ",IF(NOT(ISNUMBER(B915)),"⚠ วันที่ไม่ถูกต้อง",IF(COUNTIFS(Setup!$L$6:$L$60,D915,Setup!$M$6:$M$60,C915)=0,"⚠ หมวดไม่ตรงประเภท","✓"))))</f>
        <v/>
      </c>
    </row>
    <row r="916">
      <c r="B916" s="113" t="n"/>
      <c r="C916" s="114" t="n"/>
      <c r="D916" s="115" t="n"/>
      <c r="E916" s="116" t="n"/>
      <c r="F916" s="115" t="n"/>
      <c r="G916" s="117">
        <f>IF(COUNTA(B916:E916)=0,"",IF(COUNTA(B916:E916)&lt;4,"⚠ กรอกไม่ครบ",IF(NOT(ISNUMBER(B916)),"⚠ วันที่ไม่ถูกต้อง",IF(COUNTIFS(Setup!$L$6:$L$60,D916,Setup!$M$6:$M$60,C916)=0,"⚠ หมวดไม่ตรงประเภท","✓"))))</f>
        <v/>
      </c>
    </row>
    <row r="917">
      <c r="B917" s="113" t="n"/>
      <c r="C917" s="114" t="n"/>
      <c r="D917" s="115" t="n"/>
      <c r="E917" s="116" t="n"/>
      <c r="F917" s="115" t="n"/>
      <c r="G917" s="117">
        <f>IF(COUNTA(B917:E917)=0,"",IF(COUNTA(B917:E917)&lt;4,"⚠ กรอกไม่ครบ",IF(NOT(ISNUMBER(B917)),"⚠ วันที่ไม่ถูกต้อง",IF(COUNTIFS(Setup!$L$6:$L$60,D917,Setup!$M$6:$M$60,C917)=0,"⚠ หมวดไม่ตรงประเภท","✓"))))</f>
        <v/>
      </c>
    </row>
    <row r="918">
      <c r="B918" s="113" t="n"/>
      <c r="C918" s="114" t="n"/>
      <c r="D918" s="115" t="n"/>
      <c r="E918" s="116" t="n"/>
      <c r="F918" s="115" t="n"/>
      <c r="G918" s="117">
        <f>IF(COUNTA(B918:E918)=0,"",IF(COUNTA(B918:E918)&lt;4,"⚠ กรอกไม่ครบ",IF(NOT(ISNUMBER(B918)),"⚠ วันที่ไม่ถูกต้อง",IF(COUNTIFS(Setup!$L$6:$L$60,D918,Setup!$M$6:$M$60,C918)=0,"⚠ หมวดไม่ตรงประเภท","✓"))))</f>
        <v/>
      </c>
    </row>
    <row r="919">
      <c r="B919" s="113" t="n"/>
      <c r="C919" s="114" t="n"/>
      <c r="D919" s="115" t="n"/>
      <c r="E919" s="116" t="n"/>
      <c r="F919" s="115" t="n"/>
      <c r="G919" s="117">
        <f>IF(COUNTA(B919:E919)=0,"",IF(COUNTA(B919:E919)&lt;4,"⚠ กรอกไม่ครบ",IF(NOT(ISNUMBER(B919)),"⚠ วันที่ไม่ถูกต้อง",IF(COUNTIFS(Setup!$L$6:$L$60,D919,Setup!$M$6:$M$60,C919)=0,"⚠ หมวดไม่ตรงประเภท","✓"))))</f>
        <v/>
      </c>
    </row>
    <row r="920">
      <c r="B920" s="113" t="n"/>
      <c r="C920" s="114" t="n"/>
      <c r="D920" s="115" t="n"/>
      <c r="E920" s="116" t="n"/>
      <c r="F920" s="115" t="n"/>
      <c r="G920" s="117">
        <f>IF(COUNTA(B920:E920)=0,"",IF(COUNTA(B920:E920)&lt;4,"⚠ กรอกไม่ครบ",IF(NOT(ISNUMBER(B920)),"⚠ วันที่ไม่ถูกต้อง",IF(COUNTIFS(Setup!$L$6:$L$60,D920,Setup!$M$6:$M$60,C920)=0,"⚠ หมวดไม่ตรงประเภท","✓"))))</f>
        <v/>
      </c>
    </row>
    <row r="921">
      <c r="B921" s="113" t="n"/>
      <c r="C921" s="114" t="n"/>
      <c r="D921" s="115" t="n"/>
      <c r="E921" s="116" t="n"/>
      <c r="F921" s="115" t="n"/>
      <c r="G921" s="117">
        <f>IF(COUNTA(B921:E921)=0,"",IF(COUNTA(B921:E921)&lt;4,"⚠ กรอกไม่ครบ",IF(NOT(ISNUMBER(B921)),"⚠ วันที่ไม่ถูกต้อง",IF(COUNTIFS(Setup!$L$6:$L$60,D921,Setup!$M$6:$M$60,C921)=0,"⚠ หมวดไม่ตรงประเภท","✓"))))</f>
        <v/>
      </c>
    </row>
    <row r="922">
      <c r="B922" s="113" t="n"/>
      <c r="C922" s="114" t="n"/>
      <c r="D922" s="115" t="n"/>
      <c r="E922" s="116" t="n"/>
      <c r="F922" s="115" t="n"/>
      <c r="G922" s="117">
        <f>IF(COUNTA(B922:E922)=0,"",IF(COUNTA(B922:E922)&lt;4,"⚠ กรอกไม่ครบ",IF(NOT(ISNUMBER(B922)),"⚠ วันที่ไม่ถูกต้อง",IF(COUNTIFS(Setup!$L$6:$L$60,D922,Setup!$M$6:$M$60,C922)=0,"⚠ หมวดไม่ตรงประเภท","✓"))))</f>
        <v/>
      </c>
    </row>
    <row r="923">
      <c r="B923" s="113" t="n"/>
      <c r="C923" s="114" t="n"/>
      <c r="D923" s="115" t="n"/>
      <c r="E923" s="116" t="n"/>
      <c r="F923" s="115" t="n"/>
      <c r="G923" s="117">
        <f>IF(COUNTA(B923:E923)=0,"",IF(COUNTA(B923:E923)&lt;4,"⚠ กรอกไม่ครบ",IF(NOT(ISNUMBER(B923)),"⚠ วันที่ไม่ถูกต้อง",IF(COUNTIFS(Setup!$L$6:$L$60,D923,Setup!$M$6:$M$60,C923)=0,"⚠ หมวดไม่ตรงประเภท","✓"))))</f>
        <v/>
      </c>
    </row>
    <row r="924">
      <c r="B924" s="113" t="n"/>
      <c r="C924" s="114" t="n"/>
      <c r="D924" s="115" t="n"/>
      <c r="E924" s="116" t="n"/>
      <c r="F924" s="115" t="n"/>
      <c r="G924" s="117">
        <f>IF(COUNTA(B924:E924)=0,"",IF(COUNTA(B924:E924)&lt;4,"⚠ กรอกไม่ครบ",IF(NOT(ISNUMBER(B924)),"⚠ วันที่ไม่ถูกต้อง",IF(COUNTIFS(Setup!$L$6:$L$60,D924,Setup!$M$6:$M$60,C924)=0,"⚠ หมวดไม่ตรงประเภท","✓"))))</f>
        <v/>
      </c>
    </row>
    <row r="925">
      <c r="B925" s="113" t="n"/>
      <c r="C925" s="114" t="n"/>
      <c r="D925" s="115" t="n"/>
      <c r="E925" s="116" t="n"/>
      <c r="F925" s="115" t="n"/>
      <c r="G925" s="117">
        <f>IF(COUNTA(B925:E925)=0,"",IF(COUNTA(B925:E925)&lt;4,"⚠ กรอกไม่ครบ",IF(NOT(ISNUMBER(B925)),"⚠ วันที่ไม่ถูกต้อง",IF(COUNTIFS(Setup!$L$6:$L$60,D925,Setup!$M$6:$M$60,C925)=0,"⚠ หมวดไม่ตรงประเภท","✓"))))</f>
        <v/>
      </c>
    </row>
    <row r="926">
      <c r="B926" s="113" t="n"/>
      <c r="C926" s="114" t="n"/>
      <c r="D926" s="115" t="n"/>
      <c r="E926" s="116" t="n"/>
      <c r="F926" s="115" t="n"/>
      <c r="G926" s="117">
        <f>IF(COUNTA(B926:E926)=0,"",IF(COUNTA(B926:E926)&lt;4,"⚠ กรอกไม่ครบ",IF(NOT(ISNUMBER(B926)),"⚠ วันที่ไม่ถูกต้อง",IF(COUNTIFS(Setup!$L$6:$L$60,D926,Setup!$M$6:$M$60,C926)=0,"⚠ หมวดไม่ตรงประเภท","✓"))))</f>
        <v/>
      </c>
    </row>
    <row r="927">
      <c r="B927" s="113" t="n"/>
      <c r="C927" s="114" t="n"/>
      <c r="D927" s="115" t="n"/>
      <c r="E927" s="116" t="n"/>
      <c r="F927" s="115" t="n"/>
      <c r="G927" s="117">
        <f>IF(COUNTA(B927:E927)=0,"",IF(COUNTA(B927:E927)&lt;4,"⚠ กรอกไม่ครบ",IF(NOT(ISNUMBER(B927)),"⚠ วันที่ไม่ถูกต้อง",IF(COUNTIFS(Setup!$L$6:$L$60,D927,Setup!$M$6:$M$60,C927)=0,"⚠ หมวดไม่ตรงประเภท","✓"))))</f>
        <v/>
      </c>
    </row>
    <row r="928">
      <c r="B928" s="113" t="n"/>
      <c r="C928" s="114" t="n"/>
      <c r="D928" s="115" t="n"/>
      <c r="E928" s="116" t="n"/>
      <c r="F928" s="115" t="n"/>
      <c r="G928" s="117">
        <f>IF(COUNTA(B928:E928)=0,"",IF(COUNTA(B928:E928)&lt;4,"⚠ กรอกไม่ครบ",IF(NOT(ISNUMBER(B928)),"⚠ วันที่ไม่ถูกต้อง",IF(COUNTIFS(Setup!$L$6:$L$60,D928,Setup!$M$6:$M$60,C928)=0,"⚠ หมวดไม่ตรงประเภท","✓"))))</f>
        <v/>
      </c>
    </row>
    <row r="929">
      <c r="B929" s="113" t="n"/>
      <c r="C929" s="114" t="n"/>
      <c r="D929" s="115" t="n"/>
      <c r="E929" s="116" t="n"/>
      <c r="F929" s="115" t="n"/>
      <c r="G929" s="117">
        <f>IF(COUNTA(B929:E929)=0,"",IF(COUNTA(B929:E929)&lt;4,"⚠ กรอกไม่ครบ",IF(NOT(ISNUMBER(B929)),"⚠ วันที่ไม่ถูกต้อง",IF(COUNTIFS(Setup!$L$6:$L$60,D929,Setup!$M$6:$M$60,C929)=0,"⚠ หมวดไม่ตรงประเภท","✓"))))</f>
        <v/>
      </c>
    </row>
    <row r="930">
      <c r="B930" s="113" t="n"/>
      <c r="C930" s="114" t="n"/>
      <c r="D930" s="115" t="n"/>
      <c r="E930" s="116" t="n"/>
      <c r="F930" s="115" t="n"/>
      <c r="G930" s="117">
        <f>IF(COUNTA(B930:E930)=0,"",IF(COUNTA(B930:E930)&lt;4,"⚠ กรอกไม่ครบ",IF(NOT(ISNUMBER(B930)),"⚠ วันที่ไม่ถูกต้อง",IF(COUNTIFS(Setup!$L$6:$L$60,D930,Setup!$M$6:$M$60,C930)=0,"⚠ หมวดไม่ตรงประเภท","✓"))))</f>
        <v/>
      </c>
    </row>
    <row r="931">
      <c r="B931" s="113" t="n"/>
      <c r="C931" s="114" t="n"/>
      <c r="D931" s="115" t="n"/>
      <c r="E931" s="116" t="n"/>
      <c r="F931" s="115" t="n"/>
      <c r="G931" s="117">
        <f>IF(COUNTA(B931:E931)=0,"",IF(COUNTA(B931:E931)&lt;4,"⚠ กรอกไม่ครบ",IF(NOT(ISNUMBER(B931)),"⚠ วันที่ไม่ถูกต้อง",IF(COUNTIFS(Setup!$L$6:$L$60,D931,Setup!$M$6:$M$60,C931)=0,"⚠ หมวดไม่ตรงประเภท","✓"))))</f>
        <v/>
      </c>
    </row>
    <row r="932">
      <c r="B932" s="113" t="n"/>
      <c r="C932" s="114" t="n"/>
      <c r="D932" s="115" t="n"/>
      <c r="E932" s="116" t="n"/>
      <c r="F932" s="115" t="n"/>
      <c r="G932" s="117">
        <f>IF(COUNTA(B932:E932)=0,"",IF(COUNTA(B932:E932)&lt;4,"⚠ กรอกไม่ครบ",IF(NOT(ISNUMBER(B932)),"⚠ วันที่ไม่ถูกต้อง",IF(COUNTIFS(Setup!$L$6:$L$60,D932,Setup!$M$6:$M$60,C932)=0,"⚠ หมวดไม่ตรงประเภท","✓"))))</f>
        <v/>
      </c>
    </row>
    <row r="933">
      <c r="B933" s="113" t="n"/>
      <c r="C933" s="114" t="n"/>
      <c r="D933" s="115" t="n"/>
      <c r="E933" s="116" t="n"/>
      <c r="F933" s="115" t="n"/>
      <c r="G933" s="117">
        <f>IF(COUNTA(B933:E933)=0,"",IF(COUNTA(B933:E933)&lt;4,"⚠ กรอกไม่ครบ",IF(NOT(ISNUMBER(B933)),"⚠ วันที่ไม่ถูกต้อง",IF(COUNTIFS(Setup!$L$6:$L$60,D933,Setup!$M$6:$M$60,C933)=0,"⚠ หมวดไม่ตรงประเภท","✓"))))</f>
        <v/>
      </c>
    </row>
    <row r="934">
      <c r="B934" s="113" t="n"/>
      <c r="C934" s="114" t="n"/>
      <c r="D934" s="115" t="n"/>
      <c r="E934" s="116" t="n"/>
      <c r="F934" s="115" t="n"/>
      <c r="G934" s="117">
        <f>IF(COUNTA(B934:E934)=0,"",IF(COUNTA(B934:E934)&lt;4,"⚠ กรอกไม่ครบ",IF(NOT(ISNUMBER(B934)),"⚠ วันที่ไม่ถูกต้อง",IF(COUNTIFS(Setup!$L$6:$L$60,D934,Setup!$M$6:$M$60,C934)=0,"⚠ หมวดไม่ตรงประเภท","✓"))))</f>
        <v/>
      </c>
    </row>
    <row r="935">
      <c r="B935" s="113" t="n"/>
      <c r="C935" s="114" t="n"/>
      <c r="D935" s="115" t="n"/>
      <c r="E935" s="116" t="n"/>
      <c r="F935" s="115" t="n"/>
      <c r="G935" s="117">
        <f>IF(COUNTA(B935:E935)=0,"",IF(COUNTA(B935:E935)&lt;4,"⚠ กรอกไม่ครบ",IF(NOT(ISNUMBER(B935)),"⚠ วันที่ไม่ถูกต้อง",IF(COUNTIFS(Setup!$L$6:$L$60,D935,Setup!$M$6:$M$60,C935)=0,"⚠ หมวดไม่ตรงประเภท","✓"))))</f>
        <v/>
      </c>
    </row>
    <row r="936">
      <c r="B936" s="113" t="n"/>
      <c r="C936" s="114" t="n"/>
      <c r="D936" s="115" t="n"/>
      <c r="E936" s="116" t="n"/>
      <c r="F936" s="115" t="n"/>
      <c r="G936" s="117">
        <f>IF(COUNTA(B936:E936)=0,"",IF(COUNTA(B936:E936)&lt;4,"⚠ กรอกไม่ครบ",IF(NOT(ISNUMBER(B936)),"⚠ วันที่ไม่ถูกต้อง",IF(COUNTIFS(Setup!$L$6:$L$60,D936,Setup!$M$6:$M$60,C936)=0,"⚠ หมวดไม่ตรงประเภท","✓"))))</f>
        <v/>
      </c>
    </row>
    <row r="937">
      <c r="B937" s="113" t="n"/>
      <c r="C937" s="114" t="n"/>
      <c r="D937" s="115" t="n"/>
      <c r="E937" s="116" t="n"/>
      <c r="F937" s="115" t="n"/>
      <c r="G937" s="117">
        <f>IF(COUNTA(B937:E937)=0,"",IF(COUNTA(B937:E937)&lt;4,"⚠ กรอกไม่ครบ",IF(NOT(ISNUMBER(B937)),"⚠ วันที่ไม่ถูกต้อง",IF(COUNTIFS(Setup!$L$6:$L$60,D937,Setup!$M$6:$M$60,C937)=0,"⚠ หมวดไม่ตรงประเภท","✓"))))</f>
        <v/>
      </c>
    </row>
    <row r="938">
      <c r="B938" s="113" t="n"/>
      <c r="C938" s="114" t="n"/>
      <c r="D938" s="115" t="n"/>
      <c r="E938" s="116" t="n"/>
      <c r="F938" s="115" t="n"/>
      <c r="G938" s="117">
        <f>IF(COUNTA(B938:E938)=0,"",IF(COUNTA(B938:E938)&lt;4,"⚠ กรอกไม่ครบ",IF(NOT(ISNUMBER(B938)),"⚠ วันที่ไม่ถูกต้อง",IF(COUNTIFS(Setup!$L$6:$L$60,D938,Setup!$M$6:$M$60,C938)=0,"⚠ หมวดไม่ตรงประเภท","✓"))))</f>
        <v/>
      </c>
    </row>
    <row r="939">
      <c r="B939" s="113" t="n"/>
      <c r="C939" s="114" t="n"/>
      <c r="D939" s="115" t="n"/>
      <c r="E939" s="116" t="n"/>
      <c r="F939" s="115" t="n"/>
      <c r="G939" s="117">
        <f>IF(COUNTA(B939:E939)=0,"",IF(COUNTA(B939:E939)&lt;4,"⚠ กรอกไม่ครบ",IF(NOT(ISNUMBER(B939)),"⚠ วันที่ไม่ถูกต้อง",IF(COUNTIFS(Setup!$L$6:$L$60,D939,Setup!$M$6:$M$60,C939)=0,"⚠ หมวดไม่ตรงประเภท","✓"))))</f>
        <v/>
      </c>
    </row>
    <row r="940">
      <c r="B940" s="113" t="n"/>
      <c r="C940" s="114" t="n"/>
      <c r="D940" s="115" t="n"/>
      <c r="E940" s="116" t="n"/>
      <c r="F940" s="115" t="n"/>
      <c r="G940" s="117">
        <f>IF(COUNTA(B940:E940)=0,"",IF(COUNTA(B940:E940)&lt;4,"⚠ กรอกไม่ครบ",IF(NOT(ISNUMBER(B940)),"⚠ วันที่ไม่ถูกต้อง",IF(COUNTIFS(Setup!$L$6:$L$60,D940,Setup!$M$6:$M$60,C940)=0,"⚠ หมวดไม่ตรงประเภท","✓"))))</f>
        <v/>
      </c>
    </row>
    <row r="941">
      <c r="B941" s="113" t="n"/>
      <c r="C941" s="114" t="n"/>
      <c r="D941" s="115" t="n"/>
      <c r="E941" s="116" t="n"/>
      <c r="F941" s="115" t="n"/>
      <c r="G941" s="117">
        <f>IF(COUNTA(B941:E941)=0,"",IF(COUNTA(B941:E941)&lt;4,"⚠ กรอกไม่ครบ",IF(NOT(ISNUMBER(B941)),"⚠ วันที่ไม่ถูกต้อง",IF(COUNTIFS(Setup!$L$6:$L$60,D941,Setup!$M$6:$M$60,C941)=0,"⚠ หมวดไม่ตรงประเภท","✓"))))</f>
        <v/>
      </c>
    </row>
    <row r="942">
      <c r="B942" s="113" t="n"/>
      <c r="C942" s="114" t="n"/>
      <c r="D942" s="115" t="n"/>
      <c r="E942" s="116" t="n"/>
      <c r="F942" s="115" t="n"/>
      <c r="G942" s="117">
        <f>IF(COUNTA(B942:E942)=0,"",IF(COUNTA(B942:E942)&lt;4,"⚠ กรอกไม่ครบ",IF(NOT(ISNUMBER(B942)),"⚠ วันที่ไม่ถูกต้อง",IF(COUNTIFS(Setup!$L$6:$L$60,D942,Setup!$M$6:$M$60,C942)=0,"⚠ หมวดไม่ตรงประเภท","✓"))))</f>
        <v/>
      </c>
    </row>
    <row r="943">
      <c r="B943" s="113" t="n"/>
      <c r="C943" s="114" t="n"/>
      <c r="D943" s="115" t="n"/>
      <c r="E943" s="116" t="n"/>
      <c r="F943" s="115" t="n"/>
      <c r="G943" s="117">
        <f>IF(COUNTA(B943:E943)=0,"",IF(COUNTA(B943:E943)&lt;4,"⚠ กรอกไม่ครบ",IF(NOT(ISNUMBER(B943)),"⚠ วันที่ไม่ถูกต้อง",IF(COUNTIFS(Setup!$L$6:$L$60,D943,Setup!$M$6:$M$60,C943)=0,"⚠ หมวดไม่ตรงประเภท","✓"))))</f>
        <v/>
      </c>
    </row>
    <row r="944">
      <c r="B944" s="113" t="n"/>
      <c r="C944" s="114" t="n"/>
      <c r="D944" s="115" t="n"/>
      <c r="E944" s="116" t="n"/>
      <c r="F944" s="115" t="n"/>
      <c r="G944" s="117">
        <f>IF(COUNTA(B944:E944)=0,"",IF(COUNTA(B944:E944)&lt;4,"⚠ กรอกไม่ครบ",IF(NOT(ISNUMBER(B944)),"⚠ วันที่ไม่ถูกต้อง",IF(COUNTIFS(Setup!$L$6:$L$60,D944,Setup!$M$6:$M$60,C944)=0,"⚠ หมวดไม่ตรงประเภท","✓"))))</f>
        <v/>
      </c>
    </row>
    <row r="945">
      <c r="B945" s="113" t="n"/>
      <c r="C945" s="114" t="n"/>
      <c r="D945" s="115" t="n"/>
      <c r="E945" s="116" t="n"/>
      <c r="F945" s="115" t="n"/>
      <c r="G945" s="117">
        <f>IF(COUNTA(B945:E945)=0,"",IF(COUNTA(B945:E945)&lt;4,"⚠ กรอกไม่ครบ",IF(NOT(ISNUMBER(B945)),"⚠ วันที่ไม่ถูกต้อง",IF(COUNTIFS(Setup!$L$6:$L$60,D945,Setup!$M$6:$M$60,C945)=0,"⚠ หมวดไม่ตรงประเภท","✓"))))</f>
        <v/>
      </c>
    </row>
    <row r="946">
      <c r="B946" s="113" t="n"/>
      <c r="C946" s="114" t="n"/>
      <c r="D946" s="115" t="n"/>
      <c r="E946" s="116" t="n"/>
      <c r="F946" s="115" t="n"/>
      <c r="G946" s="117">
        <f>IF(COUNTA(B946:E946)=0,"",IF(COUNTA(B946:E946)&lt;4,"⚠ กรอกไม่ครบ",IF(NOT(ISNUMBER(B946)),"⚠ วันที่ไม่ถูกต้อง",IF(COUNTIFS(Setup!$L$6:$L$60,D946,Setup!$M$6:$M$60,C946)=0,"⚠ หมวดไม่ตรงประเภท","✓"))))</f>
        <v/>
      </c>
    </row>
    <row r="947">
      <c r="B947" s="113" t="n"/>
      <c r="C947" s="114" t="n"/>
      <c r="D947" s="115" t="n"/>
      <c r="E947" s="116" t="n"/>
      <c r="F947" s="115" t="n"/>
      <c r="G947" s="117">
        <f>IF(COUNTA(B947:E947)=0,"",IF(COUNTA(B947:E947)&lt;4,"⚠ กรอกไม่ครบ",IF(NOT(ISNUMBER(B947)),"⚠ วันที่ไม่ถูกต้อง",IF(COUNTIFS(Setup!$L$6:$L$60,D947,Setup!$M$6:$M$60,C947)=0,"⚠ หมวดไม่ตรงประเภท","✓"))))</f>
        <v/>
      </c>
    </row>
    <row r="948">
      <c r="B948" s="113" t="n"/>
      <c r="C948" s="114" t="n"/>
      <c r="D948" s="115" t="n"/>
      <c r="E948" s="116" t="n"/>
      <c r="F948" s="115" t="n"/>
      <c r="G948" s="117">
        <f>IF(COUNTA(B948:E948)=0,"",IF(COUNTA(B948:E948)&lt;4,"⚠ กรอกไม่ครบ",IF(NOT(ISNUMBER(B948)),"⚠ วันที่ไม่ถูกต้อง",IF(COUNTIFS(Setup!$L$6:$L$60,D948,Setup!$M$6:$M$60,C948)=0,"⚠ หมวดไม่ตรงประเภท","✓"))))</f>
        <v/>
      </c>
    </row>
    <row r="949">
      <c r="B949" s="113" t="n"/>
      <c r="C949" s="114" t="n"/>
      <c r="D949" s="115" t="n"/>
      <c r="E949" s="116" t="n"/>
      <c r="F949" s="115" t="n"/>
      <c r="G949" s="117">
        <f>IF(COUNTA(B949:E949)=0,"",IF(COUNTA(B949:E949)&lt;4,"⚠ กรอกไม่ครบ",IF(NOT(ISNUMBER(B949)),"⚠ วันที่ไม่ถูกต้อง",IF(COUNTIFS(Setup!$L$6:$L$60,D949,Setup!$M$6:$M$60,C949)=0,"⚠ หมวดไม่ตรงประเภท","✓"))))</f>
        <v/>
      </c>
    </row>
    <row r="950">
      <c r="B950" s="113" t="n"/>
      <c r="C950" s="114" t="n"/>
      <c r="D950" s="115" t="n"/>
      <c r="E950" s="116" t="n"/>
      <c r="F950" s="115" t="n"/>
      <c r="G950" s="117">
        <f>IF(COUNTA(B950:E950)=0,"",IF(COUNTA(B950:E950)&lt;4,"⚠ กรอกไม่ครบ",IF(NOT(ISNUMBER(B950)),"⚠ วันที่ไม่ถูกต้อง",IF(COUNTIFS(Setup!$L$6:$L$60,D950,Setup!$M$6:$M$60,C950)=0,"⚠ หมวดไม่ตรงประเภท","✓"))))</f>
        <v/>
      </c>
    </row>
    <row r="951">
      <c r="B951" s="113" t="n"/>
      <c r="C951" s="114" t="n"/>
      <c r="D951" s="115" t="n"/>
      <c r="E951" s="116" t="n"/>
      <c r="F951" s="115" t="n"/>
      <c r="G951" s="117">
        <f>IF(COUNTA(B951:E951)=0,"",IF(COUNTA(B951:E951)&lt;4,"⚠ กรอกไม่ครบ",IF(NOT(ISNUMBER(B951)),"⚠ วันที่ไม่ถูกต้อง",IF(COUNTIFS(Setup!$L$6:$L$60,D951,Setup!$M$6:$M$60,C951)=0,"⚠ หมวดไม่ตรงประเภท","✓"))))</f>
        <v/>
      </c>
    </row>
    <row r="952">
      <c r="B952" s="113" t="n"/>
      <c r="C952" s="114" t="n"/>
      <c r="D952" s="115" t="n"/>
      <c r="E952" s="116" t="n"/>
      <c r="F952" s="115" t="n"/>
      <c r="G952" s="117">
        <f>IF(COUNTA(B952:E952)=0,"",IF(COUNTA(B952:E952)&lt;4,"⚠ กรอกไม่ครบ",IF(NOT(ISNUMBER(B952)),"⚠ วันที่ไม่ถูกต้อง",IF(COUNTIFS(Setup!$L$6:$L$60,D952,Setup!$M$6:$M$60,C952)=0,"⚠ หมวดไม่ตรงประเภท","✓"))))</f>
        <v/>
      </c>
    </row>
    <row r="953">
      <c r="B953" s="113" t="n"/>
      <c r="C953" s="114" t="n"/>
      <c r="D953" s="115" t="n"/>
      <c r="E953" s="116" t="n"/>
      <c r="F953" s="115" t="n"/>
      <c r="G953" s="117">
        <f>IF(COUNTA(B953:E953)=0,"",IF(COUNTA(B953:E953)&lt;4,"⚠ กรอกไม่ครบ",IF(NOT(ISNUMBER(B953)),"⚠ วันที่ไม่ถูกต้อง",IF(COUNTIFS(Setup!$L$6:$L$60,D953,Setup!$M$6:$M$60,C953)=0,"⚠ หมวดไม่ตรงประเภท","✓"))))</f>
        <v/>
      </c>
    </row>
    <row r="954">
      <c r="B954" s="113" t="n"/>
      <c r="C954" s="114" t="n"/>
      <c r="D954" s="115" t="n"/>
      <c r="E954" s="116" t="n"/>
      <c r="F954" s="115" t="n"/>
      <c r="G954" s="117">
        <f>IF(COUNTA(B954:E954)=0,"",IF(COUNTA(B954:E954)&lt;4,"⚠ กรอกไม่ครบ",IF(NOT(ISNUMBER(B954)),"⚠ วันที่ไม่ถูกต้อง",IF(COUNTIFS(Setup!$L$6:$L$60,D954,Setup!$M$6:$M$60,C954)=0,"⚠ หมวดไม่ตรงประเภท","✓"))))</f>
        <v/>
      </c>
    </row>
    <row r="955">
      <c r="B955" s="113" t="n"/>
      <c r="C955" s="114" t="n"/>
      <c r="D955" s="115" t="n"/>
      <c r="E955" s="116" t="n"/>
      <c r="F955" s="115" t="n"/>
      <c r="G955" s="117">
        <f>IF(COUNTA(B955:E955)=0,"",IF(COUNTA(B955:E955)&lt;4,"⚠ กรอกไม่ครบ",IF(NOT(ISNUMBER(B955)),"⚠ วันที่ไม่ถูกต้อง",IF(COUNTIFS(Setup!$L$6:$L$60,D955,Setup!$M$6:$M$60,C955)=0,"⚠ หมวดไม่ตรงประเภท","✓"))))</f>
        <v/>
      </c>
    </row>
    <row r="956">
      <c r="B956" s="113" t="n"/>
      <c r="C956" s="114" t="n"/>
      <c r="D956" s="115" t="n"/>
      <c r="E956" s="116" t="n"/>
      <c r="F956" s="115" t="n"/>
      <c r="G956" s="117">
        <f>IF(COUNTA(B956:E956)=0,"",IF(COUNTA(B956:E956)&lt;4,"⚠ กรอกไม่ครบ",IF(NOT(ISNUMBER(B956)),"⚠ วันที่ไม่ถูกต้อง",IF(COUNTIFS(Setup!$L$6:$L$60,D956,Setup!$M$6:$M$60,C956)=0,"⚠ หมวดไม่ตรงประเภท","✓"))))</f>
        <v/>
      </c>
    </row>
    <row r="957">
      <c r="B957" s="113" t="n"/>
      <c r="C957" s="114" t="n"/>
      <c r="D957" s="115" t="n"/>
      <c r="E957" s="116" t="n"/>
      <c r="F957" s="115" t="n"/>
      <c r="G957" s="117">
        <f>IF(COUNTA(B957:E957)=0,"",IF(COUNTA(B957:E957)&lt;4,"⚠ กรอกไม่ครบ",IF(NOT(ISNUMBER(B957)),"⚠ วันที่ไม่ถูกต้อง",IF(COUNTIFS(Setup!$L$6:$L$60,D957,Setup!$M$6:$M$60,C957)=0,"⚠ หมวดไม่ตรงประเภท","✓"))))</f>
        <v/>
      </c>
    </row>
    <row r="958">
      <c r="B958" s="113" t="n"/>
      <c r="C958" s="114" t="n"/>
      <c r="D958" s="115" t="n"/>
      <c r="E958" s="116" t="n"/>
      <c r="F958" s="115" t="n"/>
      <c r="G958" s="117">
        <f>IF(COUNTA(B958:E958)=0,"",IF(COUNTA(B958:E958)&lt;4,"⚠ กรอกไม่ครบ",IF(NOT(ISNUMBER(B958)),"⚠ วันที่ไม่ถูกต้อง",IF(COUNTIFS(Setup!$L$6:$L$60,D958,Setup!$M$6:$M$60,C958)=0,"⚠ หมวดไม่ตรงประเภท","✓"))))</f>
        <v/>
      </c>
    </row>
    <row r="959">
      <c r="B959" s="113" t="n"/>
      <c r="C959" s="114" t="n"/>
      <c r="D959" s="115" t="n"/>
      <c r="E959" s="116" t="n"/>
      <c r="F959" s="115" t="n"/>
      <c r="G959" s="117">
        <f>IF(COUNTA(B959:E959)=0,"",IF(COUNTA(B959:E959)&lt;4,"⚠ กรอกไม่ครบ",IF(NOT(ISNUMBER(B959)),"⚠ วันที่ไม่ถูกต้อง",IF(COUNTIFS(Setup!$L$6:$L$60,D959,Setup!$M$6:$M$60,C959)=0,"⚠ หมวดไม่ตรงประเภท","✓"))))</f>
        <v/>
      </c>
    </row>
    <row r="960">
      <c r="B960" s="113" t="n"/>
      <c r="C960" s="114" t="n"/>
      <c r="D960" s="115" t="n"/>
      <c r="E960" s="116" t="n"/>
      <c r="F960" s="115" t="n"/>
      <c r="G960" s="117">
        <f>IF(COUNTA(B960:E960)=0,"",IF(COUNTA(B960:E960)&lt;4,"⚠ กรอกไม่ครบ",IF(NOT(ISNUMBER(B960)),"⚠ วันที่ไม่ถูกต้อง",IF(COUNTIFS(Setup!$L$6:$L$60,D960,Setup!$M$6:$M$60,C960)=0,"⚠ หมวดไม่ตรงประเภท","✓"))))</f>
        <v/>
      </c>
    </row>
    <row r="961">
      <c r="B961" s="113" t="n"/>
      <c r="C961" s="114" t="n"/>
      <c r="D961" s="115" t="n"/>
      <c r="E961" s="116" t="n"/>
      <c r="F961" s="115" t="n"/>
      <c r="G961" s="117">
        <f>IF(COUNTA(B961:E961)=0,"",IF(COUNTA(B961:E961)&lt;4,"⚠ กรอกไม่ครบ",IF(NOT(ISNUMBER(B961)),"⚠ วันที่ไม่ถูกต้อง",IF(COUNTIFS(Setup!$L$6:$L$60,D961,Setup!$M$6:$M$60,C961)=0,"⚠ หมวดไม่ตรงประเภท","✓"))))</f>
        <v/>
      </c>
    </row>
    <row r="962">
      <c r="B962" s="113" t="n"/>
      <c r="C962" s="114" t="n"/>
      <c r="D962" s="115" t="n"/>
      <c r="E962" s="116" t="n"/>
      <c r="F962" s="115" t="n"/>
      <c r="G962" s="117">
        <f>IF(COUNTA(B962:E962)=0,"",IF(COUNTA(B962:E962)&lt;4,"⚠ กรอกไม่ครบ",IF(NOT(ISNUMBER(B962)),"⚠ วันที่ไม่ถูกต้อง",IF(COUNTIFS(Setup!$L$6:$L$60,D962,Setup!$M$6:$M$60,C962)=0,"⚠ หมวดไม่ตรงประเภท","✓"))))</f>
        <v/>
      </c>
    </row>
    <row r="963">
      <c r="B963" s="113" t="n"/>
      <c r="C963" s="114" t="n"/>
      <c r="D963" s="115" t="n"/>
      <c r="E963" s="116" t="n"/>
      <c r="F963" s="115" t="n"/>
      <c r="G963" s="117">
        <f>IF(COUNTA(B963:E963)=0,"",IF(COUNTA(B963:E963)&lt;4,"⚠ กรอกไม่ครบ",IF(NOT(ISNUMBER(B963)),"⚠ วันที่ไม่ถูกต้อง",IF(COUNTIFS(Setup!$L$6:$L$60,D963,Setup!$M$6:$M$60,C963)=0,"⚠ หมวดไม่ตรงประเภท","✓"))))</f>
        <v/>
      </c>
    </row>
    <row r="964">
      <c r="B964" s="113" t="n"/>
      <c r="C964" s="114" t="n"/>
      <c r="D964" s="115" t="n"/>
      <c r="E964" s="116" t="n"/>
      <c r="F964" s="115" t="n"/>
      <c r="G964" s="117">
        <f>IF(COUNTA(B964:E964)=0,"",IF(COUNTA(B964:E964)&lt;4,"⚠ กรอกไม่ครบ",IF(NOT(ISNUMBER(B964)),"⚠ วันที่ไม่ถูกต้อง",IF(COUNTIFS(Setup!$L$6:$L$60,D964,Setup!$M$6:$M$60,C964)=0,"⚠ หมวดไม่ตรงประเภท","✓"))))</f>
        <v/>
      </c>
    </row>
    <row r="965">
      <c r="B965" s="113" t="n"/>
      <c r="C965" s="114" t="n"/>
      <c r="D965" s="115" t="n"/>
      <c r="E965" s="116" t="n"/>
      <c r="F965" s="115" t="n"/>
      <c r="G965" s="117">
        <f>IF(COUNTA(B965:E965)=0,"",IF(COUNTA(B965:E965)&lt;4,"⚠ กรอกไม่ครบ",IF(NOT(ISNUMBER(B965)),"⚠ วันที่ไม่ถูกต้อง",IF(COUNTIFS(Setup!$L$6:$L$60,D965,Setup!$M$6:$M$60,C965)=0,"⚠ หมวดไม่ตรงประเภท","✓"))))</f>
        <v/>
      </c>
    </row>
    <row r="966">
      <c r="B966" s="113" t="n"/>
      <c r="C966" s="114" t="n"/>
      <c r="D966" s="115" t="n"/>
      <c r="E966" s="116" t="n"/>
      <c r="F966" s="115" t="n"/>
      <c r="G966" s="117">
        <f>IF(COUNTA(B966:E966)=0,"",IF(COUNTA(B966:E966)&lt;4,"⚠ กรอกไม่ครบ",IF(NOT(ISNUMBER(B966)),"⚠ วันที่ไม่ถูกต้อง",IF(COUNTIFS(Setup!$L$6:$L$60,D966,Setup!$M$6:$M$60,C966)=0,"⚠ หมวดไม่ตรงประเภท","✓"))))</f>
        <v/>
      </c>
    </row>
    <row r="967">
      <c r="B967" s="113" t="n"/>
      <c r="C967" s="114" t="n"/>
      <c r="D967" s="115" t="n"/>
      <c r="E967" s="116" t="n"/>
      <c r="F967" s="115" t="n"/>
      <c r="G967" s="117">
        <f>IF(COUNTA(B967:E967)=0,"",IF(COUNTA(B967:E967)&lt;4,"⚠ กรอกไม่ครบ",IF(NOT(ISNUMBER(B967)),"⚠ วันที่ไม่ถูกต้อง",IF(COUNTIFS(Setup!$L$6:$L$60,D967,Setup!$M$6:$M$60,C967)=0,"⚠ หมวดไม่ตรงประเภท","✓"))))</f>
        <v/>
      </c>
    </row>
    <row r="968">
      <c r="B968" s="113" t="n"/>
      <c r="C968" s="114" t="n"/>
      <c r="D968" s="115" t="n"/>
      <c r="E968" s="116" t="n"/>
      <c r="F968" s="115" t="n"/>
      <c r="G968" s="117">
        <f>IF(COUNTA(B968:E968)=0,"",IF(COUNTA(B968:E968)&lt;4,"⚠ กรอกไม่ครบ",IF(NOT(ISNUMBER(B968)),"⚠ วันที่ไม่ถูกต้อง",IF(COUNTIFS(Setup!$L$6:$L$60,D968,Setup!$M$6:$M$60,C968)=0,"⚠ หมวดไม่ตรงประเภท","✓"))))</f>
        <v/>
      </c>
    </row>
    <row r="969">
      <c r="B969" s="113" t="n"/>
      <c r="C969" s="114" t="n"/>
      <c r="D969" s="115" t="n"/>
      <c r="E969" s="116" t="n"/>
      <c r="F969" s="115" t="n"/>
      <c r="G969" s="117">
        <f>IF(COUNTA(B969:E969)=0,"",IF(COUNTA(B969:E969)&lt;4,"⚠ กรอกไม่ครบ",IF(NOT(ISNUMBER(B969)),"⚠ วันที่ไม่ถูกต้อง",IF(COUNTIFS(Setup!$L$6:$L$60,D969,Setup!$M$6:$M$60,C969)=0,"⚠ หมวดไม่ตรงประเภท","✓"))))</f>
        <v/>
      </c>
    </row>
    <row r="970">
      <c r="B970" s="113" t="n"/>
      <c r="C970" s="114" t="n"/>
      <c r="D970" s="115" t="n"/>
      <c r="E970" s="116" t="n"/>
      <c r="F970" s="115" t="n"/>
      <c r="G970" s="117">
        <f>IF(COUNTA(B970:E970)=0,"",IF(COUNTA(B970:E970)&lt;4,"⚠ กรอกไม่ครบ",IF(NOT(ISNUMBER(B970)),"⚠ วันที่ไม่ถูกต้อง",IF(COUNTIFS(Setup!$L$6:$L$60,D970,Setup!$M$6:$M$60,C970)=0,"⚠ หมวดไม่ตรงประเภท","✓"))))</f>
        <v/>
      </c>
    </row>
    <row r="971">
      <c r="B971" s="113" t="n"/>
      <c r="C971" s="114" t="n"/>
      <c r="D971" s="115" t="n"/>
      <c r="E971" s="116" t="n"/>
      <c r="F971" s="115" t="n"/>
      <c r="G971" s="117">
        <f>IF(COUNTA(B971:E971)=0,"",IF(COUNTA(B971:E971)&lt;4,"⚠ กรอกไม่ครบ",IF(NOT(ISNUMBER(B971)),"⚠ วันที่ไม่ถูกต้อง",IF(COUNTIFS(Setup!$L$6:$L$60,D971,Setup!$M$6:$M$60,C971)=0,"⚠ หมวดไม่ตรงประเภท","✓"))))</f>
        <v/>
      </c>
    </row>
    <row r="972">
      <c r="B972" s="113" t="n"/>
      <c r="C972" s="114" t="n"/>
      <c r="D972" s="115" t="n"/>
      <c r="E972" s="116" t="n"/>
      <c r="F972" s="115" t="n"/>
      <c r="G972" s="117">
        <f>IF(COUNTA(B972:E972)=0,"",IF(COUNTA(B972:E972)&lt;4,"⚠ กรอกไม่ครบ",IF(NOT(ISNUMBER(B972)),"⚠ วันที่ไม่ถูกต้อง",IF(COUNTIFS(Setup!$L$6:$L$60,D972,Setup!$M$6:$M$60,C972)=0,"⚠ หมวดไม่ตรงประเภท","✓"))))</f>
        <v/>
      </c>
    </row>
    <row r="973">
      <c r="B973" s="113" t="n"/>
      <c r="C973" s="114" t="n"/>
      <c r="D973" s="115" t="n"/>
      <c r="E973" s="116" t="n"/>
      <c r="F973" s="115" t="n"/>
      <c r="G973" s="117">
        <f>IF(COUNTA(B973:E973)=0,"",IF(COUNTA(B973:E973)&lt;4,"⚠ กรอกไม่ครบ",IF(NOT(ISNUMBER(B973)),"⚠ วันที่ไม่ถูกต้อง",IF(COUNTIFS(Setup!$L$6:$L$60,D973,Setup!$M$6:$M$60,C973)=0,"⚠ หมวดไม่ตรงประเภท","✓"))))</f>
        <v/>
      </c>
    </row>
    <row r="974">
      <c r="B974" s="113" t="n"/>
      <c r="C974" s="114" t="n"/>
      <c r="D974" s="115" t="n"/>
      <c r="E974" s="116" t="n"/>
      <c r="F974" s="115" t="n"/>
      <c r="G974" s="117">
        <f>IF(COUNTA(B974:E974)=0,"",IF(COUNTA(B974:E974)&lt;4,"⚠ กรอกไม่ครบ",IF(NOT(ISNUMBER(B974)),"⚠ วันที่ไม่ถูกต้อง",IF(COUNTIFS(Setup!$L$6:$L$60,D974,Setup!$M$6:$M$60,C974)=0,"⚠ หมวดไม่ตรงประเภท","✓"))))</f>
        <v/>
      </c>
    </row>
    <row r="975">
      <c r="B975" s="113" t="n"/>
      <c r="C975" s="114" t="n"/>
      <c r="D975" s="115" t="n"/>
      <c r="E975" s="116" t="n"/>
      <c r="F975" s="115" t="n"/>
      <c r="G975" s="117">
        <f>IF(COUNTA(B975:E975)=0,"",IF(COUNTA(B975:E975)&lt;4,"⚠ กรอกไม่ครบ",IF(NOT(ISNUMBER(B975)),"⚠ วันที่ไม่ถูกต้อง",IF(COUNTIFS(Setup!$L$6:$L$60,D975,Setup!$M$6:$M$60,C975)=0,"⚠ หมวดไม่ตรงประเภท","✓"))))</f>
        <v/>
      </c>
    </row>
    <row r="976">
      <c r="B976" s="113" t="n"/>
      <c r="C976" s="114" t="n"/>
      <c r="D976" s="115" t="n"/>
      <c r="E976" s="116" t="n"/>
      <c r="F976" s="115" t="n"/>
      <c r="G976" s="117">
        <f>IF(COUNTA(B976:E976)=0,"",IF(COUNTA(B976:E976)&lt;4,"⚠ กรอกไม่ครบ",IF(NOT(ISNUMBER(B976)),"⚠ วันที่ไม่ถูกต้อง",IF(COUNTIFS(Setup!$L$6:$L$60,D976,Setup!$M$6:$M$60,C976)=0,"⚠ หมวดไม่ตรงประเภท","✓"))))</f>
        <v/>
      </c>
    </row>
    <row r="977">
      <c r="B977" s="113" t="n"/>
      <c r="C977" s="114" t="n"/>
      <c r="D977" s="115" t="n"/>
      <c r="E977" s="116" t="n"/>
      <c r="F977" s="115" t="n"/>
      <c r="G977" s="117">
        <f>IF(COUNTA(B977:E977)=0,"",IF(COUNTA(B977:E977)&lt;4,"⚠ กรอกไม่ครบ",IF(NOT(ISNUMBER(B977)),"⚠ วันที่ไม่ถูกต้อง",IF(COUNTIFS(Setup!$L$6:$L$60,D977,Setup!$M$6:$M$60,C977)=0,"⚠ หมวดไม่ตรงประเภท","✓"))))</f>
        <v/>
      </c>
    </row>
    <row r="978">
      <c r="B978" s="113" t="n"/>
      <c r="C978" s="114" t="n"/>
      <c r="D978" s="115" t="n"/>
      <c r="E978" s="116" t="n"/>
      <c r="F978" s="115" t="n"/>
      <c r="G978" s="117">
        <f>IF(COUNTA(B978:E978)=0,"",IF(COUNTA(B978:E978)&lt;4,"⚠ กรอกไม่ครบ",IF(NOT(ISNUMBER(B978)),"⚠ วันที่ไม่ถูกต้อง",IF(COUNTIFS(Setup!$L$6:$L$60,D978,Setup!$M$6:$M$60,C978)=0,"⚠ หมวดไม่ตรงประเภท","✓"))))</f>
        <v/>
      </c>
    </row>
    <row r="979">
      <c r="B979" s="113" t="n"/>
      <c r="C979" s="114" t="n"/>
      <c r="D979" s="115" t="n"/>
      <c r="E979" s="116" t="n"/>
      <c r="F979" s="115" t="n"/>
      <c r="G979" s="117">
        <f>IF(COUNTA(B979:E979)=0,"",IF(COUNTA(B979:E979)&lt;4,"⚠ กรอกไม่ครบ",IF(NOT(ISNUMBER(B979)),"⚠ วันที่ไม่ถูกต้อง",IF(COUNTIFS(Setup!$L$6:$L$60,D979,Setup!$M$6:$M$60,C979)=0,"⚠ หมวดไม่ตรงประเภท","✓"))))</f>
        <v/>
      </c>
    </row>
    <row r="980">
      <c r="B980" s="113" t="n"/>
      <c r="C980" s="114" t="n"/>
      <c r="D980" s="115" t="n"/>
      <c r="E980" s="116" t="n"/>
      <c r="F980" s="115" t="n"/>
      <c r="G980" s="117">
        <f>IF(COUNTA(B980:E980)=0,"",IF(COUNTA(B980:E980)&lt;4,"⚠ กรอกไม่ครบ",IF(NOT(ISNUMBER(B980)),"⚠ วันที่ไม่ถูกต้อง",IF(COUNTIFS(Setup!$L$6:$L$60,D980,Setup!$M$6:$M$60,C980)=0,"⚠ หมวดไม่ตรงประเภท","✓"))))</f>
        <v/>
      </c>
    </row>
    <row r="981">
      <c r="B981" s="113" t="n"/>
      <c r="C981" s="114" t="n"/>
      <c r="D981" s="115" t="n"/>
      <c r="E981" s="116" t="n"/>
      <c r="F981" s="115" t="n"/>
      <c r="G981" s="117">
        <f>IF(COUNTA(B981:E981)=0,"",IF(COUNTA(B981:E981)&lt;4,"⚠ กรอกไม่ครบ",IF(NOT(ISNUMBER(B981)),"⚠ วันที่ไม่ถูกต้อง",IF(COUNTIFS(Setup!$L$6:$L$60,D981,Setup!$M$6:$M$60,C981)=0,"⚠ หมวดไม่ตรงประเภท","✓"))))</f>
        <v/>
      </c>
    </row>
    <row r="982">
      <c r="B982" s="113" t="n"/>
      <c r="C982" s="114" t="n"/>
      <c r="D982" s="115" t="n"/>
      <c r="E982" s="116" t="n"/>
      <c r="F982" s="115" t="n"/>
      <c r="G982" s="117">
        <f>IF(COUNTA(B982:E982)=0,"",IF(COUNTA(B982:E982)&lt;4,"⚠ กรอกไม่ครบ",IF(NOT(ISNUMBER(B982)),"⚠ วันที่ไม่ถูกต้อง",IF(COUNTIFS(Setup!$L$6:$L$60,D982,Setup!$M$6:$M$60,C982)=0,"⚠ หมวดไม่ตรงประเภท","✓"))))</f>
        <v/>
      </c>
    </row>
    <row r="983">
      <c r="B983" s="113" t="n"/>
      <c r="C983" s="114" t="n"/>
      <c r="D983" s="115" t="n"/>
      <c r="E983" s="116" t="n"/>
      <c r="F983" s="115" t="n"/>
      <c r="G983" s="117">
        <f>IF(COUNTA(B983:E983)=0,"",IF(COUNTA(B983:E983)&lt;4,"⚠ กรอกไม่ครบ",IF(NOT(ISNUMBER(B983)),"⚠ วันที่ไม่ถูกต้อง",IF(COUNTIFS(Setup!$L$6:$L$60,D983,Setup!$M$6:$M$60,C983)=0,"⚠ หมวดไม่ตรงประเภท","✓"))))</f>
        <v/>
      </c>
    </row>
    <row r="984">
      <c r="B984" s="113" t="n"/>
      <c r="C984" s="114" t="n"/>
      <c r="D984" s="115" t="n"/>
      <c r="E984" s="116" t="n"/>
      <c r="F984" s="115" t="n"/>
      <c r="G984" s="117">
        <f>IF(COUNTA(B984:E984)=0,"",IF(COUNTA(B984:E984)&lt;4,"⚠ กรอกไม่ครบ",IF(NOT(ISNUMBER(B984)),"⚠ วันที่ไม่ถูกต้อง",IF(COUNTIFS(Setup!$L$6:$L$60,D984,Setup!$M$6:$M$60,C984)=0,"⚠ หมวดไม่ตรงประเภท","✓"))))</f>
        <v/>
      </c>
    </row>
    <row r="985">
      <c r="B985" s="113" t="n"/>
      <c r="C985" s="114" t="n"/>
      <c r="D985" s="115" t="n"/>
      <c r="E985" s="116" t="n"/>
      <c r="F985" s="115" t="n"/>
      <c r="G985" s="117">
        <f>IF(COUNTA(B985:E985)=0,"",IF(COUNTA(B985:E985)&lt;4,"⚠ กรอกไม่ครบ",IF(NOT(ISNUMBER(B985)),"⚠ วันที่ไม่ถูกต้อง",IF(COUNTIFS(Setup!$L$6:$L$60,D985,Setup!$M$6:$M$60,C985)=0,"⚠ หมวดไม่ตรงประเภท","✓"))))</f>
        <v/>
      </c>
    </row>
    <row r="986">
      <c r="B986" s="113" t="n"/>
      <c r="C986" s="114" t="n"/>
      <c r="D986" s="115" t="n"/>
      <c r="E986" s="116" t="n"/>
      <c r="F986" s="115" t="n"/>
      <c r="G986" s="117">
        <f>IF(COUNTA(B986:E986)=0,"",IF(COUNTA(B986:E986)&lt;4,"⚠ กรอกไม่ครบ",IF(NOT(ISNUMBER(B986)),"⚠ วันที่ไม่ถูกต้อง",IF(COUNTIFS(Setup!$L$6:$L$60,D986,Setup!$M$6:$M$60,C986)=0,"⚠ หมวดไม่ตรงประเภท","✓"))))</f>
        <v/>
      </c>
    </row>
    <row r="987">
      <c r="B987" s="113" t="n"/>
      <c r="C987" s="114" t="n"/>
      <c r="D987" s="115" t="n"/>
      <c r="E987" s="116" t="n"/>
      <c r="F987" s="115" t="n"/>
      <c r="G987" s="117">
        <f>IF(COUNTA(B987:E987)=0,"",IF(COUNTA(B987:E987)&lt;4,"⚠ กรอกไม่ครบ",IF(NOT(ISNUMBER(B987)),"⚠ วันที่ไม่ถูกต้อง",IF(COUNTIFS(Setup!$L$6:$L$60,D987,Setup!$M$6:$M$60,C987)=0,"⚠ หมวดไม่ตรงประเภท","✓"))))</f>
        <v/>
      </c>
    </row>
    <row r="988">
      <c r="B988" s="113" t="n"/>
      <c r="C988" s="114" t="n"/>
      <c r="D988" s="115" t="n"/>
      <c r="E988" s="116" t="n"/>
      <c r="F988" s="115" t="n"/>
      <c r="G988" s="117">
        <f>IF(COUNTA(B988:E988)=0,"",IF(COUNTA(B988:E988)&lt;4,"⚠ กรอกไม่ครบ",IF(NOT(ISNUMBER(B988)),"⚠ วันที่ไม่ถูกต้อง",IF(COUNTIFS(Setup!$L$6:$L$60,D988,Setup!$M$6:$M$60,C988)=0,"⚠ หมวดไม่ตรงประเภท","✓"))))</f>
        <v/>
      </c>
    </row>
    <row r="989">
      <c r="B989" s="113" t="n"/>
      <c r="C989" s="114" t="n"/>
      <c r="D989" s="115" t="n"/>
      <c r="E989" s="116" t="n"/>
      <c r="F989" s="115" t="n"/>
      <c r="G989" s="117">
        <f>IF(COUNTA(B989:E989)=0,"",IF(COUNTA(B989:E989)&lt;4,"⚠ กรอกไม่ครบ",IF(NOT(ISNUMBER(B989)),"⚠ วันที่ไม่ถูกต้อง",IF(COUNTIFS(Setup!$L$6:$L$60,D989,Setup!$M$6:$M$60,C989)=0,"⚠ หมวดไม่ตรงประเภท","✓"))))</f>
        <v/>
      </c>
    </row>
    <row r="990">
      <c r="B990" s="113" t="n"/>
      <c r="C990" s="114" t="n"/>
      <c r="D990" s="115" t="n"/>
      <c r="E990" s="116" t="n"/>
      <c r="F990" s="115" t="n"/>
      <c r="G990" s="117">
        <f>IF(COUNTA(B990:E990)=0,"",IF(COUNTA(B990:E990)&lt;4,"⚠ กรอกไม่ครบ",IF(NOT(ISNUMBER(B990)),"⚠ วันที่ไม่ถูกต้อง",IF(COUNTIFS(Setup!$L$6:$L$60,D990,Setup!$M$6:$M$60,C990)=0,"⚠ หมวดไม่ตรงประเภท","✓"))))</f>
        <v/>
      </c>
    </row>
    <row r="991">
      <c r="B991" s="113" t="n"/>
      <c r="C991" s="114" t="n"/>
      <c r="D991" s="115" t="n"/>
      <c r="E991" s="116" t="n"/>
      <c r="F991" s="115" t="n"/>
      <c r="G991" s="117">
        <f>IF(COUNTA(B991:E991)=0,"",IF(COUNTA(B991:E991)&lt;4,"⚠ กรอกไม่ครบ",IF(NOT(ISNUMBER(B991)),"⚠ วันที่ไม่ถูกต้อง",IF(COUNTIFS(Setup!$L$6:$L$60,D991,Setup!$M$6:$M$60,C991)=0,"⚠ หมวดไม่ตรงประเภท","✓"))))</f>
        <v/>
      </c>
    </row>
    <row r="992">
      <c r="B992" s="113" t="n"/>
      <c r="C992" s="114" t="n"/>
      <c r="D992" s="115" t="n"/>
      <c r="E992" s="116" t="n"/>
      <c r="F992" s="115" t="n"/>
      <c r="G992" s="117">
        <f>IF(COUNTA(B992:E992)=0,"",IF(COUNTA(B992:E992)&lt;4,"⚠ กรอกไม่ครบ",IF(NOT(ISNUMBER(B992)),"⚠ วันที่ไม่ถูกต้อง",IF(COUNTIFS(Setup!$L$6:$L$60,D992,Setup!$M$6:$M$60,C992)=0,"⚠ หมวดไม่ตรงประเภท","✓"))))</f>
        <v/>
      </c>
    </row>
    <row r="993">
      <c r="B993" s="113" t="n"/>
      <c r="C993" s="114" t="n"/>
      <c r="D993" s="115" t="n"/>
      <c r="E993" s="116" t="n"/>
      <c r="F993" s="115" t="n"/>
      <c r="G993" s="117">
        <f>IF(COUNTA(B993:E993)=0,"",IF(COUNTA(B993:E993)&lt;4,"⚠ กรอกไม่ครบ",IF(NOT(ISNUMBER(B993)),"⚠ วันที่ไม่ถูกต้อง",IF(COUNTIFS(Setup!$L$6:$L$60,D993,Setup!$M$6:$M$60,C993)=0,"⚠ หมวดไม่ตรงประเภท","✓"))))</f>
        <v/>
      </c>
    </row>
    <row r="994">
      <c r="B994" s="113" t="n"/>
      <c r="C994" s="114" t="n"/>
      <c r="D994" s="115" t="n"/>
      <c r="E994" s="116" t="n"/>
      <c r="F994" s="115" t="n"/>
      <c r="G994" s="117">
        <f>IF(COUNTA(B994:E994)=0,"",IF(COUNTA(B994:E994)&lt;4,"⚠ กรอกไม่ครบ",IF(NOT(ISNUMBER(B994)),"⚠ วันที่ไม่ถูกต้อง",IF(COUNTIFS(Setup!$L$6:$L$60,D994,Setup!$M$6:$M$60,C994)=0,"⚠ หมวดไม่ตรงประเภท","✓"))))</f>
        <v/>
      </c>
    </row>
    <row r="995">
      <c r="B995" s="113" t="n"/>
      <c r="C995" s="114" t="n"/>
      <c r="D995" s="115" t="n"/>
      <c r="E995" s="116" t="n"/>
      <c r="F995" s="115" t="n"/>
      <c r="G995" s="117">
        <f>IF(COUNTA(B995:E995)=0,"",IF(COUNTA(B995:E995)&lt;4,"⚠ กรอกไม่ครบ",IF(NOT(ISNUMBER(B995)),"⚠ วันที่ไม่ถูกต้อง",IF(COUNTIFS(Setup!$L$6:$L$60,D995,Setup!$M$6:$M$60,C995)=0,"⚠ หมวดไม่ตรงประเภท","✓"))))</f>
        <v/>
      </c>
    </row>
    <row r="996">
      <c r="B996" s="113" t="n"/>
      <c r="C996" s="114" t="n"/>
      <c r="D996" s="115" t="n"/>
      <c r="E996" s="116" t="n"/>
      <c r="F996" s="115" t="n"/>
      <c r="G996" s="117">
        <f>IF(COUNTA(B996:E996)=0,"",IF(COUNTA(B996:E996)&lt;4,"⚠ กรอกไม่ครบ",IF(NOT(ISNUMBER(B996)),"⚠ วันที่ไม่ถูกต้อง",IF(COUNTIFS(Setup!$L$6:$L$60,D996,Setup!$M$6:$M$60,C996)=0,"⚠ หมวดไม่ตรงประเภท","✓"))))</f>
        <v/>
      </c>
    </row>
    <row r="997">
      <c r="B997" s="113" t="n"/>
      <c r="C997" s="114" t="n"/>
      <c r="D997" s="115" t="n"/>
      <c r="E997" s="116" t="n"/>
      <c r="F997" s="115" t="n"/>
      <c r="G997" s="117">
        <f>IF(COUNTA(B997:E997)=0,"",IF(COUNTA(B997:E997)&lt;4,"⚠ กรอกไม่ครบ",IF(NOT(ISNUMBER(B997)),"⚠ วันที่ไม่ถูกต้อง",IF(COUNTIFS(Setup!$L$6:$L$60,D997,Setup!$M$6:$M$60,C997)=0,"⚠ หมวดไม่ตรงประเภท","✓"))))</f>
        <v/>
      </c>
    </row>
    <row r="998">
      <c r="B998" s="113" t="n"/>
      <c r="C998" s="114" t="n"/>
      <c r="D998" s="115" t="n"/>
      <c r="E998" s="116" t="n"/>
      <c r="F998" s="115" t="n"/>
      <c r="G998" s="117">
        <f>IF(COUNTA(B998:E998)=0,"",IF(COUNTA(B998:E998)&lt;4,"⚠ กรอกไม่ครบ",IF(NOT(ISNUMBER(B998)),"⚠ วันที่ไม่ถูกต้อง",IF(COUNTIFS(Setup!$L$6:$L$60,D998,Setup!$M$6:$M$60,C998)=0,"⚠ หมวดไม่ตรงประเภท","✓"))))</f>
        <v/>
      </c>
    </row>
    <row r="999">
      <c r="B999" s="113" t="n"/>
      <c r="C999" s="114" t="n"/>
      <c r="D999" s="115" t="n"/>
      <c r="E999" s="116" t="n"/>
      <c r="F999" s="115" t="n"/>
      <c r="G999" s="117">
        <f>IF(COUNTA(B999:E999)=0,"",IF(COUNTA(B999:E999)&lt;4,"⚠ กรอกไม่ครบ",IF(NOT(ISNUMBER(B999)),"⚠ วันที่ไม่ถูกต้อง",IF(COUNTIFS(Setup!$L$6:$L$60,D999,Setup!$M$6:$M$60,C999)=0,"⚠ หมวดไม่ตรงประเภท","✓"))))</f>
        <v/>
      </c>
    </row>
    <row r="1000">
      <c r="B1000" s="113" t="n"/>
      <c r="C1000" s="114" t="n"/>
      <c r="D1000" s="115" t="n"/>
      <c r="E1000" s="116" t="n"/>
      <c r="F1000" s="115" t="n"/>
      <c r="G1000" s="117">
        <f>IF(COUNTA(B1000:E1000)=0,"",IF(COUNTA(B1000:E1000)&lt;4,"⚠ กรอกไม่ครบ",IF(NOT(ISNUMBER(B1000)),"⚠ วันที่ไม่ถูกต้อง",IF(COUNTIFS(Setup!$L$6:$L$60,D1000,Setup!$M$6:$M$60,C1000)=0,"⚠ หมวดไม่ตรงประเภท","✓"))))</f>
        <v/>
      </c>
    </row>
    <row r="1001">
      <c r="B1001" s="113" t="n"/>
      <c r="C1001" s="114" t="n"/>
      <c r="D1001" s="115" t="n"/>
      <c r="E1001" s="116" t="n"/>
      <c r="F1001" s="115" t="n"/>
      <c r="G1001" s="117">
        <f>IF(COUNTA(B1001:E1001)=0,"",IF(COUNTA(B1001:E1001)&lt;4,"⚠ กรอกไม่ครบ",IF(NOT(ISNUMBER(B1001)),"⚠ วันที่ไม่ถูกต้อง",IF(COUNTIFS(Setup!$L$6:$L$60,D1001,Setup!$M$6:$M$60,C1001)=0,"⚠ หมวดไม่ตรงประเภท","✓"))))</f>
        <v/>
      </c>
    </row>
    <row r="1002">
      <c r="B1002" s="113" t="n"/>
      <c r="C1002" s="114" t="n"/>
      <c r="D1002" s="115" t="n"/>
      <c r="E1002" s="116" t="n"/>
      <c r="F1002" s="115" t="n"/>
      <c r="G1002" s="117">
        <f>IF(COUNTA(B1002:E1002)=0,"",IF(COUNTA(B1002:E1002)&lt;4,"⚠ กรอกไม่ครบ",IF(NOT(ISNUMBER(B1002)),"⚠ วันที่ไม่ถูกต้อง",IF(COUNTIFS(Setup!$L$6:$L$60,D1002,Setup!$M$6:$M$60,C1002)=0,"⚠ หมวดไม่ตรงประเภท","✓"))))</f>
        <v/>
      </c>
    </row>
    <row r="1003">
      <c r="B1003" s="113" t="n"/>
      <c r="C1003" s="114" t="n"/>
      <c r="D1003" s="115" t="n"/>
      <c r="E1003" s="116" t="n"/>
      <c r="F1003" s="115" t="n"/>
      <c r="G1003" s="117">
        <f>IF(COUNTA(B1003:E1003)=0,"",IF(COUNTA(B1003:E1003)&lt;4,"⚠ กรอกไม่ครบ",IF(NOT(ISNUMBER(B1003)),"⚠ วันที่ไม่ถูกต้อง",IF(COUNTIFS(Setup!$L$6:$L$60,D1003,Setup!$M$6:$M$60,C1003)=0,"⚠ หมวดไม่ตรงประเภท","✓"))))</f>
        <v/>
      </c>
    </row>
    <row r="1004">
      <c r="B1004" s="113" t="n"/>
      <c r="C1004" s="114" t="n"/>
      <c r="D1004" s="115" t="n"/>
      <c r="E1004" s="116" t="n"/>
      <c r="F1004" s="115" t="n"/>
      <c r="G1004" s="117">
        <f>IF(COUNTA(B1004:E1004)=0,"",IF(COUNTA(B1004:E1004)&lt;4,"⚠ กรอกไม่ครบ",IF(NOT(ISNUMBER(B1004)),"⚠ วันที่ไม่ถูกต้อง",IF(COUNTIFS(Setup!$L$6:$L$60,D1004,Setup!$M$6:$M$60,C1004)=0,"⚠ หมวดไม่ตรงประเภท","✓"))))</f>
        <v/>
      </c>
    </row>
    <row r="1005">
      <c r="B1005" s="113" t="n"/>
      <c r="C1005" s="114" t="n"/>
      <c r="D1005" s="115" t="n"/>
      <c r="E1005" s="116" t="n"/>
      <c r="F1005" s="115" t="n"/>
      <c r="G1005" s="117">
        <f>IF(COUNTA(B1005:E1005)=0,"",IF(COUNTA(B1005:E1005)&lt;4,"⚠ กรอกไม่ครบ",IF(NOT(ISNUMBER(B1005)),"⚠ วันที่ไม่ถูกต้อง",IF(COUNTIFS(Setup!$L$6:$L$60,D1005,Setup!$M$6:$M$60,C1005)=0,"⚠ หมวดไม่ตรงประเภท","✓"))))</f>
        <v/>
      </c>
    </row>
    <row r="1006">
      <c r="B1006" s="113" t="n"/>
      <c r="C1006" s="114" t="n"/>
      <c r="D1006" s="115" t="n"/>
      <c r="E1006" s="116" t="n"/>
      <c r="F1006" s="115" t="n"/>
      <c r="G1006" s="117">
        <f>IF(COUNTA(B1006:E1006)=0,"",IF(COUNTA(B1006:E1006)&lt;4,"⚠ กรอกไม่ครบ",IF(NOT(ISNUMBER(B1006)),"⚠ วันที่ไม่ถูกต้อง",IF(COUNTIFS(Setup!$L$6:$L$60,D1006,Setup!$M$6:$M$60,C1006)=0,"⚠ หมวดไม่ตรงประเภท","✓"))))</f>
        <v/>
      </c>
    </row>
    <row r="1007">
      <c r="B1007" s="113" t="n"/>
      <c r="C1007" s="114" t="n"/>
      <c r="D1007" s="115" t="n"/>
      <c r="E1007" s="116" t="n"/>
      <c r="F1007" s="115" t="n"/>
      <c r="G1007" s="117">
        <f>IF(COUNTA(B1007:E1007)=0,"",IF(COUNTA(B1007:E1007)&lt;4,"⚠ กรอกไม่ครบ",IF(NOT(ISNUMBER(B1007)),"⚠ วันที่ไม่ถูกต้อง",IF(COUNTIFS(Setup!$L$6:$L$60,D1007,Setup!$M$6:$M$60,C1007)=0,"⚠ หมวดไม่ตรงประเภท","✓"))))</f>
        <v/>
      </c>
    </row>
    <row r="1008">
      <c r="B1008" s="113" t="n"/>
      <c r="C1008" s="114" t="n"/>
      <c r="D1008" s="115" t="n"/>
      <c r="E1008" s="116" t="n"/>
      <c r="F1008" s="115" t="n"/>
      <c r="G1008" s="117">
        <f>IF(COUNTA(B1008:E1008)=0,"",IF(COUNTA(B1008:E1008)&lt;4,"⚠ กรอกไม่ครบ",IF(NOT(ISNUMBER(B1008)),"⚠ วันที่ไม่ถูกต้อง",IF(COUNTIFS(Setup!$L$6:$L$60,D1008,Setup!$M$6:$M$60,C1008)=0,"⚠ หมวดไม่ตรงประเภท","✓"))))</f>
        <v/>
      </c>
    </row>
    <row r="1009">
      <c r="B1009" s="113" t="n"/>
      <c r="C1009" s="114" t="n"/>
      <c r="D1009" s="115" t="n"/>
      <c r="E1009" s="116" t="n"/>
      <c r="F1009" s="115" t="n"/>
      <c r="G1009" s="117">
        <f>IF(COUNTA(B1009:E1009)=0,"",IF(COUNTA(B1009:E1009)&lt;4,"⚠ กรอกไม่ครบ",IF(NOT(ISNUMBER(B1009)),"⚠ วันที่ไม่ถูกต้อง",IF(COUNTIFS(Setup!$L$6:$L$60,D1009,Setup!$M$6:$M$60,C1009)=0,"⚠ หมวดไม่ตรงประเภท","✓"))))</f>
        <v/>
      </c>
    </row>
    <row r="1010">
      <c r="B1010" s="113" t="n"/>
      <c r="C1010" s="114" t="n"/>
      <c r="D1010" s="115" t="n"/>
      <c r="E1010" s="116" t="n"/>
      <c r="F1010" s="115" t="n"/>
      <c r="G1010" s="117">
        <f>IF(COUNTA(B1010:E1010)=0,"",IF(COUNTA(B1010:E1010)&lt;4,"⚠ กรอกไม่ครบ",IF(NOT(ISNUMBER(B1010)),"⚠ วันที่ไม่ถูกต้อง",IF(COUNTIFS(Setup!$L$6:$L$60,D1010,Setup!$M$6:$M$60,C1010)=0,"⚠ หมวดไม่ตรงประเภท","✓"))))</f>
        <v/>
      </c>
    </row>
    <row r="1011">
      <c r="B1011" s="113" t="n"/>
      <c r="C1011" s="114" t="n"/>
      <c r="D1011" s="115" t="n"/>
      <c r="E1011" s="116" t="n"/>
      <c r="F1011" s="115" t="n"/>
      <c r="G1011" s="117">
        <f>IF(COUNTA(B1011:E1011)=0,"",IF(COUNTA(B1011:E1011)&lt;4,"⚠ กรอกไม่ครบ",IF(NOT(ISNUMBER(B1011)),"⚠ วันที่ไม่ถูกต้อง",IF(COUNTIFS(Setup!$L$6:$L$60,D1011,Setup!$M$6:$M$60,C1011)=0,"⚠ หมวดไม่ตรงประเภท","✓"))))</f>
        <v/>
      </c>
    </row>
    <row r="1012">
      <c r="B1012" s="113" t="n"/>
      <c r="C1012" s="114" t="n"/>
      <c r="D1012" s="115" t="n"/>
      <c r="E1012" s="116" t="n"/>
      <c r="F1012" s="115" t="n"/>
      <c r="G1012" s="117">
        <f>IF(COUNTA(B1012:E1012)=0,"",IF(COUNTA(B1012:E1012)&lt;4,"⚠ กรอกไม่ครบ",IF(NOT(ISNUMBER(B1012)),"⚠ วันที่ไม่ถูกต้อง",IF(COUNTIFS(Setup!$L$6:$L$60,D1012,Setup!$M$6:$M$60,C1012)=0,"⚠ หมวดไม่ตรงประเภท","✓"))))</f>
        <v/>
      </c>
    </row>
    <row r="1013">
      <c r="B1013" s="113" t="n"/>
      <c r="C1013" s="114" t="n"/>
      <c r="D1013" s="115" t="n"/>
      <c r="E1013" s="116" t="n"/>
      <c r="F1013" s="115" t="n"/>
      <c r="G1013" s="117">
        <f>IF(COUNTA(B1013:E1013)=0,"",IF(COUNTA(B1013:E1013)&lt;4,"⚠ กรอกไม่ครบ",IF(NOT(ISNUMBER(B1013)),"⚠ วันที่ไม่ถูกต้อง",IF(COUNTIFS(Setup!$L$6:$L$60,D1013,Setup!$M$6:$M$60,C1013)=0,"⚠ หมวดไม่ตรงประเภท","✓"))))</f>
        <v/>
      </c>
    </row>
    <row r="1014">
      <c r="B1014" s="113" t="n"/>
      <c r="C1014" s="114" t="n"/>
      <c r="D1014" s="115" t="n"/>
      <c r="E1014" s="116" t="n"/>
      <c r="F1014" s="115" t="n"/>
      <c r="G1014" s="117">
        <f>IF(COUNTA(B1014:E1014)=0,"",IF(COUNTA(B1014:E1014)&lt;4,"⚠ กรอกไม่ครบ",IF(NOT(ISNUMBER(B1014)),"⚠ วันที่ไม่ถูกต้อง",IF(COUNTIFS(Setup!$L$6:$L$60,D1014,Setup!$M$6:$M$60,C1014)=0,"⚠ หมวดไม่ตรงประเภท","✓"))))</f>
        <v/>
      </c>
    </row>
    <row r="1015">
      <c r="B1015" s="113" t="n"/>
      <c r="C1015" s="114" t="n"/>
      <c r="D1015" s="115" t="n"/>
      <c r="E1015" s="116" t="n"/>
      <c r="F1015" s="115" t="n"/>
      <c r="G1015" s="117">
        <f>IF(COUNTA(B1015:E1015)=0,"",IF(COUNTA(B1015:E1015)&lt;4,"⚠ กรอกไม่ครบ",IF(NOT(ISNUMBER(B1015)),"⚠ วันที่ไม่ถูกต้อง",IF(COUNTIFS(Setup!$L$6:$L$60,D1015,Setup!$M$6:$M$60,C1015)=0,"⚠ หมวดไม่ตรงประเภท","✓"))))</f>
        <v/>
      </c>
    </row>
    <row r="1016">
      <c r="B1016" s="113" t="n"/>
      <c r="C1016" s="114" t="n"/>
      <c r="D1016" s="115" t="n"/>
      <c r="E1016" s="116" t="n"/>
      <c r="F1016" s="115" t="n"/>
      <c r="G1016" s="117">
        <f>IF(COUNTA(B1016:E1016)=0,"",IF(COUNTA(B1016:E1016)&lt;4,"⚠ กรอกไม่ครบ",IF(NOT(ISNUMBER(B1016)),"⚠ วันที่ไม่ถูกต้อง",IF(COUNTIFS(Setup!$L$6:$L$60,D1016,Setup!$M$6:$M$60,C1016)=0,"⚠ หมวดไม่ตรงประเภท","✓"))))</f>
        <v/>
      </c>
    </row>
    <row r="1017">
      <c r="B1017" s="113" t="n"/>
      <c r="C1017" s="114" t="n"/>
      <c r="D1017" s="115" t="n"/>
      <c r="E1017" s="116" t="n"/>
      <c r="F1017" s="115" t="n"/>
      <c r="G1017" s="117">
        <f>IF(COUNTA(B1017:E1017)=0,"",IF(COUNTA(B1017:E1017)&lt;4,"⚠ กรอกไม่ครบ",IF(NOT(ISNUMBER(B1017)),"⚠ วันที่ไม่ถูกต้อง",IF(COUNTIFS(Setup!$L$6:$L$60,D1017,Setup!$M$6:$M$60,C1017)=0,"⚠ หมวดไม่ตรงประเภท","✓"))))</f>
        <v/>
      </c>
    </row>
    <row r="1018">
      <c r="B1018" s="113" t="n"/>
      <c r="C1018" s="114" t="n"/>
      <c r="D1018" s="115" t="n"/>
      <c r="E1018" s="116" t="n"/>
      <c r="F1018" s="115" t="n"/>
      <c r="G1018" s="117">
        <f>IF(COUNTA(B1018:E1018)=0,"",IF(COUNTA(B1018:E1018)&lt;4,"⚠ กรอกไม่ครบ",IF(NOT(ISNUMBER(B1018)),"⚠ วันที่ไม่ถูกต้อง",IF(COUNTIFS(Setup!$L$6:$L$60,D1018,Setup!$M$6:$M$60,C1018)=0,"⚠ หมวดไม่ตรงประเภท","✓"))))</f>
        <v/>
      </c>
    </row>
    <row r="1019">
      <c r="B1019" s="113" t="n"/>
      <c r="C1019" s="114" t="n"/>
      <c r="D1019" s="115" t="n"/>
      <c r="E1019" s="116" t="n"/>
      <c r="F1019" s="115" t="n"/>
      <c r="G1019" s="117">
        <f>IF(COUNTA(B1019:E1019)=0,"",IF(COUNTA(B1019:E1019)&lt;4,"⚠ กรอกไม่ครบ",IF(NOT(ISNUMBER(B1019)),"⚠ วันที่ไม่ถูกต้อง",IF(COUNTIFS(Setup!$L$6:$L$60,D1019,Setup!$M$6:$M$60,C1019)=0,"⚠ หมวดไม่ตรงประเภท","✓"))))</f>
        <v/>
      </c>
    </row>
    <row r="1020">
      <c r="B1020" s="113" t="n"/>
      <c r="C1020" s="114" t="n"/>
      <c r="D1020" s="115" t="n"/>
      <c r="E1020" s="116" t="n"/>
      <c r="F1020" s="115" t="n"/>
      <c r="G1020" s="117">
        <f>IF(COUNTA(B1020:E1020)=0,"",IF(COUNTA(B1020:E1020)&lt;4,"⚠ กรอกไม่ครบ",IF(NOT(ISNUMBER(B1020)),"⚠ วันที่ไม่ถูกต้อง",IF(COUNTIFS(Setup!$L$6:$L$60,D1020,Setup!$M$6:$M$60,C1020)=0,"⚠ หมวดไม่ตรงประเภท","✓"))))</f>
        <v/>
      </c>
    </row>
    <row r="1021">
      <c r="B1021" s="113" t="n"/>
      <c r="C1021" s="114" t="n"/>
      <c r="D1021" s="115" t="n"/>
      <c r="E1021" s="116" t="n"/>
      <c r="F1021" s="115" t="n"/>
      <c r="G1021" s="117">
        <f>IF(COUNTA(B1021:E1021)=0,"",IF(COUNTA(B1021:E1021)&lt;4,"⚠ กรอกไม่ครบ",IF(NOT(ISNUMBER(B1021)),"⚠ วันที่ไม่ถูกต้อง",IF(COUNTIFS(Setup!$L$6:$L$60,D1021,Setup!$M$6:$M$60,C1021)=0,"⚠ หมวดไม่ตรงประเภท","✓"))))</f>
        <v/>
      </c>
    </row>
    <row r="1022">
      <c r="B1022" s="113" t="n"/>
      <c r="C1022" s="114" t="n"/>
      <c r="D1022" s="115" t="n"/>
      <c r="E1022" s="116" t="n"/>
      <c r="F1022" s="115" t="n"/>
      <c r="G1022" s="117">
        <f>IF(COUNTA(B1022:E1022)=0,"",IF(COUNTA(B1022:E1022)&lt;4,"⚠ กรอกไม่ครบ",IF(NOT(ISNUMBER(B1022)),"⚠ วันที่ไม่ถูกต้อง",IF(COUNTIFS(Setup!$L$6:$L$60,D1022,Setup!$M$6:$M$60,C1022)=0,"⚠ หมวดไม่ตรงประเภท","✓"))))</f>
        <v/>
      </c>
    </row>
    <row r="1023">
      <c r="B1023" s="113" t="n"/>
      <c r="C1023" s="114" t="n"/>
      <c r="D1023" s="115" t="n"/>
      <c r="E1023" s="116" t="n"/>
      <c r="F1023" s="115" t="n"/>
      <c r="G1023" s="117">
        <f>IF(COUNTA(B1023:E1023)=0,"",IF(COUNTA(B1023:E1023)&lt;4,"⚠ กรอกไม่ครบ",IF(NOT(ISNUMBER(B1023)),"⚠ วันที่ไม่ถูกต้อง",IF(COUNTIFS(Setup!$L$6:$L$60,D1023,Setup!$M$6:$M$60,C1023)=0,"⚠ หมวดไม่ตรงประเภท","✓"))))</f>
        <v/>
      </c>
    </row>
    <row r="1024">
      <c r="B1024" s="113" t="n"/>
      <c r="C1024" s="114" t="n"/>
      <c r="D1024" s="115" t="n"/>
      <c r="E1024" s="116" t="n"/>
      <c r="F1024" s="115" t="n"/>
      <c r="G1024" s="117">
        <f>IF(COUNTA(B1024:E1024)=0,"",IF(COUNTA(B1024:E1024)&lt;4,"⚠ กรอกไม่ครบ",IF(NOT(ISNUMBER(B1024)),"⚠ วันที่ไม่ถูกต้อง",IF(COUNTIFS(Setup!$L$6:$L$60,D1024,Setup!$M$6:$M$60,C1024)=0,"⚠ หมวดไม่ตรงประเภท","✓"))))</f>
        <v/>
      </c>
    </row>
    <row r="1025">
      <c r="B1025" s="113" t="n"/>
      <c r="C1025" s="114" t="n"/>
      <c r="D1025" s="115" t="n"/>
      <c r="E1025" s="116" t="n"/>
      <c r="F1025" s="115" t="n"/>
      <c r="G1025" s="117">
        <f>IF(COUNTA(B1025:E1025)=0,"",IF(COUNTA(B1025:E1025)&lt;4,"⚠ กรอกไม่ครบ",IF(NOT(ISNUMBER(B1025)),"⚠ วันที่ไม่ถูกต้อง",IF(COUNTIFS(Setup!$L$6:$L$60,D1025,Setup!$M$6:$M$60,C1025)=0,"⚠ หมวดไม่ตรงประเภท","✓"))))</f>
        <v/>
      </c>
    </row>
    <row r="1026">
      <c r="B1026" s="113" t="n"/>
      <c r="C1026" s="114" t="n"/>
      <c r="D1026" s="115" t="n"/>
      <c r="E1026" s="116" t="n"/>
      <c r="F1026" s="115" t="n"/>
      <c r="G1026" s="117">
        <f>IF(COUNTA(B1026:E1026)=0,"",IF(COUNTA(B1026:E1026)&lt;4,"⚠ กรอกไม่ครบ",IF(NOT(ISNUMBER(B1026)),"⚠ วันที่ไม่ถูกต้อง",IF(COUNTIFS(Setup!$L$6:$L$60,D1026,Setup!$M$6:$M$60,C1026)=0,"⚠ หมวดไม่ตรงประเภท","✓"))))</f>
        <v/>
      </c>
    </row>
    <row r="1027">
      <c r="B1027" s="113" t="n"/>
      <c r="C1027" s="114" t="n"/>
      <c r="D1027" s="115" t="n"/>
      <c r="E1027" s="116" t="n"/>
      <c r="F1027" s="115" t="n"/>
      <c r="G1027" s="117">
        <f>IF(COUNTA(B1027:E1027)=0,"",IF(COUNTA(B1027:E1027)&lt;4,"⚠ กรอกไม่ครบ",IF(NOT(ISNUMBER(B1027)),"⚠ วันที่ไม่ถูกต้อง",IF(COUNTIFS(Setup!$L$6:$L$60,D1027,Setup!$M$6:$M$60,C1027)=0,"⚠ หมวดไม่ตรงประเภท","✓"))))</f>
        <v/>
      </c>
    </row>
    <row r="1028">
      <c r="B1028" s="113" t="n"/>
      <c r="C1028" s="114" t="n"/>
      <c r="D1028" s="115" t="n"/>
      <c r="E1028" s="116" t="n"/>
      <c r="F1028" s="115" t="n"/>
      <c r="G1028" s="117">
        <f>IF(COUNTA(B1028:E1028)=0,"",IF(COUNTA(B1028:E1028)&lt;4,"⚠ กรอกไม่ครบ",IF(NOT(ISNUMBER(B1028)),"⚠ วันที่ไม่ถูกต้อง",IF(COUNTIFS(Setup!$L$6:$L$60,D1028,Setup!$M$6:$M$60,C1028)=0,"⚠ หมวดไม่ตรงประเภท","✓"))))</f>
        <v/>
      </c>
    </row>
    <row r="1029">
      <c r="B1029" s="113" t="n"/>
      <c r="C1029" s="114" t="n"/>
      <c r="D1029" s="115" t="n"/>
      <c r="E1029" s="116" t="n"/>
      <c r="F1029" s="115" t="n"/>
      <c r="G1029" s="117">
        <f>IF(COUNTA(B1029:E1029)=0,"",IF(COUNTA(B1029:E1029)&lt;4,"⚠ กรอกไม่ครบ",IF(NOT(ISNUMBER(B1029)),"⚠ วันที่ไม่ถูกต้อง",IF(COUNTIFS(Setup!$L$6:$L$60,D1029,Setup!$M$6:$M$60,C1029)=0,"⚠ หมวดไม่ตรงประเภท","✓"))))</f>
        <v/>
      </c>
    </row>
    <row r="1030">
      <c r="B1030" s="113" t="n"/>
      <c r="C1030" s="114" t="n"/>
      <c r="D1030" s="115" t="n"/>
      <c r="E1030" s="116" t="n"/>
      <c r="F1030" s="115" t="n"/>
      <c r="G1030" s="117">
        <f>IF(COUNTA(B1030:E1030)=0,"",IF(COUNTA(B1030:E1030)&lt;4,"⚠ กรอกไม่ครบ",IF(NOT(ISNUMBER(B1030)),"⚠ วันที่ไม่ถูกต้อง",IF(COUNTIFS(Setup!$L$6:$L$60,D1030,Setup!$M$6:$M$60,C1030)=0,"⚠ หมวดไม่ตรงประเภท","✓"))))</f>
        <v/>
      </c>
    </row>
    <row r="1031">
      <c r="B1031" s="113" t="n"/>
      <c r="C1031" s="114" t="n"/>
      <c r="D1031" s="115" t="n"/>
      <c r="E1031" s="116" t="n"/>
      <c r="F1031" s="115" t="n"/>
      <c r="G1031" s="117">
        <f>IF(COUNTA(B1031:E1031)=0,"",IF(COUNTA(B1031:E1031)&lt;4,"⚠ กรอกไม่ครบ",IF(NOT(ISNUMBER(B1031)),"⚠ วันที่ไม่ถูกต้อง",IF(COUNTIFS(Setup!$L$6:$L$60,D1031,Setup!$M$6:$M$60,C1031)=0,"⚠ หมวดไม่ตรงประเภท","✓"))))</f>
        <v/>
      </c>
    </row>
    <row r="1032">
      <c r="B1032" s="113" t="n"/>
      <c r="C1032" s="114" t="n"/>
      <c r="D1032" s="115" t="n"/>
      <c r="E1032" s="116" t="n"/>
      <c r="F1032" s="115" t="n"/>
      <c r="G1032" s="117">
        <f>IF(COUNTA(B1032:E1032)=0,"",IF(COUNTA(B1032:E1032)&lt;4,"⚠ กรอกไม่ครบ",IF(NOT(ISNUMBER(B1032)),"⚠ วันที่ไม่ถูกต้อง",IF(COUNTIFS(Setup!$L$6:$L$60,D1032,Setup!$M$6:$M$60,C1032)=0,"⚠ หมวดไม่ตรงประเภท","✓"))))</f>
        <v/>
      </c>
    </row>
    <row r="1033">
      <c r="B1033" s="113" t="n"/>
      <c r="C1033" s="114" t="n"/>
      <c r="D1033" s="115" t="n"/>
      <c r="E1033" s="116" t="n"/>
      <c r="F1033" s="115" t="n"/>
      <c r="G1033" s="117">
        <f>IF(COUNTA(B1033:E1033)=0,"",IF(COUNTA(B1033:E1033)&lt;4,"⚠ กรอกไม่ครบ",IF(NOT(ISNUMBER(B1033)),"⚠ วันที่ไม่ถูกต้อง",IF(COUNTIFS(Setup!$L$6:$L$60,D1033,Setup!$M$6:$M$60,C1033)=0,"⚠ หมวดไม่ตรงประเภท","✓"))))</f>
        <v/>
      </c>
    </row>
    <row r="1034">
      <c r="B1034" s="113" t="n"/>
      <c r="C1034" s="114" t="n"/>
      <c r="D1034" s="115" t="n"/>
      <c r="E1034" s="116" t="n"/>
      <c r="F1034" s="115" t="n"/>
      <c r="G1034" s="117">
        <f>IF(COUNTA(B1034:E1034)=0,"",IF(COUNTA(B1034:E1034)&lt;4,"⚠ กรอกไม่ครบ",IF(NOT(ISNUMBER(B1034)),"⚠ วันที่ไม่ถูกต้อง",IF(COUNTIFS(Setup!$L$6:$L$60,D1034,Setup!$M$6:$M$60,C1034)=0,"⚠ หมวดไม่ตรงประเภท","✓"))))</f>
        <v/>
      </c>
    </row>
    <row r="1035">
      <c r="B1035" s="113" t="n"/>
      <c r="C1035" s="114" t="n"/>
      <c r="D1035" s="115" t="n"/>
      <c r="E1035" s="116" t="n"/>
      <c r="F1035" s="115" t="n"/>
      <c r="G1035" s="117">
        <f>IF(COUNTA(B1035:E1035)=0,"",IF(COUNTA(B1035:E1035)&lt;4,"⚠ กรอกไม่ครบ",IF(NOT(ISNUMBER(B1035)),"⚠ วันที่ไม่ถูกต้อง",IF(COUNTIFS(Setup!$L$6:$L$60,D1035,Setup!$M$6:$M$60,C1035)=0,"⚠ หมวดไม่ตรงประเภท","✓"))))</f>
        <v/>
      </c>
    </row>
    <row r="1036">
      <c r="B1036" s="113" t="n"/>
      <c r="C1036" s="114" t="n"/>
      <c r="D1036" s="115" t="n"/>
      <c r="E1036" s="116" t="n"/>
      <c r="F1036" s="115" t="n"/>
      <c r="G1036" s="117">
        <f>IF(COUNTA(B1036:E1036)=0,"",IF(COUNTA(B1036:E1036)&lt;4,"⚠ กรอกไม่ครบ",IF(NOT(ISNUMBER(B1036)),"⚠ วันที่ไม่ถูกต้อง",IF(COUNTIFS(Setup!$L$6:$L$60,D1036,Setup!$M$6:$M$60,C1036)=0,"⚠ หมวดไม่ตรงประเภท","✓"))))</f>
        <v/>
      </c>
    </row>
    <row r="1037">
      <c r="B1037" s="113" t="n"/>
      <c r="C1037" s="114" t="n"/>
      <c r="D1037" s="115" t="n"/>
      <c r="E1037" s="116" t="n"/>
      <c r="F1037" s="115" t="n"/>
      <c r="G1037" s="117">
        <f>IF(COUNTA(B1037:E1037)=0,"",IF(COUNTA(B1037:E1037)&lt;4,"⚠ กรอกไม่ครบ",IF(NOT(ISNUMBER(B1037)),"⚠ วันที่ไม่ถูกต้อง",IF(COUNTIFS(Setup!$L$6:$L$60,D1037,Setup!$M$6:$M$60,C1037)=0,"⚠ หมวดไม่ตรงประเภท","✓"))))</f>
        <v/>
      </c>
    </row>
    <row r="1038">
      <c r="B1038" s="113" t="n"/>
      <c r="C1038" s="114" t="n"/>
      <c r="D1038" s="115" t="n"/>
      <c r="E1038" s="116" t="n"/>
      <c r="F1038" s="115" t="n"/>
      <c r="G1038" s="117">
        <f>IF(COUNTA(B1038:E1038)=0,"",IF(COUNTA(B1038:E1038)&lt;4,"⚠ กรอกไม่ครบ",IF(NOT(ISNUMBER(B1038)),"⚠ วันที่ไม่ถูกต้อง",IF(COUNTIFS(Setup!$L$6:$L$60,D1038,Setup!$M$6:$M$60,C1038)=0,"⚠ หมวดไม่ตรงประเภท","✓"))))</f>
        <v/>
      </c>
    </row>
    <row r="1039">
      <c r="B1039" s="113" t="n"/>
      <c r="C1039" s="114" t="n"/>
      <c r="D1039" s="115" t="n"/>
      <c r="E1039" s="116" t="n"/>
      <c r="F1039" s="115" t="n"/>
      <c r="G1039" s="117">
        <f>IF(COUNTA(B1039:E1039)=0,"",IF(COUNTA(B1039:E1039)&lt;4,"⚠ กรอกไม่ครบ",IF(NOT(ISNUMBER(B1039)),"⚠ วันที่ไม่ถูกต้อง",IF(COUNTIFS(Setup!$L$6:$L$60,D1039,Setup!$M$6:$M$60,C1039)=0,"⚠ หมวดไม่ตรงประเภท","✓"))))</f>
        <v/>
      </c>
    </row>
    <row r="1040">
      <c r="B1040" s="113" t="n"/>
      <c r="C1040" s="114" t="n"/>
      <c r="D1040" s="115" t="n"/>
      <c r="E1040" s="116" t="n"/>
      <c r="F1040" s="115" t="n"/>
      <c r="G1040" s="117">
        <f>IF(COUNTA(B1040:E1040)=0,"",IF(COUNTA(B1040:E1040)&lt;4,"⚠ กรอกไม่ครบ",IF(NOT(ISNUMBER(B1040)),"⚠ วันที่ไม่ถูกต้อง",IF(COUNTIFS(Setup!$L$6:$L$60,D1040,Setup!$M$6:$M$60,C1040)=0,"⚠ หมวดไม่ตรงประเภท","✓"))))</f>
        <v/>
      </c>
    </row>
    <row r="1041">
      <c r="B1041" s="113" t="n"/>
      <c r="C1041" s="114" t="n"/>
      <c r="D1041" s="115" t="n"/>
      <c r="E1041" s="116" t="n"/>
      <c r="F1041" s="115" t="n"/>
      <c r="G1041" s="117">
        <f>IF(COUNTA(B1041:E1041)=0,"",IF(COUNTA(B1041:E1041)&lt;4,"⚠ กรอกไม่ครบ",IF(NOT(ISNUMBER(B1041)),"⚠ วันที่ไม่ถูกต้อง",IF(COUNTIFS(Setup!$L$6:$L$60,D1041,Setup!$M$6:$M$60,C1041)=0,"⚠ หมวดไม่ตรงประเภท","✓"))))</f>
        <v/>
      </c>
    </row>
    <row r="1042">
      <c r="B1042" s="113" t="n"/>
      <c r="C1042" s="114" t="n"/>
      <c r="D1042" s="115" t="n"/>
      <c r="E1042" s="116" t="n"/>
      <c r="F1042" s="115" t="n"/>
      <c r="G1042" s="117">
        <f>IF(COUNTA(B1042:E1042)=0,"",IF(COUNTA(B1042:E1042)&lt;4,"⚠ กรอกไม่ครบ",IF(NOT(ISNUMBER(B1042)),"⚠ วันที่ไม่ถูกต้อง",IF(COUNTIFS(Setup!$L$6:$L$60,D1042,Setup!$M$6:$M$60,C1042)=0,"⚠ หมวดไม่ตรงประเภท","✓"))))</f>
        <v/>
      </c>
    </row>
    <row r="1043">
      <c r="B1043" s="113" t="n"/>
      <c r="C1043" s="114" t="n"/>
      <c r="D1043" s="115" t="n"/>
      <c r="E1043" s="116" t="n"/>
      <c r="F1043" s="115" t="n"/>
      <c r="G1043" s="117">
        <f>IF(COUNTA(B1043:E1043)=0,"",IF(COUNTA(B1043:E1043)&lt;4,"⚠ กรอกไม่ครบ",IF(NOT(ISNUMBER(B1043)),"⚠ วันที่ไม่ถูกต้อง",IF(COUNTIFS(Setup!$L$6:$L$60,D1043,Setup!$M$6:$M$60,C1043)=0,"⚠ หมวดไม่ตรงประเภท","✓"))))</f>
        <v/>
      </c>
    </row>
    <row r="1044">
      <c r="B1044" s="113" t="n"/>
      <c r="C1044" s="114" t="n"/>
      <c r="D1044" s="115" t="n"/>
      <c r="E1044" s="116" t="n"/>
      <c r="F1044" s="115" t="n"/>
      <c r="G1044" s="117">
        <f>IF(COUNTA(B1044:E1044)=0,"",IF(COUNTA(B1044:E1044)&lt;4,"⚠ กรอกไม่ครบ",IF(NOT(ISNUMBER(B1044)),"⚠ วันที่ไม่ถูกต้อง",IF(COUNTIFS(Setup!$L$6:$L$60,D1044,Setup!$M$6:$M$60,C1044)=0,"⚠ หมวดไม่ตรงประเภท","✓"))))</f>
        <v/>
      </c>
    </row>
    <row r="1045">
      <c r="B1045" s="113" t="n"/>
      <c r="C1045" s="114" t="n"/>
      <c r="D1045" s="115" t="n"/>
      <c r="E1045" s="116" t="n"/>
      <c r="F1045" s="115" t="n"/>
      <c r="G1045" s="117">
        <f>IF(COUNTA(B1045:E1045)=0,"",IF(COUNTA(B1045:E1045)&lt;4,"⚠ กรอกไม่ครบ",IF(NOT(ISNUMBER(B1045)),"⚠ วันที่ไม่ถูกต้อง",IF(COUNTIFS(Setup!$L$6:$L$60,D1045,Setup!$M$6:$M$60,C1045)=0,"⚠ หมวดไม่ตรงประเภท","✓"))))</f>
        <v/>
      </c>
    </row>
    <row r="1046">
      <c r="B1046" s="113" t="n"/>
      <c r="C1046" s="114" t="n"/>
      <c r="D1046" s="115" t="n"/>
      <c r="E1046" s="116" t="n"/>
      <c r="F1046" s="115" t="n"/>
      <c r="G1046" s="117">
        <f>IF(COUNTA(B1046:E1046)=0,"",IF(COUNTA(B1046:E1046)&lt;4,"⚠ กรอกไม่ครบ",IF(NOT(ISNUMBER(B1046)),"⚠ วันที่ไม่ถูกต้อง",IF(COUNTIFS(Setup!$L$6:$L$60,D1046,Setup!$M$6:$M$60,C1046)=0,"⚠ หมวดไม่ตรงประเภท","✓"))))</f>
        <v/>
      </c>
    </row>
    <row r="1047">
      <c r="B1047" s="113" t="n"/>
      <c r="C1047" s="114" t="n"/>
      <c r="D1047" s="115" t="n"/>
      <c r="E1047" s="116" t="n"/>
      <c r="F1047" s="115" t="n"/>
      <c r="G1047" s="117">
        <f>IF(COUNTA(B1047:E1047)=0,"",IF(COUNTA(B1047:E1047)&lt;4,"⚠ กรอกไม่ครบ",IF(NOT(ISNUMBER(B1047)),"⚠ วันที่ไม่ถูกต้อง",IF(COUNTIFS(Setup!$L$6:$L$60,D1047,Setup!$M$6:$M$60,C1047)=0,"⚠ หมวดไม่ตรงประเภท","✓"))))</f>
        <v/>
      </c>
    </row>
    <row r="1048">
      <c r="B1048" s="113" t="n"/>
      <c r="C1048" s="114" t="n"/>
      <c r="D1048" s="115" t="n"/>
      <c r="E1048" s="116" t="n"/>
      <c r="F1048" s="115" t="n"/>
      <c r="G1048" s="117">
        <f>IF(COUNTA(B1048:E1048)=0,"",IF(COUNTA(B1048:E1048)&lt;4,"⚠ กรอกไม่ครบ",IF(NOT(ISNUMBER(B1048)),"⚠ วันที่ไม่ถูกต้อง",IF(COUNTIFS(Setup!$L$6:$L$60,D1048,Setup!$M$6:$M$60,C1048)=0,"⚠ หมวดไม่ตรงประเภท","✓"))))</f>
        <v/>
      </c>
    </row>
    <row r="1049">
      <c r="B1049" s="113" t="n"/>
      <c r="C1049" s="114" t="n"/>
      <c r="D1049" s="115" t="n"/>
      <c r="E1049" s="116" t="n"/>
      <c r="F1049" s="115" t="n"/>
      <c r="G1049" s="117">
        <f>IF(COUNTA(B1049:E1049)=0,"",IF(COUNTA(B1049:E1049)&lt;4,"⚠ กรอกไม่ครบ",IF(NOT(ISNUMBER(B1049)),"⚠ วันที่ไม่ถูกต้อง",IF(COUNTIFS(Setup!$L$6:$L$60,D1049,Setup!$M$6:$M$60,C1049)=0,"⚠ หมวดไม่ตรงประเภท","✓"))))</f>
        <v/>
      </c>
    </row>
    <row r="1050">
      <c r="B1050" s="113" t="n"/>
      <c r="C1050" s="114" t="n"/>
      <c r="D1050" s="115" t="n"/>
      <c r="E1050" s="116" t="n"/>
      <c r="F1050" s="115" t="n"/>
      <c r="G1050" s="117">
        <f>IF(COUNTA(B1050:E1050)=0,"",IF(COUNTA(B1050:E1050)&lt;4,"⚠ กรอกไม่ครบ",IF(NOT(ISNUMBER(B1050)),"⚠ วันที่ไม่ถูกต้อง",IF(COUNTIFS(Setup!$L$6:$L$60,D1050,Setup!$M$6:$M$60,C1050)=0,"⚠ หมวดไม่ตรงประเภท","✓"))))</f>
        <v/>
      </c>
    </row>
    <row r="1051">
      <c r="B1051" s="113" t="n"/>
      <c r="C1051" s="114" t="n"/>
      <c r="D1051" s="115" t="n"/>
      <c r="E1051" s="116" t="n"/>
      <c r="F1051" s="115" t="n"/>
      <c r="G1051" s="117">
        <f>IF(COUNTA(B1051:E1051)=0,"",IF(COUNTA(B1051:E1051)&lt;4,"⚠ กรอกไม่ครบ",IF(NOT(ISNUMBER(B1051)),"⚠ วันที่ไม่ถูกต้อง",IF(COUNTIFS(Setup!$L$6:$L$60,D1051,Setup!$M$6:$M$60,C1051)=0,"⚠ หมวดไม่ตรงประเภท","✓"))))</f>
        <v/>
      </c>
    </row>
    <row r="1052">
      <c r="B1052" s="113" t="n"/>
      <c r="C1052" s="114" t="n"/>
      <c r="D1052" s="115" t="n"/>
      <c r="E1052" s="116" t="n"/>
      <c r="F1052" s="115" t="n"/>
      <c r="G1052" s="117">
        <f>IF(COUNTA(B1052:E1052)=0,"",IF(COUNTA(B1052:E1052)&lt;4,"⚠ กรอกไม่ครบ",IF(NOT(ISNUMBER(B1052)),"⚠ วันที่ไม่ถูกต้อง",IF(COUNTIFS(Setup!$L$6:$L$60,D1052,Setup!$M$6:$M$60,C1052)=0,"⚠ หมวดไม่ตรงประเภท","✓"))))</f>
        <v/>
      </c>
    </row>
    <row r="1053">
      <c r="B1053" s="113" t="n"/>
      <c r="C1053" s="114" t="n"/>
      <c r="D1053" s="115" t="n"/>
      <c r="E1053" s="116" t="n"/>
      <c r="F1053" s="115" t="n"/>
      <c r="G1053" s="117">
        <f>IF(COUNTA(B1053:E1053)=0,"",IF(COUNTA(B1053:E1053)&lt;4,"⚠ กรอกไม่ครบ",IF(NOT(ISNUMBER(B1053)),"⚠ วันที่ไม่ถูกต้อง",IF(COUNTIFS(Setup!$L$6:$L$60,D1053,Setup!$M$6:$M$60,C1053)=0,"⚠ หมวดไม่ตรงประเภท","✓"))))</f>
        <v/>
      </c>
    </row>
    <row r="1054">
      <c r="B1054" s="113" t="n"/>
      <c r="C1054" s="114" t="n"/>
      <c r="D1054" s="115" t="n"/>
      <c r="E1054" s="116" t="n"/>
      <c r="F1054" s="115" t="n"/>
      <c r="G1054" s="117">
        <f>IF(COUNTA(B1054:E1054)=0,"",IF(COUNTA(B1054:E1054)&lt;4,"⚠ กรอกไม่ครบ",IF(NOT(ISNUMBER(B1054)),"⚠ วันที่ไม่ถูกต้อง",IF(COUNTIFS(Setup!$L$6:$L$60,D1054,Setup!$M$6:$M$60,C1054)=0,"⚠ หมวดไม่ตรงประเภท","✓"))))</f>
        <v/>
      </c>
    </row>
    <row r="1055">
      <c r="B1055" s="113" t="n"/>
      <c r="C1055" s="114" t="n"/>
      <c r="D1055" s="115" t="n"/>
      <c r="E1055" s="116" t="n"/>
      <c r="F1055" s="115" t="n"/>
      <c r="G1055" s="117">
        <f>IF(COUNTA(B1055:E1055)=0,"",IF(COUNTA(B1055:E1055)&lt;4,"⚠ กรอกไม่ครบ",IF(NOT(ISNUMBER(B1055)),"⚠ วันที่ไม่ถูกต้อง",IF(COUNTIFS(Setup!$L$6:$L$60,D1055,Setup!$M$6:$M$60,C1055)=0,"⚠ หมวดไม่ตรงประเภท","✓"))))</f>
        <v/>
      </c>
    </row>
    <row r="1056">
      <c r="B1056" s="113" t="n"/>
      <c r="C1056" s="114" t="n"/>
      <c r="D1056" s="115" t="n"/>
      <c r="E1056" s="116" t="n"/>
      <c r="F1056" s="115" t="n"/>
      <c r="G1056" s="117">
        <f>IF(COUNTA(B1056:E1056)=0,"",IF(COUNTA(B1056:E1056)&lt;4,"⚠ กรอกไม่ครบ",IF(NOT(ISNUMBER(B1056)),"⚠ วันที่ไม่ถูกต้อง",IF(COUNTIFS(Setup!$L$6:$L$60,D1056,Setup!$M$6:$M$60,C1056)=0,"⚠ หมวดไม่ตรงประเภท","✓"))))</f>
        <v/>
      </c>
    </row>
    <row r="1057">
      <c r="B1057" s="113" t="n"/>
      <c r="C1057" s="114" t="n"/>
      <c r="D1057" s="115" t="n"/>
      <c r="E1057" s="116" t="n"/>
      <c r="F1057" s="115" t="n"/>
      <c r="G1057" s="117">
        <f>IF(COUNTA(B1057:E1057)=0,"",IF(COUNTA(B1057:E1057)&lt;4,"⚠ กรอกไม่ครบ",IF(NOT(ISNUMBER(B1057)),"⚠ วันที่ไม่ถูกต้อง",IF(COUNTIFS(Setup!$L$6:$L$60,D1057,Setup!$M$6:$M$60,C1057)=0,"⚠ หมวดไม่ตรงประเภท","✓"))))</f>
        <v/>
      </c>
    </row>
    <row r="1058">
      <c r="B1058" s="113" t="n"/>
      <c r="C1058" s="114" t="n"/>
      <c r="D1058" s="115" t="n"/>
      <c r="E1058" s="116" t="n"/>
      <c r="F1058" s="115" t="n"/>
      <c r="G1058" s="117">
        <f>IF(COUNTA(B1058:E1058)=0,"",IF(COUNTA(B1058:E1058)&lt;4,"⚠ กรอกไม่ครบ",IF(NOT(ISNUMBER(B1058)),"⚠ วันที่ไม่ถูกต้อง",IF(COUNTIFS(Setup!$L$6:$L$60,D1058,Setup!$M$6:$M$60,C1058)=0,"⚠ หมวดไม่ตรงประเภท","✓"))))</f>
        <v/>
      </c>
    </row>
    <row r="1059">
      <c r="B1059" s="113" t="n"/>
      <c r="C1059" s="114" t="n"/>
      <c r="D1059" s="115" t="n"/>
      <c r="E1059" s="116" t="n"/>
      <c r="F1059" s="115" t="n"/>
      <c r="G1059" s="117">
        <f>IF(COUNTA(B1059:E1059)=0,"",IF(COUNTA(B1059:E1059)&lt;4,"⚠ กรอกไม่ครบ",IF(NOT(ISNUMBER(B1059)),"⚠ วันที่ไม่ถูกต้อง",IF(COUNTIFS(Setup!$L$6:$L$60,D1059,Setup!$M$6:$M$60,C1059)=0,"⚠ หมวดไม่ตรงประเภท","✓"))))</f>
        <v/>
      </c>
    </row>
    <row r="1060">
      <c r="B1060" s="113" t="n"/>
      <c r="C1060" s="114" t="n"/>
      <c r="D1060" s="115" t="n"/>
      <c r="E1060" s="116" t="n"/>
      <c r="F1060" s="115" t="n"/>
      <c r="G1060" s="117">
        <f>IF(COUNTA(B1060:E1060)=0,"",IF(COUNTA(B1060:E1060)&lt;4,"⚠ กรอกไม่ครบ",IF(NOT(ISNUMBER(B1060)),"⚠ วันที่ไม่ถูกต้อง",IF(COUNTIFS(Setup!$L$6:$L$60,D1060,Setup!$M$6:$M$60,C1060)=0,"⚠ หมวดไม่ตรงประเภท","✓"))))</f>
        <v/>
      </c>
    </row>
    <row r="1061">
      <c r="B1061" s="113" t="n"/>
      <c r="C1061" s="114" t="n"/>
      <c r="D1061" s="115" t="n"/>
      <c r="E1061" s="116" t="n"/>
      <c r="F1061" s="115" t="n"/>
      <c r="G1061" s="117">
        <f>IF(COUNTA(B1061:E1061)=0,"",IF(COUNTA(B1061:E1061)&lt;4,"⚠ กรอกไม่ครบ",IF(NOT(ISNUMBER(B1061)),"⚠ วันที่ไม่ถูกต้อง",IF(COUNTIFS(Setup!$L$6:$L$60,D1061,Setup!$M$6:$M$60,C1061)=0,"⚠ หมวดไม่ตรงประเภท","✓"))))</f>
        <v/>
      </c>
    </row>
    <row r="1062">
      <c r="B1062" s="113" t="n"/>
      <c r="C1062" s="114" t="n"/>
      <c r="D1062" s="115" t="n"/>
      <c r="E1062" s="116" t="n"/>
      <c r="F1062" s="115" t="n"/>
      <c r="G1062" s="117">
        <f>IF(COUNTA(B1062:E1062)=0,"",IF(COUNTA(B1062:E1062)&lt;4,"⚠ กรอกไม่ครบ",IF(NOT(ISNUMBER(B1062)),"⚠ วันที่ไม่ถูกต้อง",IF(COUNTIFS(Setup!$L$6:$L$60,D1062,Setup!$M$6:$M$60,C1062)=0,"⚠ หมวดไม่ตรงประเภท","✓"))))</f>
        <v/>
      </c>
    </row>
    <row r="1063">
      <c r="B1063" s="113" t="n"/>
      <c r="C1063" s="114" t="n"/>
      <c r="D1063" s="115" t="n"/>
      <c r="E1063" s="116" t="n"/>
      <c r="F1063" s="115" t="n"/>
      <c r="G1063" s="117">
        <f>IF(COUNTA(B1063:E1063)=0,"",IF(COUNTA(B1063:E1063)&lt;4,"⚠ กรอกไม่ครบ",IF(NOT(ISNUMBER(B1063)),"⚠ วันที่ไม่ถูกต้อง",IF(COUNTIFS(Setup!$L$6:$L$60,D1063,Setup!$M$6:$M$60,C1063)=0,"⚠ หมวดไม่ตรงประเภท","✓"))))</f>
        <v/>
      </c>
    </row>
    <row r="1064">
      <c r="B1064" s="113" t="n"/>
      <c r="C1064" s="114" t="n"/>
      <c r="D1064" s="115" t="n"/>
      <c r="E1064" s="116" t="n"/>
      <c r="F1064" s="115" t="n"/>
      <c r="G1064" s="117">
        <f>IF(COUNTA(B1064:E1064)=0,"",IF(COUNTA(B1064:E1064)&lt;4,"⚠ กรอกไม่ครบ",IF(NOT(ISNUMBER(B1064)),"⚠ วันที่ไม่ถูกต้อง",IF(COUNTIFS(Setup!$L$6:$L$60,D1064,Setup!$M$6:$M$60,C1064)=0,"⚠ หมวดไม่ตรงประเภท","✓"))))</f>
        <v/>
      </c>
    </row>
    <row r="1065">
      <c r="B1065" s="113" t="n"/>
      <c r="C1065" s="114" t="n"/>
      <c r="D1065" s="115" t="n"/>
      <c r="E1065" s="116" t="n"/>
      <c r="F1065" s="115" t="n"/>
      <c r="G1065" s="117">
        <f>IF(COUNTA(B1065:E1065)=0,"",IF(COUNTA(B1065:E1065)&lt;4,"⚠ กรอกไม่ครบ",IF(NOT(ISNUMBER(B1065)),"⚠ วันที่ไม่ถูกต้อง",IF(COUNTIFS(Setup!$L$6:$L$60,D1065,Setup!$M$6:$M$60,C1065)=0,"⚠ หมวดไม่ตรงประเภท","✓"))))</f>
        <v/>
      </c>
    </row>
    <row r="1066">
      <c r="B1066" s="113" t="n"/>
      <c r="C1066" s="114" t="n"/>
      <c r="D1066" s="115" t="n"/>
      <c r="E1066" s="116" t="n"/>
      <c r="F1066" s="115" t="n"/>
      <c r="G1066" s="117">
        <f>IF(COUNTA(B1066:E1066)=0,"",IF(COUNTA(B1066:E1066)&lt;4,"⚠ กรอกไม่ครบ",IF(NOT(ISNUMBER(B1066)),"⚠ วันที่ไม่ถูกต้อง",IF(COUNTIFS(Setup!$L$6:$L$60,D1066,Setup!$M$6:$M$60,C1066)=0,"⚠ หมวดไม่ตรงประเภท","✓"))))</f>
        <v/>
      </c>
    </row>
    <row r="1067">
      <c r="B1067" s="113" t="n"/>
      <c r="C1067" s="114" t="n"/>
      <c r="D1067" s="115" t="n"/>
      <c r="E1067" s="116" t="n"/>
      <c r="F1067" s="115" t="n"/>
      <c r="G1067" s="117">
        <f>IF(COUNTA(B1067:E1067)=0,"",IF(COUNTA(B1067:E1067)&lt;4,"⚠ กรอกไม่ครบ",IF(NOT(ISNUMBER(B1067)),"⚠ วันที่ไม่ถูกต้อง",IF(COUNTIFS(Setup!$L$6:$L$60,D1067,Setup!$M$6:$M$60,C1067)=0,"⚠ หมวดไม่ตรงประเภท","✓"))))</f>
        <v/>
      </c>
    </row>
    <row r="1068">
      <c r="B1068" s="113" t="n"/>
      <c r="C1068" s="114" t="n"/>
      <c r="D1068" s="115" t="n"/>
      <c r="E1068" s="116" t="n"/>
      <c r="F1068" s="115" t="n"/>
      <c r="G1068" s="117">
        <f>IF(COUNTA(B1068:E1068)=0,"",IF(COUNTA(B1068:E1068)&lt;4,"⚠ กรอกไม่ครบ",IF(NOT(ISNUMBER(B1068)),"⚠ วันที่ไม่ถูกต้อง",IF(COUNTIFS(Setup!$L$6:$L$60,D1068,Setup!$M$6:$M$60,C1068)=0,"⚠ หมวดไม่ตรงประเภท","✓"))))</f>
        <v/>
      </c>
    </row>
    <row r="1069">
      <c r="B1069" s="113" t="n"/>
      <c r="C1069" s="114" t="n"/>
      <c r="D1069" s="115" t="n"/>
      <c r="E1069" s="116" t="n"/>
      <c r="F1069" s="115" t="n"/>
      <c r="G1069" s="117">
        <f>IF(COUNTA(B1069:E1069)=0,"",IF(COUNTA(B1069:E1069)&lt;4,"⚠ กรอกไม่ครบ",IF(NOT(ISNUMBER(B1069)),"⚠ วันที่ไม่ถูกต้อง",IF(COUNTIFS(Setup!$L$6:$L$60,D1069,Setup!$M$6:$M$60,C1069)=0,"⚠ หมวดไม่ตรงประเภท","✓"))))</f>
        <v/>
      </c>
    </row>
    <row r="1070">
      <c r="B1070" s="113" t="n"/>
      <c r="C1070" s="114" t="n"/>
      <c r="D1070" s="115" t="n"/>
      <c r="E1070" s="116" t="n"/>
      <c r="F1070" s="115" t="n"/>
      <c r="G1070" s="117">
        <f>IF(COUNTA(B1070:E1070)=0,"",IF(COUNTA(B1070:E1070)&lt;4,"⚠ กรอกไม่ครบ",IF(NOT(ISNUMBER(B1070)),"⚠ วันที่ไม่ถูกต้อง",IF(COUNTIFS(Setup!$L$6:$L$60,D1070,Setup!$M$6:$M$60,C1070)=0,"⚠ หมวดไม่ตรงประเภท","✓"))))</f>
        <v/>
      </c>
    </row>
    <row r="1071">
      <c r="B1071" s="113" t="n"/>
      <c r="C1071" s="114" t="n"/>
      <c r="D1071" s="115" t="n"/>
      <c r="E1071" s="116" t="n"/>
      <c r="F1071" s="115" t="n"/>
      <c r="G1071" s="117">
        <f>IF(COUNTA(B1071:E1071)=0,"",IF(COUNTA(B1071:E1071)&lt;4,"⚠ กรอกไม่ครบ",IF(NOT(ISNUMBER(B1071)),"⚠ วันที่ไม่ถูกต้อง",IF(COUNTIFS(Setup!$L$6:$L$60,D1071,Setup!$M$6:$M$60,C1071)=0,"⚠ หมวดไม่ตรงประเภท","✓"))))</f>
        <v/>
      </c>
    </row>
    <row r="1072">
      <c r="B1072" s="113" t="n"/>
      <c r="C1072" s="114" t="n"/>
      <c r="D1072" s="115" t="n"/>
      <c r="E1072" s="116" t="n"/>
      <c r="F1072" s="115" t="n"/>
      <c r="G1072" s="117">
        <f>IF(COUNTA(B1072:E1072)=0,"",IF(COUNTA(B1072:E1072)&lt;4,"⚠ กรอกไม่ครบ",IF(NOT(ISNUMBER(B1072)),"⚠ วันที่ไม่ถูกต้อง",IF(COUNTIFS(Setup!$L$6:$L$60,D1072,Setup!$M$6:$M$60,C1072)=0,"⚠ หมวดไม่ตรงประเภท","✓"))))</f>
        <v/>
      </c>
    </row>
    <row r="1073">
      <c r="B1073" s="113" t="n"/>
      <c r="C1073" s="114" t="n"/>
      <c r="D1073" s="115" t="n"/>
      <c r="E1073" s="116" t="n"/>
      <c r="F1073" s="115" t="n"/>
      <c r="G1073" s="117">
        <f>IF(COUNTA(B1073:E1073)=0,"",IF(COUNTA(B1073:E1073)&lt;4,"⚠ กรอกไม่ครบ",IF(NOT(ISNUMBER(B1073)),"⚠ วันที่ไม่ถูกต้อง",IF(COUNTIFS(Setup!$L$6:$L$60,D1073,Setup!$M$6:$M$60,C1073)=0,"⚠ หมวดไม่ตรงประเภท","✓"))))</f>
        <v/>
      </c>
    </row>
    <row r="1074">
      <c r="B1074" s="113" t="n"/>
      <c r="C1074" s="114" t="n"/>
      <c r="D1074" s="115" t="n"/>
      <c r="E1074" s="116" t="n"/>
      <c r="F1074" s="115" t="n"/>
      <c r="G1074" s="117">
        <f>IF(COUNTA(B1074:E1074)=0,"",IF(COUNTA(B1074:E1074)&lt;4,"⚠ กรอกไม่ครบ",IF(NOT(ISNUMBER(B1074)),"⚠ วันที่ไม่ถูกต้อง",IF(COUNTIFS(Setup!$L$6:$L$60,D1074,Setup!$M$6:$M$60,C1074)=0,"⚠ หมวดไม่ตรงประเภท","✓"))))</f>
        <v/>
      </c>
    </row>
    <row r="1075">
      <c r="B1075" s="113" t="n"/>
      <c r="C1075" s="114" t="n"/>
      <c r="D1075" s="115" t="n"/>
      <c r="E1075" s="116" t="n"/>
      <c r="F1075" s="115" t="n"/>
      <c r="G1075" s="117">
        <f>IF(COUNTA(B1075:E1075)=0,"",IF(COUNTA(B1075:E1075)&lt;4,"⚠ กรอกไม่ครบ",IF(NOT(ISNUMBER(B1075)),"⚠ วันที่ไม่ถูกต้อง",IF(COUNTIFS(Setup!$L$6:$L$60,D1075,Setup!$M$6:$M$60,C1075)=0,"⚠ หมวดไม่ตรงประเภท","✓"))))</f>
        <v/>
      </c>
    </row>
    <row r="1076">
      <c r="B1076" s="113" t="n"/>
      <c r="C1076" s="114" t="n"/>
      <c r="D1076" s="115" t="n"/>
      <c r="E1076" s="116" t="n"/>
      <c r="F1076" s="115" t="n"/>
      <c r="G1076" s="117">
        <f>IF(COUNTA(B1076:E1076)=0,"",IF(COUNTA(B1076:E1076)&lt;4,"⚠ กรอกไม่ครบ",IF(NOT(ISNUMBER(B1076)),"⚠ วันที่ไม่ถูกต้อง",IF(COUNTIFS(Setup!$L$6:$L$60,D1076,Setup!$M$6:$M$60,C1076)=0,"⚠ หมวดไม่ตรงประเภท","✓"))))</f>
        <v/>
      </c>
    </row>
    <row r="1077">
      <c r="B1077" s="113" t="n"/>
      <c r="C1077" s="114" t="n"/>
      <c r="D1077" s="115" t="n"/>
      <c r="E1077" s="116" t="n"/>
      <c r="F1077" s="115" t="n"/>
      <c r="G1077" s="117">
        <f>IF(COUNTA(B1077:E1077)=0,"",IF(COUNTA(B1077:E1077)&lt;4,"⚠ กรอกไม่ครบ",IF(NOT(ISNUMBER(B1077)),"⚠ วันที่ไม่ถูกต้อง",IF(COUNTIFS(Setup!$L$6:$L$60,D1077,Setup!$M$6:$M$60,C1077)=0,"⚠ หมวดไม่ตรงประเภท","✓"))))</f>
        <v/>
      </c>
    </row>
    <row r="1078">
      <c r="B1078" s="113" t="n"/>
      <c r="C1078" s="114" t="n"/>
      <c r="D1078" s="115" t="n"/>
      <c r="E1078" s="116" t="n"/>
      <c r="F1078" s="115" t="n"/>
      <c r="G1078" s="117">
        <f>IF(COUNTA(B1078:E1078)=0,"",IF(COUNTA(B1078:E1078)&lt;4,"⚠ กรอกไม่ครบ",IF(NOT(ISNUMBER(B1078)),"⚠ วันที่ไม่ถูกต้อง",IF(COUNTIFS(Setup!$L$6:$L$60,D1078,Setup!$M$6:$M$60,C1078)=0,"⚠ หมวดไม่ตรงประเภท","✓"))))</f>
        <v/>
      </c>
    </row>
    <row r="1079">
      <c r="B1079" s="113" t="n"/>
      <c r="C1079" s="114" t="n"/>
      <c r="D1079" s="115" t="n"/>
      <c r="E1079" s="116" t="n"/>
      <c r="F1079" s="115" t="n"/>
      <c r="G1079" s="117">
        <f>IF(COUNTA(B1079:E1079)=0,"",IF(COUNTA(B1079:E1079)&lt;4,"⚠ กรอกไม่ครบ",IF(NOT(ISNUMBER(B1079)),"⚠ วันที่ไม่ถูกต้อง",IF(COUNTIFS(Setup!$L$6:$L$60,D1079,Setup!$M$6:$M$60,C1079)=0,"⚠ หมวดไม่ตรงประเภท","✓"))))</f>
        <v/>
      </c>
    </row>
    <row r="1080">
      <c r="B1080" s="113" t="n"/>
      <c r="C1080" s="114" t="n"/>
      <c r="D1080" s="115" t="n"/>
      <c r="E1080" s="116" t="n"/>
      <c r="F1080" s="115" t="n"/>
      <c r="G1080" s="117">
        <f>IF(COUNTA(B1080:E1080)=0,"",IF(COUNTA(B1080:E1080)&lt;4,"⚠ กรอกไม่ครบ",IF(NOT(ISNUMBER(B1080)),"⚠ วันที่ไม่ถูกต้อง",IF(COUNTIFS(Setup!$L$6:$L$60,D1080,Setup!$M$6:$M$60,C1080)=0,"⚠ หมวดไม่ตรงประเภท","✓"))))</f>
        <v/>
      </c>
    </row>
    <row r="1081">
      <c r="B1081" s="113" t="n"/>
      <c r="C1081" s="114" t="n"/>
      <c r="D1081" s="115" t="n"/>
      <c r="E1081" s="116" t="n"/>
      <c r="F1081" s="115" t="n"/>
      <c r="G1081" s="117">
        <f>IF(COUNTA(B1081:E1081)=0,"",IF(COUNTA(B1081:E1081)&lt;4,"⚠ กรอกไม่ครบ",IF(NOT(ISNUMBER(B1081)),"⚠ วันที่ไม่ถูกต้อง",IF(COUNTIFS(Setup!$L$6:$L$60,D1081,Setup!$M$6:$M$60,C1081)=0,"⚠ หมวดไม่ตรงประเภท","✓"))))</f>
        <v/>
      </c>
    </row>
    <row r="1082">
      <c r="B1082" s="113" t="n"/>
      <c r="C1082" s="114" t="n"/>
      <c r="D1082" s="115" t="n"/>
      <c r="E1082" s="116" t="n"/>
      <c r="F1082" s="115" t="n"/>
      <c r="G1082" s="117">
        <f>IF(COUNTA(B1082:E1082)=0,"",IF(COUNTA(B1082:E1082)&lt;4,"⚠ กรอกไม่ครบ",IF(NOT(ISNUMBER(B1082)),"⚠ วันที่ไม่ถูกต้อง",IF(COUNTIFS(Setup!$L$6:$L$60,D1082,Setup!$M$6:$M$60,C1082)=0,"⚠ หมวดไม่ตรงประเภท","✓"))))</f>
        <v/>
      </c>
    </row>
    <row r="1083">
      <c r="B1083" s="113" t="n"/>
      <c r="C1083" s="114" t="n"/>
      <c r="D1083" s="115" t="n"/>
      <c r="E1083" s="116" t="n"/>
      <c r="F1083" s="115" t="n"/>
      <c r="G1083" s="117">
        <f>IF(COUNTA(B1083:E1083)=0,"",IF(COUNTA(B1083:E1083)&lt;4,"⚠ กรอกไม่ครบ",IF(NOT(ISNUMBER(B1083)),"⚠ วันที่ไม่ถูกต้อง",IF(COUNTIFS(Setup!$L$6:$L$60,D1083,Setup!$M$6:$M$60,C1083)=0,"⚠ หมวดไม่ตรงประเภท","✓"))))</f>
        <v/>
      </c>
    </row>
    <row r="1084">
      <c r="B1084" s="113" t="n"/>
      <c r="C1084" s="114" t="n"/>
      <c r="D1084" s="115" t="n"/>
      <c r="E1084" s="116" t="n"/>
      <c r="F1084" s="115" t="n"/>
      <c r="G1084" s="117">
        <f>IF(COUNTA(B1084:E1084)=0,"",IF(COUNTA(B1084:E1084)&lt;4,"⚠ กรอกไม่ครบ",IF(NOT(ISNUMBER(B1084)),"⚠ วันที่ไม่ถูกต้อง",IF(COUNTIFS(Setup!$L$6:$L$60,D1084,Setup!$M$6:$M$60,C1084)=0,"⚠ หมวดไม่ตรงประเภท","✓"))))</f>
        <v/>
      </c>
    </row>
    <row r="1085">
      <c r="B1085" s="113" t="n"/>
      <c r="C1085" s="114" t="n"/>
      <c r="D1085" s="115" t="n"/>
      <c r="E1085" s="116" t="n"/>
      <c r="F1085" s="115" t="n"/>
      <c r="G1085" s="117">
        <f>IF(COUNTA(B1085:E1085)=0,"",IF(COUNTA(B1085:E1085)&lt;4,"⚠ กรอกไม่ครบ",IF(NOT(ISNUMBER(B1085)),"⚠ วันที่ไม่ถูกต้อง",IF(COUNTIFS(Setup!$L$6:$L$60,D1085,Setup!$M$6:$M$60,C1085)=0,"⚠ หมวดไม่ตรงประเภท","✓"))))</f>
        <v/>
      </c>
    </row>
    <row r="1086">
      <c r="B1086" s="113" t="n"/>
      <c r="C1086" s="114" t="n"/>
      <c r="D1086" s="115" t="n"/>
      <c r="E1086" s="116" t="n"/>
      <c r="F1086" s="115" t="n"/>
      <c r="G1086" s="117">
        <f>IF(COUNTA(B1086:E1086)=0,"",IF(COUNTA(B1086:E1086)&lt;4,"⚠ กรอกไม่ครบ",IF(NOT(ISNUMBER(B1086)),"⚠ วันที่ไม่ถูกต้อง",IF(COUNTIFS(Setup!$L$6:$L$60,D1086,Setup!$M$6:$M$60,C1086)=0,"⚠ หมวดไม่ตรงประเภท","✓"))))</f>
        <v/>
      </c>
    </row>
    <row r="1087">
      <c r="B1087" s="113" t="n"/>
      <c r="C1087" s="114" t="n"/>
      <c r="D1087" s="115" t="n"/>
      <c r="E1087" s="116" t="n"/>
      <c r="F1087" s="115" t="n"/>
      <c r="G1087" s="117">
        <f>IF(COUNTA(B1087:E1087)=0,"",IF(COUNTA(B1087:E1087)&lt;4,"⚠ กรอกไม่ครบ",IF(NOT(ISNUMBER(B1087)),"⚠ วันที่ไม่ถูกต้อง",IF(COUNTIFS(Setup!$L$6:$L$60,D1087,Setup!$M$6:$M$60,C1087)=0,"⚠ หมวดไม่ตรงประเภท","✓"))))</f>
        <v/>
      </c>
    </row>
    <row r="1088">
      <c r="B1088" s="113" t="n"/>
      <c r="C1088" s="114" t="n"/>
      <c r="D1088" s="115" t="n"/>
      <c r="E1088" s="116" t="n"/>
      <c r="F1088" s="115" t="n"/>
      <c r="G1088" s="117">
        <f>IF(COUNTA(B1088:E1088)=0,"",IF(COUNTA(B1088:E1088)&lt;4,"⚠ กรอกไม่ครบ",IF(NOT(ISNUMBER(B1088)),"⚠ วันที่ไม่ถูกต้อง",IF(COUNTIFS(Setup!$L$6:$L$60,D1088,Setup!$M$6:$M$60,C1088)=0,"⚠ หมวดไม่ตรงประเภท","✓"))))</f>
        <v/>
      </c>
    </row>
    <row r="1089">
      <c r="B1089" s="113" t="n"/>
      <c r="C1089" s="114" t="n"/>
      <c r="D1089" s="115" t="n"/>
      <c r="E1089" s="116" t="n"/>
      <c r="F1089" s="115" t="n"/>
      <c r="G1089" s="117">
        <f>IF(COUNTA(B1089:E1089)=0,"",IF(COUNTA(B1089:E1089)&lt;4,"⚠ กรอกไม่ครบ",IF(NOT(ISNUMBER(B1089)),"⚠ วันที่ไม่ถูกต้อง",IF(COUNTIFS(Setup!$L$6:$L$60,D1089,Setup!$M$6:$M$60,C1089)=0,"⚠ หมวดไม่ตรงประเภท","✓"))))</f>
        <v/>
      </c>
    </row>
    <row r="1090">
      <c r="B1090" s="113" t="n"/>
      <c r="C1090" s="114" t="n"/>
      <c r="D1090" s="115" t="n"/>
      <c r="E1090" s="116" t="n"/>
      <c r="F1090" s="115" t="n"/>
      <c r="G1090" s="117">
        <f>IF(COUNTA(B1090:E1090)=0,"",IF(COUNTA(B1090:E1090)&lt;4,"⚠ กรอกไม่ครบ",IF(NOT(ISNUMBER(B1090)),"⚠ วันที่ไม่ถูกต้อง",IF(COUNTIFS(Setup!$L$6:$L$60,D1090,Setup!$M$6:$M$60,C1090)=0,"⚠ หมวดไม่ตรงประเภท","✓"))))</f>
        <v/>
      </c>
    </row>
    <row r="1091">
      <c r="B1091" s="113" t="n"/>
      <c r="C1091" s="114" t="n"/>
      <c r="D1091" s="115" t="n"/>
      <c r="E1091" s="116" t="n"/>
      <c r="F1091" s="115" t="n"/>
      <c r="G1091" s="117">
        <f>IF(COUNTA(B1091:E1091)=0,"",IF(COUNTA(B1091:E1091)&lt;4,"⚠ กรอกไม่ครบ",IF(NOT(ISNUMBER(B1091)),"⚠ วันที่ไม่ถูกต้อง",IF(COUNTIFS(Setup!$L$6:$L$60,D1091,Setup!$M$6:$M$60,C1091)=0,"⚠ หมวดไม่ตรงประเภท","✓"))))</f>
        <v/>
      </c>
    </row>
    <row r="1092">
      <c r="B1092" s="113" t="n"/>
      <c r="C1092" s="114" t="n"/>
      <c r="D1092" s="115" t="n"/>
      <c r="E1092" s="116" t="n"/>
      <c r="F1092" s="115" t="n"/>
      <c r="G1092" s="117">
        <f>IF(COUNTA(B1092:E1092)=0,"",IF(COUNTA(B1092:E1092)&lt;4,"⚠ กรอกไม่ครบ",IF(NOT(ISNUMBER(B1092)),"⚠ วันที่ไม่ถูกต้อง",IF(COUNTIFS(Setup!$L$6:$L$60,D1092,Setup!$M$6:$M$60,C1092)=0,"⚠ หมวดไม่ตรงประเภท","✓"))))</f>
        <v/>
      </c>
    </row>
    <row r="1093">
      <c r="B1093" s="113" t="n"/>
      <c r="C1093" s="114" t="n"/>
      <c r="D1093" s="115" t="n"/>
      <c r="E1093" s="116" t="n"/>
      <c r="F1093" s="115" t="n"/>
      <c r="G1093" s="117">
        <f>IF(COUNTA(B1093:E1093)=0,"",IF(COUNTA(B1093:E1093)&lt;4,"⚠ กรอกไม่ครบ",IF(NOT(ISNUMBER(B1093)),"⚠ วันที่ไม่ถูกต้อง",IF(COUNTIFS(Setup!$L$6:$L$60,D1093,Setup!$M$6:$M$60,C1093)=0,"⚠ หมวดไม่ตรงประเภท","✓"))))</f>
        <v/>
      </c>
    </row>
    <row r="1094">
      <c r="B1094" s="113" t="n"/>
      <c r="C1094" s="114" t="n"/>
      <c r="D1094" s="115" t="n"/>
      <c r="E1094" s="116" t="n"/>
      <c r="F1094" s="115" t="n"/>
      <c r="G1094" s="117">
        <f>IF(COUNTA(B1094:E1094)=0,"",IF(COUNTA(B1094:E1094)&lt;4,"⚠ กรอกไม่ครบ",IF(NOT(ISNUMBER(B1094)),"⚠ วันที่ไม่ถูกต้อง",IF(COUNTIFS(Setup!$L$6:$L$60,D1094,Setup!$M$6:$M$60,C1094)=0,"⚠ หมวดไม่ตรงประเภท","✓"))))</f>
        <v/>
      </c>
    </row>
    <row r="1095">
      <c r="B1095" s="113" t="n"/>
      <c r="C1095" s="114" t="n"/>
      <c r="D1095" s="115" t="n"/>
      <c r="E1095" s="116" t="n"/>
      <c r="F1095" s="115" t="n"/>
      <c r="G1095" s="117">
        <f>IF(COUNTA(B1095:E1095)=0,"",IF(COUNTA(B1095:E1095)&lt;4,"⚠ กรอกไม่ครบ",IF(NOT(ISNUMBER(B1095)),"⚠ วันที่ไม่ถูกต้อง",IF(COUNTIFS(Setup!$L$6:$L$60,D1095,Setup!$M$6:$M$60,C1095)=0,"⚠ หมวดไม่ตรงประเภท","✓"))))</f>
        <v/>
      </c>
    </row>
    <row r="1096">
      <c r="B1096" s="113" t="n"/>
      <c r="C1096" s="114" t="n"/>
      <c r="D1096" s="115" t="n"/>
      <c r="E1096" s="116" t="n"/>
      <c r="F1096" s="115" t="n"/>
      <c r="G1096" s="117">
        <f>IF(COUNTA(B1096:E1096)=0,"",IF(COUNTA(B1096:E1096)&lt;4,"⚠ กรอกไม่ครบ",IF(NOT(ISNUMBER(B1096)),"⚠ วันที่ไม่ถูกต้อง",IF(COUNTIFS(Setup!$L$6:$L$60,D1096,Setup!$M$6:$M$60,C1096)=0,"⚠ หมวดไม่ตรงประเภท","✓"))))</f>
        <v/>
      </c>
    </row>
    <row r="1097">
      <c r="B1097" s="113" t="n"/>
      <c r="C1097" s="114" t="n"/>
      <c r="D1097" s="115" t="n"/>
      <c r="E1097" s="116" t="n"/>
      <c r="F1097" s="115" t="n"/>
      <c r="G1097" s="117">
        <f>IF(COUNTA(B1097:E1097)=0,"",IF(COUNTA(B1097:E1097)&lt;4,"⚠ กรอกไม่ครบ",IF(NOT(ISNUMBER(B1097)),"⚠ วันที่ไม่ถูกต้อง",IF(COUNTIFS(Setup!$L$6:$L$60,D1097,Setup!$M$6:$M$60,C1097)=0,"⚠ หมวดไม่ตรงประเภท","✓"))))</f>
        <v/>
      </c>
    </row>
    <row r="1098">
      <c r="B1098" s="113" t="n"/>
      <c r="C1098" s="114" t="n"/>
      <c r="D1098" s="115" t="n"/>
      <c r="E1098" s="116" t="n"/>
      <c r="F1098" s="115" t="n"/>
      <c r="G1098" s="117">
        <f>IF(COUNTA(B1098:E1098)=0,"",IF(COUNTA(B1098:E1098)&lt;4,"⚠ กรอกไม่ครบ",IF(NOT(ISNUMBER(B1098)),"⚠ วันที่ไม่ถูกต้อง",IF(COUNTIFS(Setup!$L$6:$L$60,D1098,Setup!$M$6:$M$60,C1098)=0,"⚠ หมวดไม่ตรงประเภท","✓"))))</f>
        <v/>
      </c>
    </row>
    <row r="1099">
      <c r="B1099" s="113" t="n"/>
      <c r="C1099" s="114" t="n"/>
      <c r="D1099" s="115" t="n"/>
      <c r="E1099" s="116" t="n"/>
      <c r="F1099" s="115" t="n"/>
      <c r="G1099" s="117">
        <f>IF(COUNTA(B1099:E1099)=0,"",IF(COUNTA(B1099:E1099)&lt;4,"⚠ กรอกไม่ครบ",IF(NOT(ISNUMBER(B1099)),"⚠ วันที่ไม่ถูกต้อง",IF(COUNTIFS(Setup!$L$6:$L$60,D1099,Setup!$M$6:$M$60,C1099)=0,"⚠ หมวดไม่ตรงประเภท","✓"))))</f>
        <v/>
      </c>
    </row>
    <row r="1100">
      <c r="B1100" s="113" t="n"/>
      <c r="C1100" s="114" t="n"/>
      <c r="D1100" s="115" t="n"/>
      <c r="E1100" s="116" t="n"/>
      <c r="F1100" s="115" t="n"/>
      <c r="G1100" s="117">
        <f>IF(COUNTA(B1100:E1100)=0,"",IF(COUNTA(B1100:E1100)&lt;4,"⚠ กรอกไม่ครบ",IF(NOT(ISNUMBER(B1100)),"⚠ วันที่ไม่ถูกต้อง",IF(COUNTIFS(Setup!$L$6:$L$60,D1100,Setup!$M$6:$M$60,C1100)=0,"⚠ หมวดไม่ตรงประเภท","✓"))))</f>
        <v/>
      </c>
    </row>
    <row r="1101">
      <c r="B1101" s="113" t="n"/>
      <c r="C1101" s="114" t="n"/>
      <c r="D1101" s="115" t="n"/>
      <c r="E1101" s="116" t="n"/>
      <c r="F1101" s="115" t="n"/>
      <c r="G1101" s="117">
        <f>IF(COUNTA(B1101:E1101)=0,"",IF(COUNTA(B1101:E1101)&lt;4,"⚠ กรอกไม่ครบ",IF(NOT(ISNUMBER(B1101)),"⚠ วันที่ไม่ถูกต้อง",IF(COUNTIFS(Setup!$L$6:$L$60,D1101,Setup!$M$6:$M$60,C1101)=0,"⚠ หมวดไม่ตรงประเภท","✓"))))</f>
        <v/>
      </c>
    </row>
    <row r="1102">
      <c r="B1102" s="113" t="n"/>
      <c r="C1102" s="114" t="n"/>
      <c r="D1102" s="115" t="n"/>
      <c r="E1102" s="116" t="n"/>
      <c r="F1102" s="115" t="n"/>
      <c r="G1102" s="117">
        <f>IF(COUNTA(B1102:E1102)=0,"",IF(COUNTA(B1102:E1102)&lt;4,"⚠ กรอกไม่ครบ",IF(NOT(ISNUMBER(B1102)),"⚠ วันที่ไม่ถูกต้อง",IF(COUNTIFS(Setup!$L$6:$L$60,D1102,Setup!$M$6:$M$60,C1102)=0,"⚠ หมวดไม่ตรงประเภท","✓"))))</f>
        <v/>
      </c>
    </row>
    <row r="1103">
      <c r="B1103" s="113" t="n"/>
      <c r="C1103" s="114" t="n"/>
      <c r="D1103" s="115" t="n"/>
      <c r="E1103" s="116" t="n"/>
      <c r="F1103" s="115" t="n"/>
      <c r="G1103" s="117">
        <f>IF(COUNTA(B1103:E1103)=0,"",IF(COUNTA(B1103:E1103)&lt;4,"⚠ กรอกไม่ครบ",IF(NOT(ISNUMBER(B1103)),"⚠ วันที่ไม่ถูกต้อง",IF(COUNTIFS(Setup!$L$6:$L$60,D1103,Setup!$M$6:$M$60,C1103)=0,"⚠ หมวดไม่ตรงประเภท","✓"))))</f>
        <v/>
      </c>
    </row>
    <row r="1104">
      <c r="B1104" s="113" t="n"/>
      <c r="C1104" s="114" t="n"/>
      <c r="D1104" s="115" t="n"/>
      <c r="E1104" s="116" t="n"/>
      <c r="F1104" s="115" t="n"/>
      <c r="G1104" s="117">
        <f>IF(COUNTA(B1104:E1104)=0,"",IF(COUNTA(B1104:E1104)&lt;4,"⚠ กรอกไม่ครบ",IF(NOT(ISNUMBER(B1104)),"⚠ วันที่ไม่ถูกต้อง",IF(COUNTIFS(Setup!$L$6:$L$60,D1104,Setup!$M$6:$M$60,C1104)=0,"⚠ หมวดไม่ตรงประเภท","✓"))))</f>
        <v/>
      </c>
    </row>
    <row r="1105">
      <c r="B1105" s="113" t="n"/>
      <c r="C1105" s="114" t="n"/>
      <c r="D1105" s="115" t="n"/>
      <c r="E1105" s="116" t="n"/>
      <c r="F1105" s="115" t="n"/>
      <c r="G1105" s="117">
        <f>IF(COUNTA(B1105:E1105)=0,"",IF(COUNTA(B1105:E1105)&lt;4,"⚠ กรอกไม่ครบ",IF(NOT(ISNUMBER(B1105)),"⚠ วันที่ไม่ถูกต้อง",IF(COUNTIFS(Setup!$L$6:$L$60,D1105,Setup!$M$6:$M$60,C1105)=0,"⚠ หมวดไม่ตรงประเภท","✓"))))</f>
        <v/>
      </c>
    </row>
    <row r="1106">
      <c r="B1106" s="113" t="n"/>
      <c r="C1106" s="114" t="n"/>
      <c r="D1106" s="115" t="n"/>
      <c r="E1106" s="116" t="n"/>
      <c r="F1106" s="115" t="n"/>
      <c r="G1106" s="117">
        <f>IF(COUNTA(B1106:E1106)=0,"",IF(COUNTA(B1106:E1106)&lt;4,"⚠ กรอกไม่ครบ",IF(NOT(ISNUMBER(B1106)),"⚠ วันที่ไม่ถูกต้อง",IF(COUNTIFS(Setup!$L$6:$L$60,D1106,Setup!$M$6:$M$60,C1106)=0,"⚠ หมวดไม่ตรงประเภท","✓"))))</f>
        <v/>
      </c>
    </row>
    <row r="1107">
      <c r="B1107" s="113" t="n"/>
      <c r="C1107" s="114" t="n"/>
      <c r="D1107" s="115" t="n"/>
      <c r="E1107" s="116" t="n"/>
      <c r="F1107" s="115" t="n"/>
      <c r="G1107" s="117">
        <f>IF(COUNTA(B1107:E1107)=0,"",IF(COUNTA(B1107:E1107)&lt;4,"⚠ กรอกไม่ครบ",IF(NOT(ISNUMBER(B1107)),"⚠ วันที่ไม่ถูกต้อง",IF(COUNTIFS(Setup!$L$6:$L$60,D1107,Setup!$M$6:$M$60,C1107)=0,"⚠ หมวดไม่ตรงประเภท","✓"))))</f>
        <v/>
      </c>
    </row>
    <row r="1108">
      <c r="B1108" s="113" t="n"/>
      <c r="C1108" s="114" t="n"/>
      <c r="D1108" s="115" t="n"/>
      <c r="E1108" s="116" t="n"/>
      <c r="F1108" s="115" t="n"/>
      <c r="G1108" s="117">
        <f>IF(COUNTA(B1108:E1108)=0,"",IF(COUNTA(B1108:E1108)&lt;4,"⚠ กรอกไม่ครบ",IF(NOT(ISNUMBER(B1108)),"⚠ วันที่ไม่ถูกต้อง",IF(COUNTIFS(Setup!$L$6:$L$60,D1108,Setup!$M$6:$M$60,C1108)=0,"⚠ หมวดไม่ตรงประเภท","✓"))))</f>
        <v/>
      </c>
    </row>
    <row r="1109">
      <c r="B1109" s="113" t="n"/>
      <c r="C1109" s="114" t="n"/>
      <c r="D1109" s="115" t="n"/>
      <c r="E1109" s="116" t="n"/>
      <c r="F1109" s="115" t="n"/>
      <c r="G1109" s="117">
        <f>IF(COUNTA(B1109:E1109)=0,"",IF(COUNTA(B1109:E1109)&lt;4,"⚠ กรอกไม่ครบ",IF(NOT(ISNUMBER(B1109)),"⚠ วันที่ไม่ถูกต้อง",IF(COUNTIFS(Setup!$L$6:$L$60,D1109,Setup!$M$6:$M$60,C1109)=0,"⚠ หมวดไม่ตรงประเภท","✓"))))</f>
        <v/>
      </c>
    </row>
    <row r="1110">
      <c r="B1110" s="113" t="n"/>
      <c r="C1110" s="114" t="n"/>
      <c r="D1110" s="115" t="n"/>
      <c r="E1110" s="116" t="n"/>
      <c r="F1110" s="115" t="n"/>
      <c r="G1110" s="117">
        <f>IF(COUNTA(B1110:E1110)=0,"",IF(COUNTA(B1110:E1110)&lt;4,"⚠ กรอกไม่ครบ",IF(NOT(ISNUMBER(B1110)),"⚠ วันที่ไม่ถูกต้อง",IF(COUNTIFS(Setup!$L$6:$L$60,D1110,Setup!$M$6:$M$60,C1110)=0,"⚠ หมวดไม่ตรงประเภท","✓"))))</f>
        <v/>
      </c>
    </row>
    <row r="1111">
      <c r="B1111" s="113" t="n"/>
      <c r="C1111" s="114" t="n"/>
      <c r="D1111" s="115" t="n"/>
      <c r="E1111" s="116" t="n"/>
      <c r="F1111" s="115" t="n"/>
      <c r="G1111" s="117">
        <f>IF(COUNTA(B1111:E1111)=0,"",IF(COUNTA(B1111:E1111)&lt;4,"⚠ กรอกไม่ครบ",IF(NOT(ISNUMBER(B1111)),"⚠ วันที่ไม่ถูกต้อง",IF(COUNTIFS(Setup!$L$6:$L$60,D1111,Setup!$M$6:$M$60,C1111)=0,"⚠ หมวดไม่ตรงประเภท","✓"))))</f>
        <v/>
      </c>
    </row>
    <row r="1112">
      <c r="B1112" s="113" t="n"/>
      <c r="C1112" s="114" t="n"/>
      <c r="D1112" s="115" t="n"/>
      <c r="E1112" s="116" t="n"/>
      <c r="F1112" s="115" t="n"/>
      <c r="G1112" s="117">
        <f>IF(COUNTA(B1112:E1112)=0,"",IF(COUNTA(B1112:E1112)&lt;4,"⚠ กรอกไม่ครบ",IF(NOT(ISNUMBER(B1112)),"⚠ วันที่ไม่ถูกต้อง",IF(COUNTIFS(Setup!$L$6:$L$60,D1112,Setup!$M$6:$M$60,C1112)=0,"⚠ หมวดไม่ตรงประเภท","✓"))))</f>
        <v/>
      </c>
    </row>
    <row r="1113">
      <c r="B1113" s="113" t="n"/>
      <c r="C1113" s="114" t="n"/>
      <c r="D1113" s="115" t="n"/>
      <c r="E1113" s="116" t="n"/>
      <c r="F1113" s="115" t="n"/>
      <c r="G1113" s="117">
        <f>IF(COUNTA(B1113:E1113)=0,"",IF(COUNTA(B1113:E1113)&lt;4,"⚠ กรอกไม่ครบ",IF(NOT(ISNUMBER(B1113)),"⚠ วันที่ไม่ถูกต้อง",IF(COUNTIFS(Setup!$L$6:$L$60,D1113,Setup!$M$6:$M$60,C1113)=0,"⚠ หมวดไม่ตรงประเภท","✓"))))</f>
        <v/>
      </c>
    </row>
    <row r="1114">
      <c r="B1114" s="113" t="n"/>
      <c r="C1114" s="114" t="n"/>
      <c r="D1114" s="115" t="n"/>
      <c r="E1114" s="116" t="n"/>
      <c r="F1114" s="115" t="n"/>
      <c r="G1114" s="117">
        <f>IF(COUNTA(B1114:E1114)=0,"",IF(COUNTA(B1114:E1114)&lt;4,"⚠ กรอกไม่ครบ",IF(NOT(ISNUMBER(B1114)),"⚠ วันที่ไม่ถูกต้อง",IF(COUNTIFS(Setup!$L$6:$L$60,D1114,Setup!$M$6:$M$60,C1114)=0,"⚠ หมวดไม่ตรงประเภท","✓"))))</f>
        <v/>
      </c>
    </row>
    <row r="1115">
      <c r="B1115" s="113" t="n"/>
      <c r="C1115" s="114" t="n"/>
      <c r="D1115" s="115" t="n"/>
      <c r="E1115" s="116" t="n"/>
      <c r="F1115" s="115" t="n"/>
      <c r="G1115" s="117">
        <f>IF(COUNTA(B1115:E1115)=0,"",IF(COUNTA(B1115:E1115)&lt;4,"⚠ กรอกไม่ครบ",IF(NOT(ISNUMBER(B1115)),"⚠ วันที่ไม่ถูกต้อง",IF(COUNTIFS(Setup!$L$6:$L$60,D1115,Setup!$M$6:$M$60,C1115)=0,"⚠ หมวดไม่ตรงประเภท","✓"))))</f>
        <v/>
      </c>
    </row>
    <row r="1116">
      <c r="B1116" s="113" t="n"/>
      <c r="C1116" s="114" t="n"/>
      <c r="D1116" s="115" t="n"/>
      <c r="E1116" s="116" t="n"/>
      <c r="F1116" s="115" t="n"/>
      <c r="G1116" s="117">
        <f>IF(COUNTA(B1116:E1116)=0,"",IF(COUNTA(B1116:E1116)&lt;4,"⚠ กรอกไม่ครบ",IF(NOT(ISNUMBER(B1116)),"⚠ วันที่ไม่ถูกต้อง",IF(COUNTIFS(Setup!$L$6:$L$60,D1116,Setup!$M$6:$M$60,C1116)=0,"⚠ หมวดไม่ตรงประเภท","✓"))))</f>
        <v/>
      </c>
    </row>
    <row r="1117">
      <c r="B1117" s="113" t="n"/>
      <c r="C1117" s="114" t="n"/>
      <c r="D1117" s="115" t="n"/>
      <c r="E1117" s="116" t="n"/>
      <c r="F1117" s="115" t="n"/>
      <c r="G1117" s="117">
        <f>IF(COUNTA(B1117:E1117)=0,"",IF(COUNTA(B1117:E1117)&lt;4,"⚠ กรอกไม่ครบ",IF(NOT(ISNUMBER(B1117)),"⚠ วันที่ไม่ถูกต้อง",IF(COUNTIFS(Setup!$L$6:$L$60,D1117,Setup!$M$6:$M$60,C1117)=0,"⚠ หมวดไม่ตรงประเภท","✓"))))</f>
        <v/>
      </c>
    </row>
    <row r="1118">
      <c r="B1118" s="113" t="n"/>
      <c r="C1118" s="114" t="n"/>
      <c r="D1118" s="115" t="n"/>
      <c r="E1118" s="116" t="n"/>
      <c r="F1118" s="115" t="n"/>
      <c r="G1118" s="117">
        <f>IF(COUNTA(B1118:E1118)=0,"",IF(COUNTA(B1118:E1118)&lt;4,"⚠ กรอกไม่ครบ",IF(NOT(ISNUMBER(B1118)),"⚠ วันที่ไม่ถูกต้อง",IF(COUNTIFS(Setup!$L$6:$L$60,D1118,Setup!$M$6:$M$60,C1118)=0,"⚠ หมวดไม่ตรงประเภท","✓"))))</f>
        <v/>
      </c>
    </row>
    <row r="1119">
      <c r="B1119" s="113" t="n"/>
      <c r="C1119" s="114" t="n"/>
      <c r="D1119" s="115" t="n"/>
      <c r="E1119" s="116" t="n"/>
      <c r="F1119" s="115" t="n"/>
      <c r="G1119" s="117">
        <f>IF(COUNTA(B1119:E1119)=0,"",IF(COUNTA(B1119:E1119)&lt;4,"⚠ กรอกไม่ครบ",IF(NOT(ISNUMBER(B1119)),"⚠ วันที่ไม่ถูกต้อง",IF(COUNTIFS(Setup!$L$6:$L$60,D1119,Setup!$M$6:$M$60,C1119)=0,"⚠ หมวดไม่ตรงประเภท","✓"))))</f>
        <v/>
      </c>
    </row>
    <row r="1120">
      <c r="B1120" s="113" t="n"/>
      <c r="C1120" s="114" t="n"/>
      <c r="D1120" s="115" t="n"/>
      <c r="E1120" s="116" t="n"/>
      <c r="F1120" s="115" t="n"/>
      <c r="G1120" s="117">
        <f>IF(COUNTA(B1120:E1120)=0,"",IF(COUNTA(B1120:E1120)&lt;4,"⚠ กรอกไม่ครบ",IF(NOT(ISNUMBER(B1120)),"⚠ วันที่ไม่ถูกต้อง",IF(COUNTIFS(Setup!$L$6:$L$60,D1120,Setup!$M$6:$M$60,C1120)=0,"⚠ หมวดไม่ตรงประเภท","✓"))))</f>
        <v/>
      </c>
    </row>
    <row r="1121">
      <c r="B1121" s="113" t="n"/>
      <c r="C1121" s="114" t="n"/>
      <c r="D1121" s="115" t="n"/>
      <c r="E1121" s="116" t="n"/>
      <c r="F1121" s="115" t="n"/>
      <c r="G1121" s="117">
        <f>IF(COUNTA(B1121:E1121)=0,"",IF(COUNTA(B1121:E1121)&lt;4,"⚠ กรอกไม่ครบ",IF(NOT(ISNUMBER(B1121)),"⚠ วันที่ไม่ถูกต้อง",IF(COUNTIFS(Setup!$L$6:$L$60,D1121,Setup!$M$6:$M$60,C1121)=0,"⚠ หมวดไม่ตรงประเภท","✓"))))</f>
        <v/>
      </c>
    </row>
    <row r="1122">
      <c r="B1122" s="113" t="n"/>
      <c r="C1122" s="114" t="n"/>
      <c r="D1122" s="115" t="n"/>
      <c r="E1122" s="116" t="n"/>
      <c r="F1122" s="115" t="n"/>
      <c r="G1122" s="117">
        <f>IF(COUNTA(B1122:E1122)=0,"",IF(COUNTA(B1122:E1122)&lt;4,"⚠ กรอกไม่ครบ",IF(NOT(ISNUMBER(B1122)),"⚠ วันที่ไม่ถูกต้อง",IF(COUNTIFS(Setup!$L$6:$L$60,D1122,Setup!$M$6:$M$60,C1122)=0,"⚠ หมวดไม่ตรงประเภท","✓"))))</f>
        <v/>
      </c>
    </row>
    <row r="1123">
      <c r="B1123" s="113" t="n"/>
      <c r="C1123" s="114" t="n"/>
      <c r="D1123" s="115" t="n"/>
      <c r="E1123" s="116" t="n"/>
      <c r="F1123" s="115" t="n"/>
      <c r="G1123" s="117">
        <f>IF(COUNTA(B1123:E1123)=0,"",IF(COUNTA(B1123:E1123)&lt;4,"⚠ กรอกไม่ครบ",IF(NOT(ISNUMBER(B1123)),"⚠ วันที่ไม่ถูกต้อง",IF(COUNTIFS(Setup!$L$6:$L$60,D1123,Setup!$M$6:$M$60,C1123)=0,"⚠ หมวดไม่ตรงประเภท","✓"))))</f>
        <v/>
      </c>
    </row>
    <row r="1124">
      <c r="B1124" s="113" t="n"/>
      <c r="C1124" s="114" t="n"/>
      <c r="D1124" s="115" t="n"/>
      <c r="E1124" s="116" t="n"/>
      <c r="F1124" s="115" t="n"/>
      <c r="G1124" s="117">
        <f>IF(COUNTA(B1124:E1124)=0,"",IF(COUNTA(B1124:E1124)&lt;4,"⚠ กรอกไม่ครบ",IF(NOT(ISNUMBER(B1124)),"⚠ วันที่ไม่ถูกต้อง",IF(COUNTIFS(Setup!$L$6:$L$60,D1124,Setup!$M$6:$M$60,C1124)=0,"⚠ หมวดไม่ตรงประเภท","✓"))))</f>
        <v/>
      </c>
    </row>
    <row r="1125">
      <c r="B1125" s="113" t="n"/>
      <c r="C1125" s="114" t="n"/>
      <c r="D1125" s="115" t="n"/>
      <c r="E1125" s="116" t="n"/>
      <c r="F1125" s="115" t="n"/>
      <c r="G1125" s="117">
        <f>IF(COUNTA(B1125:E1125)=0,"",IF(COUNTA(B1125:E1125)&lt;4,"⚠ กรอกไม่ครบ",IF(NOT(ISNUMBER(B1125)),"⚠ วันที่ไม่ถูกต้อง",IF(COUNTIFS(Setup!$L$6:$L$60,D1125,Setup!$M$6:$M$60,C1125)=0,"⚠ หมวดไม่ตรงประเภท","✓"))))</f>
        <v/>
      </c>
    </row>
    <row r="1126">
      <c r="B1126" s="113" t="n"/>
      <c r="C1126" s="114" t="n"/>
      <c r="D1126" s="115" t="n"/>
      <c r="E1126" s="116" t="n"/>
      <c r="F1126" s="115" t="n"/>
      <c r="G1126" s="117">
        <f>IF(COUNTA(B1126:E1126)=0,"",IF(COUNTA(B1126:E1126)&lt;4,"⚠ กรอกไม่ครบ",IF(NOT(ISNUMBER(B1126)),"⚠ วันที่ไม่ถูกต้อง",IF(COUNTIFS(Setup!$L$6:$L$60,D1126,Setup!$M$6:$M$60,C1126)=0,"⚠ หมวดไม่ตรงประเภท","✓"))))</f>
        <v/>
      </c>
    </row>
    <row r="1127">
      <c r="B1127" s="113" t="n"/>
      <c r="C1127" s="114" t="n"/>
      <c r="D1127" s="115" t="n"/>
      <c r="E1127" s="116" t="n"/>
      <c r="F1127" s="115" t="n"/>
      <c r="G1127" s="117">
        <f>IF(COUNTA(B1127:E1127)=0,"",IF(COUNTA(B1127:E1127)&lt;4,"⚠ กรอกไม่ครบ",IF(NOT(ISNUMBER(B1127)),"⚠ วันที่ไม่ถูกต้อง",IF(COUNTIFS(Setup!$L$6:$L$60,D1127,Setup!$M$6:$M$60,C1127)=0,"⚠ หมวดไม่ตรงประเภท","✓"))))</f>
        <v/>
      </c>
    </row>
    <row r="1128">
      <c r="B1128" s="113" t="n"/>
      <c r="C1128" s="114" t="n"/>
      <c r="D1128" s="115" t="n"/>
      <c r="E1128" s="116" t="n"/>
      <c r="F1128" s="115" t="n"/>
      <c r="G1128" s="117">
        <f>IF(COUNTA(B1128:E1128)=0,"",IF(COUNTA(B1128:E1128)&lt;4,"⚠ กรอกไม่ครบ",IF(NOT(ISNUMBER(B1128)),"⚠ วันที่ไม่ถูกต้อง",IF(COUNTIFS(Setup!$L$6:$L$60,D1128,Setup!$M$6:$M$60,C1128)=0,"⚠ หมวดไม่ตรงประเภท","✓"))))</f>
        <v/>
      </c>
    </row>
    <row r="1129">
      <c r="B1129" s="113" t="n"/>
      <c r="C1129" s="114" t="n"/>
      <c r="D1129" s="115" t="n"/>
      <c r="E1129" s="116" t="n"/>
      <c r="F1129" s="115" t="n"/>
      <c r="G1129" s="117">
        <f>IF(COUNTA(B1129:E1129)=0,"",IF(COUNTA(B1129:E1129)&lt;4,"⚠ กรอกไม่ครบ",IF(NOT(ISNUMBER(B1129)),"⚠ วันที่ไม่ถูกต้อง",IF(COUNTIFS(Setup!$L$6:$L$60,D1129,Setup!$M$6:$M$60,C1129)=0,"⚠ หมวดไม่ตรงประเภท","✓"))))</f>
        <v/>
      </c>
    </row>
    <row r="1130">
      <c r="B1130" s="113" t="n"/>
      <c r="C1130" s="114" t="n"/>
      <c r="D1130" s="115" t="n"/>
      <c r="E1130" s="116" t="n"/>
      <c r="F1130" s="115" t="n"/>
      <c r="G1130" s="117">
        <f>IF(COUNTA(B1130:E1130)=0,"",IF(COUNTA(B1130:E1130)&lt;4,"⚠ กรอกไม่ครบ",IF(NOT(ISNUMBER(B1130)),"⚠ วันที่ไม่ถูกต้อง",IF(COUNTIFS(Setup!$L$6:$L$60,D1130,Setup!$M$6:$M$60,C1130)=0,"⚠ หมวดไม่ตรงประเภท","✓"))))</f>
        <v/>
      </c>
    </row>
    <row r="1131">
      <c r="B1131" s="113" t="n"/>
      <c r="C1131" s="114" t="n"/>
      <c r="D1131" s="115" t="n"/>
      <c r="E1131" s="116" t="n"/>
      <c r="F1131" s="115" t="n"/>
      <c r="G1131" s="117">
        <f>IF(COUNTA(B1131:E1131)=0,"",IF(COUNTA(B1131:E1131)&lt;4,"⚠ กรอกไม่ครบ",IF(NOT(ISNUMBER(B1131)),"⚠ วันที่ไม่ถูกต้อง",IF(COUNTIFS(Setup!$L$6:$L$60,D1131,Setup!$M$6:$M$60,C1131)=0,"⚠ หมวดไม่ตรงประเภท","✓"))))</f>
        <v/>
      </c>
    </row>
    <row r="1132">
      <c r="B1132" s="113" t="n"/>
      <c r="C1132" s="114" t="n"/>
      <c r="D1132" s="115" t="n"/>
      <c r="E1132" s="116" t="n"/>
      <c r="F1132" s="115" t="n"/>
      <c r="G1132" s="117">
        <f>IF(COUNTA(B1132:E1132)=0,"",IF(COUNTA(B1132:E1132)&lt;4,"⚠ กรอกไม่ครบ",IF(NOT(ISNUMBER(B1132)),"⚠ วันที่ไม่ถูกต้อง",IF(COUNTIFS(Setup!$L$6:$L$60,D1132,Setup!$M$6:$M$60,C1132)=0,"⚠ หมวดไม่ตรงประเภท","✓"))))</f>
        <v/>
      </c>
    </row>
    <row r="1133">
      <c r="B1133" s="113" t="n"/>
      <c r="C1133" s="114" t="n"/>
      <c r="D1133" s="115" t="n"/>
      <c r="E1133" s="116" t="n"/>
      <c r="F1133" s="115" t="n"/>
      <c r="G1133" s="117">
        <f>IF(COUNTA(B1133:E1133)=0,"",IF(COUNTA(B1133:E1133)&lt;4,"⚠ กรอกไม่ครบ",IF(NOT(ISNUMBER(B1133)),"⚠ วันที่ไม่ถูกต้อง",IF(COUNTIFS(Setup!$L$6:$L$60,D1133,Setup!$M$6:$M$60,C1133)=0,"⚠ หมวดไม่ตรงประเภท","✓"))))</f>
        <v/>
      </c>
    </row>
    <row r="1134">
      <c r="B1134" s="113" t="n"/>
      <c r="C1134" s="114" t="n"/>
      <c r="D1134" s="115" t="n"/>
      <c r="E1134" s="116" t="n"/>
      <c r="F1134" s="115" t="n"/>
      <c r="G1134" s="117">
        <f>IF(COUNTA(B1134:E1134)=0,"",IF(COUNTA(B1134:E1134)&lt;4,"⚠ กรอกไม่ครบ",IF(NOT(ISNUMBER(B1134)),"⚠ วันที่ไม่ถูกต้อง",IF(COUNTIFS(Setup!$L$6:$L$60,D1134,Setup!$M$6:$M$60,C1134)=0,"⚠ หมวดไม่ตรงประเภท","✓"))))</f>
        <v/>
      </c>
    </row>
    <row r="1135">
      <c r="B1135" s="113" t="n"/>
      <c r="C1135" s="114" t="n"/>
      <c r="D1135" s="115" t="n"/>
      <c r="E1135" s="116" t="n"/>
      <c r="F1135" s="115" t="n"/>
      <c r="G1135" s="117">
        <f>IF(COUNTA(B1135:E1135)=0,"",IF(COUNTA(B1135:E1135)&lt;4,"⚠ กรอกไม่ครบ",IF(NOT(ISNUMBER(B1135)),"⚠ วันที่ไม่ถูกต้อง",IF(COUNTIFS(Setup!$L$6:$L$60,D1135,Setup!$M$6:$M$60,C1135)=0,"⚠ หมวดไม่ตรงประเภท","✓"))))</f>
        <v/>
      </c>
    </row>
    <row r="1136">
      <c r="B1136" s="113" t="n"/>
      <c r="C1136" s="114" t="n"/>
      <c r="D1136" s="115" t="n"/>
      <c r="E1136" s="116" t="n"/>
      <c r="F1136" s="115" t="n"/>
      <c r="G1136" s="117">
        <f>IF(COUNTA(B1136:E1136)=0,"",IF(COUNTA(B1136:E1136)&lt;4,"⚠ กรอกไม่ครบ",IF(NOT(ISNUMBER(B1136)),"⚠ วันที่ไม่ถูกต้อง",IF(COUNTIFS(Setup!$L$6:$L$60,D1136,Setup!$M$6:$M$60,C1136)=0,"⚠ หมวดไม่ตรงประเภท","✓"))))</f>
        <v/>
      </c>
    </row>
    <row r="1137">
      <c r="B1137" s="113" t="n"/>
      <c r="C1137" s="114" t="n"/>
      <c r="D1137" s="115" t="n"/>
      <c r="E1137" s="116" t="n"/>
      <c r="F1137" s="115" t="n"/>
      <c r="G1137" s="117">
        <f>IF(COUNTA(B1137:E1137)=0,"",IF(COUNTA(B1137:E1137)&lt;4,"⚠ กรอกไม่ครบ",IF(NOT(ISNUMBER(B1137)),"⚠ วันที่ไม่ถูกต้อง",IF(COUNTIFS(Setup!$L$6:$L$60,D1137,Setup!$M$6:$M$60,C1137)=0,"⚠ หมวดไม่ตรงประเภท","✓"))))</f>
        <v/>
      </c>
    </row>
    <row r="1138">
      <c r="B1138" s="113" t="n"/>
      <c r="C1138" s="114" t="n"/>
      <c r="D1138" s="115" t="n"/>
      <c r="E1138" s="116" t="n"/>
      <c r="F1138" s="115" t="n"/>
      <c r="G1138" s="117">
        <f>IF(COUNTA(B1138:E1138)=0,"",IF(COUNTA(B1138:E1138)&lt;4,"⚠ กรอกไม่ครบ",IF(NOT(ISNUMBER(B1138)),"⚠ วันที่ไม่ถูกต้อง",IF(COUNTIFS(Setup!$L$6:$L$60,D1138,Setup!$M$6:$M$60,C1138)=0,"⚠ หมวดไม่ตรงประเภท","✓"))))</f>
        <v/>
      </c>
    </row>
    <row r="1139">
      <c r="B1139" s="113" t="n"/>
      <c r="C1139" s="114" t="n"/>
      <c r="D1139" s="115" t="n"/>
      <c r="E1139" s="116" t="n"/>
      <c r="F1139" s="115" t="n"/>
      <c r="G1139" s="117">
        <f>IF(COUNTA(B1139:E1139)=0,"",IF(COUNTA(B1139:E1139)&lt;4,"⚠ กรอกไม่ครบ",IF(NOT(ISNUMBER(B1139)),"⚠ วันที่ไม่ถูกต้อง",IF(COUNTIFS(Setup!$L$6:$L$60,D1139,Setup!$M$6:$M$60,C1139)=0,"⚠ หมวดไม่ตรงประเภท","✓"))))</f>
        <v/>
      </c>
    </row>
    <row r="1140">
      <c r="B1140" s="113" t="n"/>
      <c r="C1140" s="114" t="n"/>
      <c r="D1140" s="115" t="n"/>
      <c r="E1140" s="116" t="n"/>
      <c r="F1140" s="115" t="n"/>
      <c r="G1140" s="117">
        <f>IF(COUNTA(B1140:E1140)=0,"",IF(COUNTA(B1140:E1140)&lt;4,"⚠ กรอกไม่ครบ",IF(NOT(ISNUMBER(B1140)),"⚠ วันที่ไม่ถูกต้อง",IF(COUNTIFS(Setup!$L$6:$L$60,D1140,Setup!$M$6:$M$60,C1140)=0,"⚠ หมวดไม่ตรงประเภท","✓"))))</f>
        <v/>
      </c>
    </row>
    <row r="1141">
      <c r="B1141" s="113" t="n"/>
      <c r="C1141" s="114" t="n"/>
      <c r="D1141" s="115" t="n"/>
      <c r="E1141" s="116" t="n"/>
      <c r="F1141" s="115" t="n"/>
      <c r="G1141" s="117">
        <f>IF(COUNTA(B1141:E1141)=0,"",IF(COUNTA(B1141:E1141)&lt;4,"⚠ กรอกไม่ครบ",IF(NOT(ISNUMBER(B1141)),"⚠ วันที่ไม่ถูกต้อง",IF(COUNTIFS(Setup!$L$6:$L$60,D1141,Setup!$M$6:$M$60,C1141)=0,"⚠ หมวดไม่ตรงประเภท","✓"))))</f>
        <v/>
      </c>
    </row>
    <row r="1142">
      <c r="B1142" s="113" t="n"/>
      <c r="C1142" s="114" t="n"/>
      <c r="D1142" s="115" t="n"/>
      <c r="E1142" s="116" t="n"/>
      <c r="F1142" s="115" t="n"/>
      <c r="G1142" s="117">
        <f>IF(COUNTA(B1142:E1142)=0,"",IF(COUNTA(B1142:E1142)&lt;4,"⚠ กรอกไม่ครบ",IF(NOT(ISNUMBER(B1142)),"⚠ วันที่ไม่ถูกต้อง",IF(COUNTIFS(Setup!$L$6:$L$60,D1142,Setup!$M$6:$M$60,C1142)=0,"⚠ หมวดไม่ตรงประเภท","✓"))))</f>
        <v/>
      </c>
    </row>
    <row r="1143">
      <c r="B1143" s="113" t="n"/>
      <c r="C1143" s="114" t="n"/>
      <c r="D1143" s="115" t="n"/>
      <c r="E1143" s="116" t="n"/>
      <c r="F1143" s="115" t="n"/>
      <c r="G1143" s="117">
        <f>IF(COUNTA(B1143:E1143)=0,"",IF(COUNTA(B1143:E1143)&lt;4,"⚠ กรอกไม่ครบ",IF(NOT(ISNUMBER(B1143)),"⚠ วันที่ไม่ถูกต้อง",IF(COUNTIFS(Setup!$L$6:$L$60,D1143,Setup!$M$6:$M$60,C1143)=0,"⚠ หมวดไม่ตรงประเภท","✓"))))</f>
        <v/>
      </c>
    </row>
    <row r="1144">
      <c r="B1144" s="113" t="n"/>
      <c r="C1144" s="114" t="n"/>
      <c r="D1144" s="115" t="n"/>
      <c r="E1144" s="116" t="n"/>
      <c r="F1144" s="115" t="n"/>
      <c r="G1144" s="117">
        <f>IF(COUNTA(B1144:E1144)=0,"",IF(COUNTA(B1144:E1144)&lt;4,"⚠ กรอกไม่ครบ",IF(NOT(ISNUMBER(B1144)),"⚠ วันที่ไม่ถูกต้อง",IF(COUNTIFS(Setup!$L$6:$L$60,D1144,Setup!$M$6:$M$60,C1144)=0,"⚠ หมวดไม่ตรงประเภท","✓"))))</f>
        <v/>
      </c>
    </row>
    <row r="1145">
      <c r="B1145" s="113" t="n"/>
      <c r="C1145" s="114" t="n"/>
      <c r="D1145" s="115" t="n"/>
      <c r="E1145" s="116" t="n"/>
      <c r="F1145" s="115" t="n"/>
      <c r="G1145" s="117">
        <f>IF(COUNTA(B1145:E1145)=0,"",IF(COUNTA(B1145:E1145)&lt;4,"⚠ กรอกไม่ครบ",IF(NOT(ISNUMBER(B1145)),"⚠ วันที่ไม่ถูกต้อง",IF(COUNTIFS(Setup!$L$6:$L$60,D1145,Setup!$M$6:$M$60,C1145)=0,"⚠ หมวดไม่ตรงประเภท","✓"))))</f>
        <v/>
      </c>
    </row>
    <row r="1146">
      <c r="B1146" s="113" t="n"/>
      <c r="C1146" s="114" t="n"/>
      <c r="D1146" s="115" t="n"/>
      <c r="E1146" s="116" t="n"/>
      <c r="F1146" s="115" t="n"/>
      <c r="G1146" s="117">
        <f>IF(COUNTA(B1146:E1146)=0,"",IF(COUNTA(B1146:E1146)&lt;4,"⚠ กรอกไม่ครบ",IF(NOT(ISNUMBER(B1146)),"⚠ วันที่ไม่ถูกต้อง",IF(COUNTIFS(Setup!$L$6:$L$60,D1146,Setup!$M$6:$M$60,C1146)=0,"⚠ หมวดไม่ตรงประเภท","✓"))))</f>
        <v/>
      </c>
    </row>
    <row r="1147">
      <c r="B1147" s="113" t="n"/>
      <c r="C1147" s="114" t="n"/>
      <c r="D1147" s="115" t="n"/>
      <c r="E1147" s="116" t="n"/>
      <c r="F1147" s="115" t="n"/>
      <c r="G1147" s="117">
        <f>IF(COUNTA(B1147:E1147)=0,"",IF(COUNTA(B1147:E1147)&lt;4,"⚠ กรอกไม่ครบ",IF(NOT(ISNUMBER(B1147)),"⚠ วันที่ไม่ถูกต้อง",IF(COUNTIFS(Setup!$L$6:$L$60,D1147,Setup!$M$6:$M$60,C1147)=0,"⚠ หมวดไม่ตรงประเภท","✓"))))</f>
        <v/>
      </c>
    </row>
    <row r="1148">
      <c r="B1148" s="113" t="n"/>
      <c r="C1148" s="114" t="n"/>
      <c r="D1148" s="115" t="n"/>
      <c r="E1148" s="116" t="n"/>
      <c r="F1148" s="115" t="n"/>
      <c r="G1148" s="117">
        <f>IF(COUNTA(B1148:E1148)=0,"",IF(COUNTA(B1148:E1148)&lt;4,"⚠ กรอกไม่ครบ",IF(NOT(ISNUMBER(B1148)),"⚠ วันที่ไม่ถูกต้อง",IF(COUNTIFS(Setup!$L$6:$L$60,D1148,Setup!$M$6:$M$60,C1148)=0,"⚠ หมวดไม่ตรงประเภท","✓"))))</f>
        <v/>
      </c>
    </row>
    <row r="1149">
      <c r="B1149" s="113" t="n"/>
      <c r="C1149" s="114" t="n"/>
      <c r="D1149" s="115" t="n"/>
      <c r="E1149" s="116" t="n"/>
      <c r="F1149" s="115" t="n"/>
      <c r="G1149" s="117">
        <f>IF(COUNTA(B1149:E1149)=0,"",IF(COUNTA(B1149:E1149)&lt;4,"⚠ กรอกไม่ครบ",IF(NOT(ISNUMBER(B1149)),"⚠ วันที่ไม่ถูกต้อง",IF(COUNTIFS(Setup!$L$6:$L$60,D1149,Setup!$M$6:$M$60,C1149)=0,"⚠ หมวดไม่ตรงประเภท","✓"))))</f>
        <v/>
      </c>
    </row>
    <row r="1150">
      <c r="B1150" s="113" t="n"/>
      <c r="C1150" s="114" t="n"/>
      <c r="D1150" s="115" t="n"/>
      <c r="E1150" s="116" t="n"/>
      <c r="F1150" s="115" t="n"/>
      <c r="G1150" s="117">
        <f>IF(COUNTA(B1150:E1150)=0,"",IF(COUNTA(B1150:E1150)&lt;4,"⚠ กรอกไม่ครบ",IF(NOT(ISNUMBER(B1150)),"⚠ วันที่ไม่ถูกต้อง",IF(COUNTIFS(Setup!$L$6:$L$60,D1150,Setup!$M$6:$M$60,C1150)=0,"⚠ หมวดไม่ตรงประเภท","✓"))))</f>
        <v/>
      </c>
    </row>
    <row r="1151">
      <c r="B1151" s="113" t="n"/>
      <c r="C1151" s="114" t="n"/>
      <c r="D1151" s="115" t="n"/>
      <c r="E1151" s="116" t="n"/>
      <c r="F1151" s="115" t="n"/>
      <c r="G1151" s="117">
        <f>IF(COUNTA(B1151:E1151)=0,"",IF(COUNTA(B1151:E1151)&lt;4,"⚠ กรอกไม่ครบ",IF(NOT(ISNUMBER(B1151)),"⚠ วันที่ไม่ถูกต้อง",IF(COUNTIFS(Setup!$L$6:$L$60,D1151,Setup!$M$6:$M$60,C1151)=0,"⚠ หมวดไม่ตรงประเภท","✓"))))</f>
        <v/>
      </c>
    </row>
    <row r="1152">
      <c r="B1152" s="113" t="n"/>
      <c r="C1152" s="114" t="n"/>
      <c r="D1152" s="115" t="n"/>
      <c r="E1152" s="116" t="n"/>
      <c r="F1152" s="115" t="n"/>
      <c r="G1152" s="117">
        <f>IF(COUNTA(B1152:E1152)=0,"",IF(COUNTA(B1152:E1152)&lt;4,"⚠ กรอกไม่ครบ",IF(NOT(ISNUMBER(B1152)),"⚠ วันที่ไม่ถูกต้อง",IF(COUNTIFS(Setup!$L$6:$L$60,D1152,Setup!$M$6:$M$60,C1152)=0,"⚠ หมวดไม่ตรงประเภท","✓"))))</f>
        <v/>
      </c>
    </row>
    <row r="1153">
      <c r="B1153" s="113" t="n"/>
      <c r="C1153" s="114" t="n"/>
      <c r="D1153" s="115" t="n"/>
      <c r="E1153" s="116" t="n"/>
      <c r="F1153" s="115" t="n"/>
      <c r="G1153" s="117">
        <f>IF(COUNTA(B1153:E1153)=0,"",IF(COUNTA(B1153:E1153)&lt;4,"⚠ กรอกไม่ครบ",IF(NOT(ISNUMBER(B1153)),"⚠ วันที่ไม่ถูกต้อง",IF(COUNTIFS(Setup!$L$6:$L$60,D1153,Setup!$M$6:$M$60,C1153)=0,"⚠ หมวดไม่ตรงประเภท","✓"))))</f>
        <v/>
      </c>
    </row>
    <row r="1154">
      <c r="B1154" s="113" t="n"/>
      <c r="C1154" s="114" t="n"/>
      <c r="D1154" s="115" t="n"/>
      <c r="E1154" s="116" t="n"/>
      <c r="F1154" s="115" t="n"/>
      <c r="G1154" s="117">
        <f>IF(COUNTA(B1154:E1154)=0,"",IF(COUNTA(B1154:E1154)&lt;4,"⚠ กรอกไม่ครบ",IF(NOT(ISNUMBER(B1154)),"⚠ วันที่ไม่ถูกต้อง",IF(COUNTIFS(Setup!$L$6:$L$60,D1154,Setup!$M$6:$M$60,C1154)=0,"⚠ หมวดไม่ตรงประเภท","✓"))))</f>
        <v/>
      </c>
    </row>
    <row r="1155">
      <c r="B1155" s="113" t="n"/>
      <c r="C1155" s="114" t="n"/>
      <c r="D1155" s="115" t="n"/>
      <c r="E1155" s="116" t="n"/>
      <c r="F1155" s="115" t="n"/>
      <c r="G1155" s="117">
        <f>IF(COUNTA(B1155:E1155)=0,"",IF(COUNTA(B1155:E1155)&lt;4,"⚠ กรอกไม่ครบ",IF(NOT(ISNUMBER(B1155)),"⚠ วันที่ไม่ถูกต้อง",IF(COUNTIFS(Setup!$L$6:$L$60,D1155,Setup!$M$6:$M$60,C1155)=0,"⚠ หมวดไม่ตรงประเภท","✓"))))</f>
        <v/>
      </c>
    </row>
    <row r="1156">
      <c r="B1156" s="113" t="n"/>
      <c r="C1156" s="114" t="n"/>
      <c r="D1156" s="115" t="n"/>
      <c r="E1156" s="116" t="n"/>
      <c r="F1156" s="115" t="n"/>
      <c r="G1156" s="117">
        <f>IF(COUNTA(B1156:E1156)=0,"",IF(COUNTA(B1156:E1156)&lt;4,"⚠ กรอกไม่ครบ",IF(NOT(ISNUMBER(B1156)),"⚠ วันที่ไม่ถูกต้อง",IF(COUNTIFS(Setup!$L$6:$L$60,D1156,Setup!$M$6:$M$60,C1156)=0,"⚠ หมวดไม่ตรงประเภท","✓"))))</f>
        <v/>
      </c>
    </row>
    <row r="1157">
      <c r="B1157" s="113" t="n"/>
      <c r="C1157" s="114" t="n"/>
      <c r="D1157" s="115" t="n"/>
      <c r="E1157" s="116" t="n"/>
      <c r="F1157" s="115" t="n"/>
      <c r="G1157" s="117">
        <f>IF(COUNTA(B1157:E1157)=0,"",IF(COUNTA(B1157:E1157)&lt;4,"⚠ กรอกไม่ครบ",IF(NOT(ISNUMBER(B1157)),"⚠ วันที่ไม่ถูกต้อง",IF(COUNTIFS(Setup!$L$6:$L$60,D1157,Setup!$M$6:$M$60,C1157)=0,"⚠ หมวดไม่ตรงประเภท","✓"))))</f>
        <v/>
      </c>
    </row>
    <row r="1158">
      <c r="B1158" s="113" t="n"/>
      <c r="C1158" s="114" t="n"/>
      <c r="D1158" s="115" t="n"/>
      <c r="E1158" s="116" t="n"/>
      <c r="F1158" s="115" t="n"/>
      <c r="G1158" s="117">
        <f>IF(COUNTA(B1158:E1158)=0,"",IF(COUNTA(B1158:E1158)&lt;4,"⚠ กรอกไม่ครบ",IF(NOT(ISNUMBER(B1158)),"⚠ วันที่ไม่ถูกต้อง",IF(COUNTIFS(Setup!$L$6:$L$60,D1158,Setup!$M$6:$M$60,C1158)=0,"⚠ หมวดไม่ตรงประเภท","✓"))))</f>
        <v/>
      </c>
    </row>
    <row r="1159">
      <c r="B1159" s="113" t="n"/>
      <c r="C1159" s="114" t="n"/>
      <c r="D1159" s="115" t="n"/>
      <c r="E1159" s="116" t="n"/>
      <c r="F1159" s="115" t="n"/>
      <c r="G1159" s="117">
        <f>IF(COUNTA(B1159:E1159)=0,"",IF(COUNTA(B1159:E1159)&lt;4,"⚠ กรอกไม่ครบ",IF(NOT(ISNUMBER(B1159)),"⚠ วันที่ไม่ถูกต้อง",IF(COUNTIFS(Setup!$L$6:$L$60,D1159,Setup!$M$6:$M$60,C1159)=0,"⚠ หมวดไม่ตรงประเภท","✓"))))</f>
        <v/>
      </c>
    </row>
    <row r="1160">
      <c r="B1160" s="113" t="n"/>
      <c r="C1160" s="114" t="n"/>
      <c r="D1160" s="115" t="n"/>
      <c r="E1160" s="116" t="n"/>
      <c r="F1160" s="115" t="n"/>
      <c r="G1160" s="117">
        <f>IF(COUNTA(B1160:E1160)=0,"",IF(COUNTA(B1160:E1160)&lt;4,"⚠ กรอกไม่ครบ",IF(NOT(ISNUMBER(B1160)),"⚠ วันที่ไม่ถูกต้อง",IF(COUNTIFS(Setup!$L$6:$L$60,D1160,Setup!$M$6:$M$60,C1160)=0,"⚠ หมวดไม่ตรงประเภท","✓"))))</f>
        <v/>
      </c>
    </row>
    <row r="1161">
      <c r="B1161" s="113" t="n"/>
      <c r="C1161" s="114" t="n"/>
      <c r="D1161" s="115" t="n"/>
      <c r="E1161" s="116" t="n"/>
      <c r="F1161" s="115" t="n"/>
      <c r="G1161" s="117">
        <f>IF(COUNTA(B1161:E1161)=0,"",IF(COUNTA(B1161:E1161)&lt;4,"⚠ กรอกไม่ครบ",IF(NOT(ISNUMBER(B1161)),"⚠ วันที่ไม่ถูกต้อง",IF(COUNTIFS(Setup!$L$6:$L$60,D1161,Setup!$M$6:$M$60,C1161)=0,"⚠ หมวดไม่ตรงประเภท","✓"))))</f>
        <v/>
      </c>
    </row>
    <row r="1162">
      <c r="B1162" s="113" t="n"/>
      <c r="C1162" s="114" t="n"/>
      <c r="D1162" s="115" t="n"/>
      <c r="E1162" s="116" t="n"/>
      <c r="F1162" s="115" t="n"/>
      <c r="G1162" s="117">
        <f>IF(COUNTA(B1162:E1162)=0,"",IF(COUNTA(B1162:E1162)&lt;4,"⚠ กรอกไม่ครบ",IF(NOT(ISNUMBER(B1162)),"⚠ วันที่ไม่ถูกต้อง",IF(COUNTIFS(Setup!$L$6:$L$60,D1162,Setup!$M$6:$M$60,C1162)=0,"⚠ หมวดไม่ตรงประเภท","✓"))))</f>
        <v/>
      </c>
    </row>
    <row r="1163">
      <c r="B1163" s="113" t="n"/>
      <c r="C1163" s="114" t="n"/>
      <c r="D1163" s="115" t="n"/>
      <c r="E1163" s="116" t="n"/>
      <c r="F1163" s="115" t="n"/>
      <c r="G1163" s="117">
        <f>IF(COUNTA(B1163:E1163)=0,"",IF(COUNTA(B1163:E1163)&lt;4,"⚠ กรอกไม่ครบ",IF(NOT(ISNUMBER(B1163)),"⚠ วันที่ไม่ถูกต้อง",IF(COUNTIFS(Setup!$L$6:$L$60,D1163,Setup!$M$6:$M$60,C1163)=0,"⚠ หมวดไม่ตรงประเภท","✓"))))</f>
        <v/>
      </c>
    </row>
    <row r="1164">
      <c r="B1164" s="113" t="n"/>
      <c r="C1164" s="114" t="n"/>
      <c r="D1164" s="115" t="n"/>
      <c r="E1164" s="116" t="n"/>
      <c r="F1164" s="115" t="n"/>
      <c r="G1164" s="117">
        <f>IF(COUNTA(B1164:E1164)=0,"",IF(COUNTA(B1164:E1164)&lt;4,"⚠ กรอกไม่ครบ",IF(NOT(ISNUMBER(B1164)),"⚠ วันที่ไม่ถูกต้อง",IF(COUNTIFS(Setup!$L$6:$L$60,D1164,Setup!$M$6:$M$60,C1164)=0,"⚠ หมวดไม่ตรงประเภท","✓"))))</f>
        <v/>
      </c>
    </row>
    <row r="1165">
      <c r="B1165" s="113" t="n"/>
      <c r="C1165" s="114" t="n"/>
      <c r="D1165" s="115" t="n"/>
      <c r="E1165" s="116" t="n"/>
      <c r="F1165" s="115" t="n"/>
      <c r="G1165" s="117">
        <f>IF(COUNTA(B1165:E1165)=0,"",IF(COUNTA(B1165:E1165)&lt;4,"⚠ กรอกไม่ครบ",IF(NOT(ISNUMBER(B1165)),"⚠ วันที่ไม่ถูกต้อง",IF(COUNTIFS(Setup!$L$6:$L$60,D1165,Setup!$M$6:$M$60,C1165)=0,"⚠ หมวดไม่ตรงประเภท","✓"))))</f>
        <v/>
      </c>
    </row>
    <row r="1166">
      <c r="B1166" s="113" t="n"/>
      <c r="C1166" s="114" t="n"/>
      <c r="D1166" s="115" t="n"/>
      <c r="E1166" s="116" t="n"/>
      <c r="F1166" s="115" t="n"/>
      <c r="G1166" s="117">
        <f>IF(COUNTA(B1166:E1166)=0,"",IF(COUNTA(B1166:E1166)&lt;4,"⚠ กรอกไม่ครบ",IF(NOT(ISNUMBER(B1166)),"⚠ วันที่ไม่ถูกต้อง",IF(COUNTIFS(Setup!$L$6:$L$60,D1166,Setup!$M$6:$M$60,C1166)=0,"⚠ หมวดไม่ตรงประเภท","✓"))))</f>
        <v/>
      </c>
    </row>
    <row r="1167">
      <c r="B1167" s="113" t="n"/>
      <c r="C1167" s="114" t="n"/>
      <c r="D1167" s="115" t="n"/>
      <c r="E1167" s="116" t="n"/>
      <c r="F1167" s="115" t="n"/>
      <c r="G1167" s="117">
        <f>IF(COUNTA(B1167:E1167)=0,"",IF(COUNTA(B1167:E1167)&lt;4,"⚠ กรอกไม่ครบ",IF(NOT(ISNUMBER(B1167)),"⚠ วันที่ไม่ถูกต้อง",IF(COUNTIFS(Setup!$L$6:$L$60,D1167,Setup!$M$6:$M$60,C1167)=0,"⚠ หมวดไม่ตรงประเภท","✓"))))</f>
        <v/>
      </c>
    </row>
    <row r="1168">
      <c r="B1168" s="113" t="n"/>
      <c r="C1168" s="114" t="n"/>
      <c r="D1168" s="115" t="n"/>
      <c r="E1168" s="116" t="n"/>
      <c r="F1168" s="115" t="n"/>
      <c r="G1168" s="117">
        <f>IF(COUNTA(B1168:E1168)=0,"",IF(COUNTA(B1168:E1168)&lt;4,"⚠ กรอกไม่ครบ",IF(NOT(ISNUMBER(B1168)),"⚠ วันที่ไม่ถูกต้อง",IF(COUNTIFS(Setup!$L$6:$L$60,D1168,Setup!$M$6:$M$60,C1168)=0,"⚠ หมวดไม่ตรงประเภท","✓"))))</f>
        <v/>
      </c>
    </row>
    <row r="1169">
      <c r="B1169" s="113" t="n"/>
      <c r="C1169" s="114" t="n"/>
      <c r="D1169" s="115" t="n"/>
      <c r="E1169" s="116" t="n"/>
      <c r="F1169" s="115" t="n"/>
      <c r="G1169" s="117">
        <f>IF(COUNTA(B1169:E1169)=0,"",IF(COUNTA(B1169:E1169)&lt;4,"⚠ กรอกไม่ครบ",IF(NOT(ISNUMBER(B1169)),"⚠ วันที่ไม่ถูกต้อง",IF(COUNTIFS(Setup!$L$6:$L$60,D1169,Setup!$M$6:$M$60,C1169)=0,"⚠ หมวดไม่ตรงประเภท","✓"))))</f>
        <v/>
      </c>
    </row>
    <row r="1170">
      <c r="B1170" s="113" t="n"/>
      <c r="C1170" s="114" t="n"/>
      <c r="D1170" s="115" t="n"/>
      <c r="E1170" s="116" t="n"/>
      <c r="F1170" s="115" t="n"/>
      <c r="G1170" s="117">
        <f>IF(COUNTA(B1170:E1170)=0,"",IF(COUNTA(B1170:E1170)&lt;4,"⚠ กรอกไม่ครบ",IF(NOT(ISNUMBER(B1170)),"⚠ วันที่ไม่ถูกต้อง",IF(COUNTIFS(Setup!$L$6:$L$60,D1170,Setup!$M$6:$M$60,C1170)=0,"⚠ หมวดไม่ตรงประเภท","✓"))))</f>
        <v/>
      </c>
    </row>
    <row r="1171">
      <c r="B1171" s="113" t="n"/>
      <c r="C1171" s="114" t="n"/>
      <c r="D1171" s="115" t="n"/>
      <c r="E1171" s="116" t="n"/>
      <c r="F1171" s="115" t="n"/>
      <c r="G1171" s="117">
        <f>IF(COUNTA(B1171:E1171)=0,"",IF(COUNTA(B1171:E1171)&lt;4,"⚠ กรอกไม่ครบ",IF(NOT(ISNUMBER(B1171)),"⚠ วันที่ไม่ถูกต้อง",IF(COUNTIFS(Setup!$L$6:$L$60,D1171,Setup!$M$6:$M$60,C1171)=0,"⚠ หมวดไม่ตรงประเภท","✓"))))</f>
        <v/>
      </c>
    </row>
    <row r="1172">
      <c r="B1172" s="113" t="n"/>
      <c r="C1172" s="114" t="n"/>
      <c r="D1172" s="115" t="n"/>
      <c r="E1172" s="116" t="n"/>
      <c r="F1172" s="115" t="n"/>
      <c r="G1172" s="117">
        <f>IF(COUNTA(B1172:E1172)=0,"",IF(COUNTA(B1172:E1172)&lt;4,"⚠ กรอกไม่ครบ",IF(NOT(ISNUMBER(B1172)),"⚠ วันที่ไม่ถูกต้อง",IF(COUNTIFS(Setup!$L$6:$L$60,D1172,Setup!$M$6:$M$60,C1172)=0,"⚠ หมวดไม่ตรงประเภท","✓"))))</f>
        <v/>
      </c>
    </row>
    <row r="1173">
      <c r="B1173" s="113" t="n"/>
      <c r="C1173" s="114" t="n"/>
      <c r="D1173" s="115" t="n"/>
      <c r="E1173" s="116" t="n"/>
      <c r="F1173" s="115" t="n"/>
      <c r="G1173" s="117">
        <f>IF(COUNTA(B1173:E1173)=0,"",IF(COUNTA(B1173:E1173)&lt;4,"⚠ กรอกไม่ครบ",IF(NOT(ISNUMBER(B1173)),"⚠ วันที่ไม่ถูกต้อง",IF(COUNTIFS(Setup!$L$6:$L$60,D1173,Setup!$M$6:$M$60,C1173)=0,"⚠ หมวดไม่ตรงประเภท","✓"))))</f>
        <v/>
      </c>
    </row>
    <row r="1174">
      <c r="B1174" s="113" t="n"/>
      <c r="C1174" s="114" t="n"/>
      <c r="D1174" s="115" t="n"/>
      <c r="E1174" s="116" t="n"/>
      <c r="F1174" s="115" t="n"/>
      <c r="G1174" s="117">
        <f>IF(COUNTA(B1174:E1174)=0,"",IF(COUNTA(B1174:E1174)&lt;4,"⚠ กรอกไม่ครบ",IF(NOT(ISNUMBER(B1174)),"⚠ วันที่ไม่ถูกต้อง",IF(COUNTIFS(Setup!$L$6:$L$60,D1174,Setup!$M$6:$M$60,C1174)=0,"⚠ หมวดไม่ตรงประเภท","✓"))))</f>
        <v/>
      </c>
    </row>
    <row r="1175">
      <c r="B1175" s="113" t="n"/>
      <c r="C1175" s="114" t="n"/>
      <c r="D1175" s="115" t="n"/>
      <c r="E1175" s="116" t="n"/>
      <c r="F1175" s="115" t="n"/>
      <c r="G1175" s="117">
        <f>IF(COUNTA(B1175:E1175)=0,"",IF(COUNTA(B1175:E1175)&lt;4,"⚠ กรอกไม่ครบ",IF(NOT(ISNUMBER(B1175)),"⚠ วันที่ไม่ถูกต้อง",IF(COUNTIFS(Setup!$L$6:$L$60,D1175,Setup!$M$6:$M$60,C1175)=0,"⚠ หมวดไม่ตรงประเภท","✓"))))</f>
        <v/>
      </c>
    </row>
    <row r="1176">
      <c r="B1176" s="113" t="n"/>
      <c r="C1176" s="114" t="n"/>
      <c r="D1176" s="115" t="n"/>
      <c r="E1176" s="116" t="n"/>
      <c r="F1176" s="115" t="n"/>
      <c r="G1176" s="117">
        <f>IF(COUNTA(B1176:E1176)=0,"",IF(COUNTA(B1176:E1176)&lt;4,"⚠ กรอกไม่ครบ",IF(NOT(ISNUMBER(B1176)),"⚠ วันที่ไม่ถูกต้อง",IF(COUNTIFS(Setup!$L$6:$L$60,D1176,Setup!$M$6:$M$60,C1176)=0,"⚠ หมวดไม่ตรงประเภท","✓"))))</f>
        <v/>
      </c>
    </row>
    <row r="1177">
      <c r="B1177" s="113" t="n"/>
      <c r="C1177" s="114" t="n"/>
      <c r="D1177" s="115" t="n"/>
      <c r="E1177" s="116" t="n"/>
      <c r="F1177" s="115" t="n"/>
      <c r="G1177" s="117">
        <f>IF(COUNTA(B1177:E1177)=0,"",IF(COUNTA(B1177:E1177)&lt;4,"⚠ กรอกไม่ครบ",IF(NOT(ISNUMBER(B1177)),"⚠ วันที่ไม่ถูกต้อง",IF(COUNTIFS(Setup!$L$6:$L$60,D1177,Setup!$M$6:$M$60,C1177)=0,"⚠ หมวดไม่ตรงประเภท","✓"))))</f>
        <v/>
      </c>
    </row>
    <row r="1178">
      <c r="B1178" s="113" t="n"/>
      <c r="C1178" s="114" t="n"/>
      <c r="D1178" s="115" t="n"/>
      <c r="E1178" s="116" t="n"/>
      <c r="F1178" s="115" t="n"/>
      <c r="G1178" s="117">
        <f>IF(COUNTA(B1178:E1178)=0,"",IF(COUNTA(B1178:E1178)&lt;4,"⚠ กรอกไม่ครบ",IF(NOT(ISNUMBER(B1178)),"⚠ วันที่ไม่ถูกต้อง",IF(COUNTIFS(Setup!$L$6:$L$60,D1178,Setup!$M$6:$M$60,C1178)=0,"⚠ หมวดไม่ตรงประเภท","✓"))))</f>
        <v/>
      </c>
    </row>
    <row r="1179">
      <c r="B1179" s="113" t="n"/>
      <c r="C1179" s="114" t="n"/>
      <c r="D1179" s="115" t="n"/>
      <c r="E1179" s="116" t="n"/>
      <c r="F1179" s="115" t="n"/>
      <c r="G1179" s="117">
        <f>IF(COUNTA(B1179:E1179)=0,"",IF(COUNTA(B1179:E1179)&lt;4,"⚠ กรอกไม่ครบ",IF(NOT(ISNUMBER(B1179)),"⚠ วันที่ไม่ถูกต้อง",IF(COUNTIFS(Setup!$L$6:$L$60,D1179,Setup!$M$6:$M$60,C1179)=0,"⚠ หมวดไม่ตรงประเภท","✓"))))</f>
        <v/>
      </c>
    </row>
    <row r="1180">
      <c r="B1180" s="113" t="n"/>
      <c r="C1180" s="114" t="n"/>
      <c r="D1180" s="115" t="n"/>
      <c r="E1180" s="116" t="n"/>
      <c r="F1180" s="115" t="n"/>
      <c r="G1180" s="117">
        <f>IF(COUNTA(B1180:E1180)=0,"",IF(COUNTA(B1180:E1180)&lt;4,"⚠ กรอกไม่ครบ",IF(NOT(ISNUMBER(B1180)),"⚠ วันที่ไม่ถูกต้อง",IF(COUNTIFS(Setup!$L$6:$L$60,D1180,Setup!$M$6:$M$60,C1180)=0,"⚠ หมวดไม่ตรงประเภท","✓"))))</f>
        <v/>
      </c>
    </row>
    <row r="1181">
      <c r="B1181" s="113" t="n"/>
      <c r="C1181" s="114" t="n"/>
      <c r="D1181" s="115" t="n"/>
      <c r="E1181" s="116" t="n"/>
      <c r="F1181" s="115" t="n"/>
      <c r="G1181" s="117">
        <f>IF(COUNTA(B1181:E1181)=0,"",IF(COUNTA(B1181:E1181)&lt;4,"⚠ กรอกไม่ครบ",IF(NOT(ISNUMBER(B1181)),"⚠ วันที่ไม่ถูกต้อง",IF(COUNTIFS(Setup!$L$6:$L$60,D1181,Setup!$M$6:$M$60,C1181)=0,"⚠ หมวดไม่ตรงประเภท","✓"))))</f>
        <v/>
      </c>
    </row>
    <row r="1182">
      <c r="B1182" s="113" t="n"/>
      <c r="C1182" s="114" t="n"/>
      <c r="D1182" s="115" t="n"/>
      <c r="E1182" s="116" t="n"/>
      <c r="F1182" s="115" t="n"/>
      <c r="G1182" s="117">
        <f>IF(COUNTA(B1182:E1182)=0,"",IF(COUNTA(B1182:E1182)&lt;4,"⚠ กรอกไม่ครบ",IF(NOT(ISNUMBER(B1182)),"⚠ วันที่ไม่ถูกต้อง",IF(COUNTIFS(Setup!$L$6:$L$60,D1182,Setup!$M$6:$M$60,C1182)=0,"⚠ หมวดไม่ตรงประเภท","✓"))))</f>
        <v/>
      </c>
    </row>
    <row r="1183">
      <c r="B1183" s="113" t="n"/>
      <c r="C1183" s="114" t="n"/>
      <c r="D1183" s="115" t="n"/>
      <c r="E1183" s="116" t="n"/>
      <c r="F1183" s="115" t="n"/>
      <c r="G1183" s="117">
        <f>IF(COUNTA(B1183:E1183)=0,"",IF(COUNTA(B1183:E1183)&lt;4,"⚠ กรอกไม่ครบ",IF(NOT(ISNUMBER(B1183)),"⚠ วันที่ไม่ถูกต้อง",IF(COUNTIFS(Setup!$L$6:$L$60,D1183,Setup!$M$6:$M$60,C1183)=0,"⚠ หมวดไม่ตรงประเภท","✓"))))</f>
        <v/>
      </c>
    </row>
    <row r="1184">
      <c r="B1184" s="113" t="n"/>
      <c r="C1184" s="114" t="n"/>
      <c r="D1184" s="115" t="n"/>
      <c r="E1184" s="116" t="n"/>
      <c r="F1184" s="115" t="n"/>
      <c r="G1184" s="117">
        <f>IF(COUNTA(B1184:E1184)=0,"",IF(COUNTA(B1184:E1184)&lt;4,"⚠ กรอกไม่ครบ",IF(NOT(ISNUMBER(B1184)),"⚠ วันที่ไม่ถูกต้อง",IF(COUNTIFS(Setup!$L$6:$L$60,D1184,Setup!$M$6:$M$60,C1184)=0,"⚠ หมวดไม่ตรงประเภท","✓"))))</f>
        <v/>
      </c>
    </row>
    <row r="1185">
      <c r="B1185" s="113" t="n"/>
      <c r="C1185" s="114" t="n"/>
      <c r="D1185" s="115" t="n"/>
      <c r="E1185" s="116" t="n"/>
      <c r="F1185" s="115" t="n"/>
      <c r="G1185" s="117">
        <f>IF(COUNTA(B1185:E1185)=0,"",IF(COUNTA(B1185:E1185)&lt;4,"⚠ กรอกไม่ครบ",IF(NOT(ISNUMBER(B1185)),"⚠ วันที่ไม่ถูกต้อง",IF(COUNTIFS(Setup!$L$6:$L$60,D1185,Setup!$M$6:$M$60,C1185)=0,"⚠ หมวดไม่ตรงประเภท","✓"))))</f>
        <v/>
      </c>
    </row>
    <row r="1186">
      <c r="B1186" s="113" t="n"/>
      <c r="C1186" s="114" t="n"/>
      <c r="D1186" s="115" t="n"/>
      <c r="E1186" s="116" t="n"/>
      <c r="F1186" s="115" t="n"/>
      <c r="G1186" s="117">
        <f>IF(COUNTA(B1186:E1186)=0,"",IF(COUNTA(B1186:E1186)&lt;4,"⚠ กรอกไม่ครบ",IF(NOT(ISNUMBER(B1186)),"⚠ วันที่ไม่ถูกต้อง",IF(COUNTIFS(Setup!$L$6:$L$60,D1186,Setup!$M$6:$M$60,C1186)=0,"⚠ หมวดไม่ตรงประเภท","✓"))))</f>
        <v/>
      </c>
    </row>
    <row r="1187">
      <c r="B1187" s="113" t="n"/>
      <c r="C1187" s="114" t="n"/>
      <c r="D1187" s="115" t="n"/>
      <c r="E1187" s="116" t="n"/>
      <c r="F1187" s="115" t="n"/>
      <c r="G1187" s="117">
        <f>IF(COUNTA(B1187:E1187)=0,"",IF(COUNTA(B1187:E1187)&lt;4,"⚠ กรอกไม่ครบ",IF(NOT(ISNUMBER(B1187)),"⚠ วันที่ไม่ถูกต้อง",IF(COUNTIFS(Setup!$L$6:$L$60,D1187,Setup!$M$6:$M$60,C1187)=0,"⚠ หมวดไม่ตรงประเภท","✓"))))</f>
        <v/>
      </c>
    </row>
    <row r="1188">
      <c r="B1188" s="113" t="n"/>
      <c r="C1188" s="114" t="n"/>
      <c r="D1188" s="115" t="n"/>
      <c r="E1188" s="116" t="n"/>
      <c r="F1188" s="115" t="n"/>
      <c r="G1188" s="117">
        <f>IF(COUNTA(B1188:E1188)=0,"",IF(COUNTA(B1188:E1188)&lt;4,"⚠ กรอกไม่ครบ",IF(NOT(ISNUMBER(B1188)),"⚠ วันที่ไม่ถูกต้อง",IF(COUNTIFS(Setup!$L$6:$L$60,D1188,Setup!$M$6:$M$60,C1188)=0,"⚠ หมวดไม่ตรงประเภท","✓"))))</f>
        <v/>
      </c>
    </row>
    <row r="1189">
      <c r="B1189" s="113" t="n"/>
      <c r="C1189" s="114" t="n"/>
      <c r="D1189" s="115" t="n"/>
      <c r="E1189" s="116" t="n"/>
      <c r="F1189" s="115" t="n"/>
      <c r="G1189" s="117">
        <f>IF(COUNTA(B1189:E1189)=0,"",IF(COUNTA(B1189:E1189)&lt;4,"⚠ กรอกไม่ครบ",IF(NOT(ISNUMBER(B1189)),"⚠ วันที่ไม่ถูกต้อง",IF(COUNTIFS(Setup!$L$6:$L$60,D1189,Setup!$M$6:$M$60,C1189)=0,"⚠ หมวดไม่ตรงประเภท","✓"))))</f>
        <v/>
      </c>
    </row>
    <row r="1190">
      <c r="B1190" s="113" t="n"/>
      <c r="C1190" s="114" t="n"/>
      <c r="D1190" s="115" t="n"/>
      <c r="E1190" s="116" t="n"/>
      <c r="F1190" s="115" t="n"/>
      <c r="G1190" s="117">
        <f>IF(COUNTA(B1190:E1190)=0,"",IF(COUNTA(B1190:E1190)&lt;4,"⚠ กรอกไม่ครบ",IF(NOT(ISNUMBER(B1190)),"⚠ วันที่ไม่ถูกต้อง",IF(COUNTIFS(Setup!$L$6:$L$60,D1190,Setup!$M$6:$M$60,C1190)=0,"⚠ หมวดไม่ตรงประเภท","✓"))))</f>
        <v/>
      </c>
    </row>
    <row r="1191">
      <c r="B1191" s="113" t="n"/>
      <c r="C1191" s="114" t="n"/>
      <c r="D1191" s="115" t="n"/>
      <c r="E1191" s="116" t="n"/>
      <c r="F1191" s="115" t="n"/>
      <c r="G1191" s="117">
        <f>IF(COUNTA(B1191:E1191)=0,"",IF(COUNTA(B1191:E1191)&lt;4,"⚠ กรอกไม่ครบ",IF(NOT(ISNUMBER(B1191)),"⚠ วันที่ไม่ถูกต้อง",IF(COUNTIFS(Setup!$L$6:$L$60,D1191,Setup!$M$6:$M$60,C1191)=0,"⚠ หมวดไม่ตรงประเภท","✓"))))</f>
        <v/>
      </c>
    </row>
    <row r="1192">
      <c r="B1192" s="113" t="n"/>
      <c r="C1192" s="114" t="n"/>
      <c r="D1192" s="115" t="n"/>
      <c r="E1192" s="116" t="n"/>
      <c r="F1192" s="115" t="n"/>
      <c r="G1192" s="117">
        <f>IF(COUNTA(B1192:E1192)=0,"",IF(COUNTA(B1192:E1192)&lt;4,"⚠ กรอกไม่ครบ",IF(NOT(ISNUMBER(B1192)),"⚠ วันที่ไม่ถูกต้อง",IF(COUNTIFS(Setup!$L$6:$L$60,D1192,Setup!$M$6:$M$60,C1192)=0,"⚠ หมวดไม่ตรงประเภท","✓"))))</f>
        <v/>
      </c>
    </row>
    <row r="1193">
      <c r="B1193" s="113" t="n"/>
      <c r="C1193" s="114" t="n"/>
      <c r="D1193" s="115" t="n"/>
      <c r="E1193" s="116" t="n"/>
      <c r="F1193" s="115" t="n"/>
      <c r="G1193" s="117">
        <f>IF(COUNTA(B1193:E1193)=0,"",IF(COUNTA(B1193:E1193)&lt;4,"⚠ กรอกไม่ครบ",IF(NOT(ISNUMBER(B1193)),"⚠ วันที่ไม่ถูกต้อง",IF(COUNTIFS(Setup!$L$6:$L$60,D1193,Setup!$M$6:$M$60,C1193)=0,"⚠ หมวดไม่ตรงประเภท","✓"))))</f>
        <v/>
      </c>
    </row>
    <row r="1194">
      <c r="B1194" s="113" t="n"/>
      <c r="C1194" s="114" t="n"/>
      <c r="D1194" s="115" t="n"/>
      <c r="E1194" s="116" t="n"/>
      <c r="F1194" s="115" t="n"/>
      <c r="G1194" s="117">
        <f>IF(COUNTA(B1194:E1194)=0,"",IF(COUNTA(B1194:E1194)&lt;4,"⚠ กรอกไม่ครบ",IF(NOT(ISNUMBER(B1194)),"⚠ วันที่ไม่ถูกต้อง",IF(COUNTIFS(Setup!$L$6:$L$60,D1194,Setup!$M$6:$M$60,C1194)=0,"⚠ หมวดไม่ตรงประเภท","✓"))))</f>
        <v/>
      </c>
    </row>
    <row r="1195">
      <c r="B1195" s="113" t="n"/>
      <c r="C1195" s="114" t="n"/>
      <c r="D1195" s="115" t="n"/>
      <c r="E1195" s="116" t="n"/>
      <c r="F1195" s="115" t="n"/>
      <c r="G1195" s="117">
        <f>IF(COUNTA(B1195:E1195)=0,"",IF(COUNTA(B1195:E1195)&lt;4,"⚠ กรอกไม่ครบ",IF(NOT(ISNUMBER(B1195)),"⚠ วันที่ไม่ถูกต้อง",IF(COUNTIFS(Setup!$L$6:$L$60,D1195,Setup!$M$6:$M$60,C1195)=0,"⚠ หมวดไม่ตรงประเภท","✓"))))</f>
        <v/>
      </c>
    </row>
    <row r="1196">
      <c r="B1196" s="113" t="n"/>
      <c r="C1196" s="114" t="n"/>
      <c r="D1196" s="115" t="n"/>
      <c r="E1196" s="116" t="n"/>
      <c r="F1196" s="115" t="n"/>
      <c r="G1196" s="117">
        <f>IF(COUNTA(B1196:E1196)=0,"",IF(COUNTA(B1196:E1196)&lt;4,"⚠ กรอกไม่ครบ",IF(NOT(ISNUMBER(B1196)),"⚠ วันที่ไม่ถูกต้อง",IF(COUNTIFS(Setup!$L$6:$L$60,D1196,Setup!$M$6:$M$60,C1196)=0,"⚠ หมวดไม่ตรงประเภท","✓"))))</f>
        <v/>
      </c>
    </row>
    <row r="1197">
      <c r="B1197" s="113" t="n"/>
      <c r="C1197" s="114" t="n"/>
      <c r="D1197" s="115" t="n"/>
      <c r="E1197" s="116" t="n"/>
      <c r="F1197" s="115" t="n"/>
      <c r="G1197" s="117">
        <f>IF(COUNTA(B1197:E1197)=0,"",IF(COUNTA(B1197:E1197)&lt;4,"⚠ กรอกไม่ครบ",IF(NOT(ISNUMBER(B1197)),"⚠ วันที่ไม่ถูกต้อง",IF(COUNTIFS(Setup!$L$6:$L$60,D1197,Setup!$M$6:$M$60,C1197)=0,"⚠ หมวดไม่ตรงประเภท","✓"))))</f>
        <v/>
      </c>
    </row>
    <row r="1198">
      <c r="B1198" s="113" t="n"/>
      <c r="C1198" s="114" t="n"/>
      <c r="D1198" s="115" t="n"/>
      <c r="E1198" s="116" t="n"/>
      <c r="F1198" s="115" t="n"/>
      <c r="G1198" s="117">
        <f>IF(COUNTA(B1198:E1198)=0,"",IF(COUNTA(B1198:E1198)&lt;4,"⚠ กรอกไม่ครบ",IF(NOT(ISNUMBER(B1198)),"⚠ วันที่ไม่ถูกต้อง",IF(COUNTIFS(Setup!$L$6:$L$60,D1198,Setup!$M$6:$M$60,C1198)=0,"⚠ หมวดไม่ตรงประเภท","✓"))))</f>
        <v/>
      </c>
    </row>
    <row r="1199">
      <c r="B1199" s="113" t="n"/>
      <c r="C1199" s="114" t="n"/>
      <c r="D1199" s="115" t="n"/>
      <c r="E1199" s="116" t="n"/>
      <c r="F1199" s="115" t="n"/>
      <c r="G1199" s="117">
        <f>IF(COUNTA(B1199:E1199)=0,"",IF(COUNTA(B1199:E1199)&lt;4,"⚠ กรอกไม่ครบ",IF(NOT(ISNUMBER(B1199)),"⚠ วันที่ไม่ถูกต้อง",IF(COUNTIFS(Setup!$L$6:$L$60,D1199,Setup!$M$6:$M$60,C1199)=0,"⚠ หมวดไม่ตรงประเภท","✓"))))</f>
        <v/>
      </c>
    </row>
    <row r="1200">
      <c r="B1200" s="113" t="n"/>
      <c r="C1200" s="114" t="n"/>
      <c r="D1200" s="115" t="n"/>
      <c r="E1200" s="116" t="n"/>
      <c r="F1200" s="115" t="n"/>
      <c r="G1200" s="117">
        <f>IF(COUNTA(B1200:E1200)=0,"",IF(COUNTA(B1200:E1200)&lt;4,"⚠ กรอกไม่ครบ",IF(NOT(ISNUMBER(B1200)),"⚠ วันที่ไม่ถูกต้อง",IF(COUNTIFS(Setup!$L$6:$L$60,D1200,Setup!$M$6:$M$60,C1200)=0,"⚠ หมวดไม่ตรงประเภท","✓"))))</f>
        <v/>
      </c>
    </row>
    <row r="1201">
      <c r="B1201" s="113" t="n"/>
      <c r="C1201" s="114" t="n"/>
      <c r="D1201" s="115" t="n"/>
      <c r="E1201" s="116" t="n"/>
      <c r="F1201" s="115" t="n"/>
      <c r="G1201" s="117">
        <f>IF(COUNTA(B1201:E1201)=0,"",IF(COUNTA(B1201:E1201)&lt;4,"⚠ กรอกไม่ครบ",IF(NOT(ISNUMBER(B1201)),"⚠ วันที่ไม่ถูกต้อง",IF(COUNTIFS(Setup!$L$6:$L$60,D1201,Setup!$M$6:$M$60,C1201)=0,"⚠ หมวดไม่ตรงประเภท","✓"))))</f>
        <v/>
      </c>
    </row>
    <row r="1202">
      <c r="B1202" s="113" t="n"/>
      <c r="C1202" s="114" t="n"/>
      <c r="D1202" s="115" t="n"/>
      <c r="E1202" s="116" t="n"/>
      <c r="F1202" s="115" t="n"/>
      <c r="G1202" s="117">
        <f>IF(COUNTA(B1202:E1202)=0,"",IF(COUNTA(B1202:E1202)&lt;4,"⚠ กรอกไม่ครบ",IF(NOT(ISNUMBER(B1202)),"⚠ วันที่ไม่ถูกต้อง",IF(COUNTIFS(Setup!$L$6:$L$60,D1202,Setup!$M$6:$M$60,C1202)=0,"⚠ หมวดไม่ตรงประเภท","✓"))))</f>
        <v/>
      </c>
    </row>
    <row r="1203">
      <c r="B1203" s="113" t="n"/>
      <c r="C1203" s="114" t="n"/>
      <c r="D1203" s="115" t="n"/>
      <c r="E1203" s="116" t="n"/>
      <c r="F1203" s="115" t="n"/>
      <c r="G1203" s="117">
        <f>IF(COUNTA(B1203:E1203)=0,"",IF(COUNTA(B1203:E1203)&lt;4,"⚠ กรอกไม่ครบ",IF(NOT(ISNUMBER(B1203)),"⚠ วันที่ไม่ถูกต้อง",IF(COUNTIFS(Setup!$L$6:$L$60,D1203,Setup!$M$6:$M$60,C1203)=0,"⚠ หมวดไม่ตรงประเภท","✓"))))</f>
        <v/>
      </c>
    </row>
    <row r="1204">
      <c r="B1204" s="113" t="n"/>
      <c r="C1204" s="114" t="n"/>
      <c r="D1204" s="115" t="n"/>
      <c r="E1204" s="116" t="n"/>
      <c r="F1204" s="115" t="n"/>
      <c r="G1204" s="117">
        <f>IF(COUNTA(B1204:E1204)=0,"",IF(COUNTA(B1204:E1204)&lt;4,"⚠ กรอกไม่ครบ",IF(NOT(ISNUMBER(B1204)),"⚠ วันที่ไม่ถูกต้อง",IF(COUNTIFS(Setup!$L$6:$L$60,D1204,Setup!$M$6:$M$60,C1204)=0,"⚠ หมวดไม่ตรงประเภท","✓"))))</f>
        <v/>
      </c>
    </row>
    <row r="1205">
      <c r="B1205" s="113" t="n"/>
      <c r="C1205" s="114" t="n"/>
      <c r="D1205" s="115" t="n"/>
      <c r="E1205" s="116" t="n"/>
      <c r="F1205" s="115" t="n"/>
      <c r="G1205" s="117">
        <f>IF(COUNTA(B1205:E1205)=0,"",IF(COUNTA(B1205:E1205)&lt;4,"⚠ กรอกไม่ครบ",IF(NOT(ISNUMBER(B1205)),"⚠ วันที่ไม่ถูกต้อง",IF(COUNTIFS(Setup!$L$6:$L$60,D1205,Setup!$M$6:$M$60,C1205)=0,"⚠ หมวดไม่ตรงประเภท","✓"))))</f>
        <v/>
      </c>
    </row>
    <row r="1206">
      <c r="B1206" s="113" t="n"/>
      <c r="C1206" s="114" t="n"/>
      <c r="D1206" s="115" t="n"/>
      <c r="E1206" s="116" t="n"/>
      <c r="F1206" s="115" t="n"/>
      <c r="G1206" s="117">
        <f>IF(COUNTA(B1206:E1206)=0,"",IF(COUNTA(B1206:E1206)&lt;4,"⚠ กรอกไม่ครบ",IF(NOT(ISNUMBER(B1206)),"⚠ วันที่ไม่ถูกต้อง",IF(COUNTIFS(Setup!$L$6:$L$60,D1206,Setup!$M$6:$M$60,C1206)=0,"⚠ หมวดไม่ตรงประเภท","✓"))))</f>
        <v/>
      </c>
    </row>
    <row r="1207">
      <c r="B1207" s="113" t="n"/>
      <c r="C1207" s="114" t="n"/>
      <c r="D1207" s="115" t="n"/>
      <c r="E1207" s="116" t="n"/>
      <c r="F1207" s="115" t="n"/>
      <c r="G1207" s="117">
        <f>IF(COUNTA(B1207:E1207)=0,"",IF(COUNTA(B1207:E1207)&lt;4,"⚠ กรอกไม่ครบ",IF(NOT(ISNUMBER(B1207)),"⚠ วันที่ไม่ถูกต้อง",IF(COUNTIFS(Setup!$L$6:$L$60,D1207,Setup!$M$6:$M$60,C1207)=0,"⚠ หมวดไม่ตรงประเภท","✓"))))</f>
        <v/>
      </c>
    </row>
    <row r="1208">
      <c r="B1208" s="113" t="n"/>
      <c r="C1208" s="114" t="n"/>
      <c r="D1208" s="115" t="n"/>
      <c r="E1208" s="116" t="n"/>
      <c r="F1208" s="115" t="n"/>
      <c r="G1208" s="117">
        <f>IF(COUNTA(B1208:E1208)=0,"",IF(COUNTA(B1208:E1208)&lt;4,"⚠ กรอกไม่ครบ",IF(NOT(ISNUMBER(B1208)),"⚠ วันที่ไม่ถูกต้อง",IF(COUNTIFS(Setup!$L$6:$L$60,D1208,Setup!$M$6:$M$60,C1208)=0,"⚠ หมวดไม่ตรงประเภท","✓"))))</f>
        <v/>
      </c>
    </row>
    <row r="1209">
      <c r="B1209" s="113" t="n"/>
      <c r="C1209" s="114" t="n"/>
      <c r="D1209" s="115" t="n"/>
      <c r="E1209" s="116" t="n"/>
      <c r="F1209" s="115" t="n"/>
      <c r="G1209" s="117">
        <f>IF(COUNTA(B1209:E1209)=0,"",IF(COUNTA(B1209:E1209)&lt;4,"⚠ กรอกไม่ครบ",IF(NOT(ISNUMBER(B1209)),"⚠ วันที่ไม่ถูกต้อง",IF(COUNTIFS(Setup!$L$6:$L$60,D1209,Setup!$M$6:$M$60,C1209)=0,"⚠ หมวดไม่ตรงประเภท","✓"))))</f>
        <v/>
      </c>
    </row>
    <row r="1210">
      <c r="B1210" s="113" t="n"/>
      <c r="C1210" s="114" t="n"/>
      <c r="D1210" s="115" t="n"/>
      <c r="E1210" s="116" t="n"/>
      <c r="F1210" s="115" t="n"/>
      <c r="G1210" s="117">
        <f>IF(COUNTA(B1210:E1210)=0,"",IF(COUNTA(B1210:E1210)&lt;4,"⚠ กรอกไม่ครบ",IF(NOT(ISNUMBER(B1210)),"⚠ วันที่ไม่ถูกต้อง",IF(COUNTIFS(Setup!$L$6:$L$60,D1210,Setup!$M$6:$M$60,C1210)=0,"⚠ หมวดไม่ตรงประเภท","✓"))))</f>
        <v/>
      </c>
    </row>
    <row r="1211">
      <c r="B1211" s="113" t="n"/>
      <c r="C1211" s="114" t="n"/>
      <c r="D1211" s="115" t="n"/>
      <c r="E1211" s="116" t="n"/>
      <c r="F1211" s="115" t="n"/>
      <c r="G1211" s="117">
        <f>IF(COUNTA(B1211:E1211)=0,"",IF(COUNTA(B1211:E1211)&lt;4,"⚠ กรอกไม่ครบ",IF(NOT(ISNUMBER(B1211)),"⚠ วันที่ไม่ถูกต้อง",IF(COUNTIFS(Setup!$L$6:$L$60,D1211,Setup!$M$6:$M$60,C1211)=0,"⚠ หมวดไม่ตรงประเภท","✓"))))</f>
        <v/>
      </c>
    </row>
    <row r="1212">
      <c r="B1212" s="113" t="n"/>
      <c r="C1212" s="114" t="n"/>
      <c r="D1212" s="115" t="n"/>
      <c r="E1212" s="116" t="n"/>
      <c r="F1212" s="115" t="n"/>
      <c r="G1212" s="117">
        <f>IF(COUNTA(B1212:E1212)=0,"",IF(COUNTA(B1212:E1212)&lt;4,"⚠ กรอกไม่ครบ",IF(NOT(ISNUMBER(B1212)),"⚠ วันที่ไม่ถูกต้อง",IF(COUNTIFS(Setup!$L$6:$L$60,D1212,Setup!$M$6:$M$60,C1212)=0,"⚠ หมวดไม่ตรงประเภท","✓"))))</f>
        <v/>
      </c>
    </row>
    <row r="1213">
      <c r="B1213" s="113" t="n"/>
      <c r="C1213" s="114" t="n"/>
      <c r="D1213" s="115" t="n"/>
      <c r="E1213" s="116" t="n"/>
      <c r="F1213" s="115" t="n"/>
      <c r="G1213" s="117">
        <f>IF(COUNTA(B1213:E1213)=0,"",IF(COUNTA(B1213:E1213)&lt;4,"⚠ กรอกไม่ครบ",IF(NOT(ISNUMBER(B1213)),"⚠ วันที่ไม่ถูกต้อง",IF(COUNTIFS(Setup!$L$6:$L$60,D1213,Setup!$M$6:$M$60,C1213)=0,"⚠ หมวดไม่ตรงประเภท","✓"))))</f>
        <v/>
      </c>
    </row>
    <row r="1214">
      <c r="B1214" s="113" t="n"/>
      <c r="C1214" s="114" t="n"/>
      <c r="D1214" s="115" t="n"/>
      <c r="E1214" s="116" t="n"/>
      <c r="F1214" s="115" t="n"/>
      <c r="G1214" s="117">
        <f>IF(COUNTA(B1214:E1214)=0,"",IF(COUNTA(B1214:E1214)&lt;4,"⚠ กรอกไม่ครบ",IF(NOT(ISNUMBER(B1214)),"⚠ วันที่ไม่ถูกต้อง",IF(COUNTIFS(Setup!$L$6:$L$60,D1214,Setup!$M$6:$M$60,C1214)=0,"⚠ หมวดไม่ตรงประเภท","✓"))))</f>
        <v/>
      </c>
    </row>
    <row r="1215">
      <c r="B1215" s="113" t="n"/>
      <c r="C1215" s="114" t="n"/>
      <c r="D1215" s="115" t="n"/>
      <c r="E1215" s="116" t="n"/>
      <c r="F1215" s="115" t="n"/>
      <c r="G1215" s="117">
        <f>IF(COUNTA(B1215:E1215)=0,"",IF(COUNTA(B1215:E1215)&lt;4,"⚠ กรอกไม่ครบ",IF(NOT(ISNUMBER(B1215)),"⚠ วันที่ไม่ถูกต้อง",IF(COUNTIFS(Setup!$L$6:$L$60,D1215,Setup!$M$6:$M$60,C1215)=0,"⚠ หมวดไม่ตรงประเภท","✓"))))</f>
        <v/>
      </c>
    </row>
    <row r="1216">
      <c r="B1216" s="113" t="n"/>
      <c r="C1216" s="114" t="n"/>
      <c r="D1216" s="115" t="n"/>
      <c r="E1216" s="116" t="n"/>
      <c r="F1216" s="115" t="n"/>
      <c r="G1216" s="117">
        <f>IF(COUNTA(B1216:E1216)=0,"",IF(COUNTA(B1216:E1216)&lt;4,"⚠ กรอกไม่ครบ",IF(NOT(ISNUMBER(B1216)),"⚠ วันที่ไม่ถูกต้อง",IF(COUNTIFS(Setup!$L$6:$L$60,D1216,Setup!$M$6:$M$60,C1216)=0,"⚠ หมวดไม่ตรงประเภท","✓"))))</f>
        <v/>
      </c>
    </row>
    <row r="1217">
      <c r="B1217" s="113" t="n"/>
      <c r="C1217" s="114" t="n"/>
      <c r="D1217" s="115" t="n"/>
      <c r="E1217" s="116" t="n"/>
      <c r="F1217" s="115" t="n"/>
      <c r="G1217" s="117">
        <f>IF(COUNTA(B1217:E1217)=0,"",IF(COUNTA(B1217:E1217)&lt;4,"⚠ กรอกไม่ครบ",IF(NOT(ISNUMBER(B1217)),"⚠ วันที่ไม่ถูกต้อง",IF(COUNTIFS(Setup!$L$6:$L$60,D1217,Setup!$M$6:$M$60,C1217)=0,"⚠ หมวดไม่ตรงประเภท","✓"))))</f>
        <v/>
      </c>
    </row>
    <row r="1218">
      <c r="B1218" s="113" t="n"/>
      <c r="C1218" s="114" t="n"/>
      <c r="D1218" s="115" t="n"/>
      <c r="E1218" s="116" t="n"/>
      <c r="F1218" s="115" t="n"/>
      <c r="G1218" s="117">
        <f>IF(COUNTA(B1218:E1218)=0,"",IF(COUNTA(B1218:E1218)&lt;4,"⚠ กรอกไม่ครบ",IF(NOT(ISNUMBER(B1218)),"⚠ วันที่ไม่ถูกต้อง",IF(COUNTIFS(Setup!$L$6:$L$60,D1218,Setup!$M$6:$M$60,C1218)=0,"⚠ หมวดไม่ตรงประเภท","✓"))))</f>
        <v/>
      </c>
    </row>
    <row r="1219">
      <c r="B1219" s="113" t="n"/>
      <c r="C1219" s="114" t="n"/>
      <c r="D1219" s="115" t="n"/>
      <c r="E1219" s="116" t="n"/>
      <c r="F1219" s="115" t="n"/>
      <c r="G1219" s="117">
        <f>IF(COUNTA(B1219:E1219)=0,"",IF(COUNTA(B1219:E1219)&lt;4,"⚠ กรอกไม่ครบ",IF(NOT(ISNUMBER(B1219)),"⚠ วันที่ไม่ถูกต้อง",IF(COUNTIFS(Setup!$L$6:$L$60,D1219,Setup!$M$6:$M$60,C1219)=0,"⚠ หมวดไม่ตรงประเภท","✓"))))</f>
        <v/>
      </c>
    </row>
    <row r="1220">
      <c r="B1220" s="113" t="n"/>
      <c r="C1220" s="114" t="n"/>
      <c r="D1220" s="115" t="n"/>
      <c r="E1220" s="116" t="n"/>
      <c r="F1220" s="115" t="n"/>
      <c r="G1220" s="117">
        <f>IF(COUNTA(B1220:E1220)=0,"",IF(COUNTA(B1220:E1220)&lt;4,"⚠ กรอกไม่ครบ",IF(NOT(ISNUMBER(B1220)),"⚠ วันที่ไม่ถูกต้อง",IF(COUNTIFS(Setup!$L$6:$L$60,D1220,Setup!$M$6:$M$60,C1220)=0,"⚠ หมวดไม่ตรงประเภท","✓"))))</f>
        <v/>
      </c>
    </row>
    <row r="1221">
      <c r="B1221" s="113" t="n"/>
      <c r="C1221" s="114" t="n"/>
      <c r="D1221" s="115" t="n"/>
      <c r="E1221" s="116" t="n"/>
      <c r="F1221" s="115" t="n"/>
      <c r="G1221" s="117">
        <f>IF(COUNTA(B1221:E1221)=0,"",IF(COUNTA(B1221:E1221)&lt;4,"⚠ กรอกไม่ครบ",IF(NOT(ISNUMBER(B1221)),"⚠ วันที่ไม่ถูกต้อง",IF(COUNTIFS(Setup!$L$6:$L$60,D1221,Setup!$M$6:$M$60,C1221)=0,"⚠ หมวดไม่ตรงประเภท","✓"))))</f>
        <v/>
      </c>
    </row>
    <row r="1222">
      <c r="B1222" s="113" t="n"/>
      <c r="C1222" s="114" t="n"/>
      <c r="D1222" s="115" t="n"/>
      <c r="E1222" s="116" t="n"/>
      <c r="F1222" s="115" t="n"/>
      <c r="G1222" s="117">
        <f>IF(COUNTA(B1222:E1222)=0,"",IF(COUNTA(B1222:E1222)&lt;4,"⚠ กรอกไม่ครบ",IF(NOT(ISNUMBER(B1222)),"⚠ วันที่ไม่ถูกต้อง",IF(COUNTIFS(Setup!$L$6:$L$60,D1222,Setup!$M$6:$M$60,C1222)=0,"⚠ หมวดไม่ตรงประเภท","✓"))))</f>
        <v/>
      </c>
    </row>
    <row r="1223">
      <c r="B1223" s="113" t="n"/>
      <c r="C1223" s="114" t="n"/>
      <c r="D1223" s="115" t="n"/>
      <c r="E1223" s="116" t="n"/>
      <c r="F1223" s="115" t="n"/>
      <c r="G1223" s="117">
        <f>IF(COUNTA(B1223:E1223)=0,"",IF(COUNTA(B1223:E1223)&lt;4,"⚠ กรอกไม่ครบ",IF(NOT(ISNUMBER(B1223)),"⚠ วันที่ไม่ถูกต้อง",IF(COUNTIFS(Setup!$L$6:$L$60,D1223,Setup!$M$6:$M$60,C1223)=0,"⚠ หมวดไม่ตรงประเภท","✓"))))</f>
        <v/>
      </c>
    </row>
    <row r="1224">
      <c r="B1224" s="113" t="n"/>
      <c r="C1224" s="114" t="n"/>
      <c r="D1224" s="115" t="n"/>
      <c r="E1224" s="116" t="n"/>
      <c r="F1224" s="115" t="n"/>
      <c r="G1224" s="117">
        <f>IF(COUNTA(B1224:E1224)=0,"",IF(COUNTA(B1224:E1224)&lt;4,"⚠ กรอกไม่ครบ",IF(NOT(ISNUMBER(B1224)),"⚠ วันที่ไม่ถูกต้อง",IF(COUNTIFS(Setup!$L$6:$L$60,D1224,Setup!$M$6:$M$60,C1224)=0,"⚠ หมวดไม่ตรงประเภท","✓"))))</f>
        <v/>
      </c>
    </row>
    <row r="1225">
      <c r="B1225" s="113" t="n"/>
      <c r="C1225" s="114" t="n"/>
      <c r="D1225" s="115" t="n"/>
      <c r="E1225" s="116" t="n"/>
      <c r="F1225" s="115" t="n"/>
      <c r="G1225" s="117">
        <f>IF(COUNTA(B1225:E1225)=0,"",IF(COUNTA(B1225:E1225)&lt;4,"⚠ กรอกไม่ครบ",IF(NOT(ISNUMBER(B1225)),"⚠ วันที่ไม่ถูกต้อง",IF(COUNTIFS(Setup!$L$6:$L$60,D1225,Setup!$M$6:$M$60,C1225)=0,"⚠ หมวดไม่ตรงประเภท","✓"))))</f>
        <v/>
      </c>
    </row>
    <row r="1226">
      <c r="B1226" s="113" t="n"/>
      <c r="C1226" s="114" t="n"/>
      <c r="D1226" s="115" t="n"/>
      <c r="E1226" s="116" t="n"/>
      <c r="F1226" s="115" t="n"/>
      <c r="G1226" s="117">
        <f>IF(COUNTA(B1226:E1226)=0,"",IF(COUNTA(B1226:E1226)&lt;4,"⚠ กรอกไม่ครบ",IF(NOT(ISNUMBER(B1226)),"⚠ วันที่ไม่ถูกต้อง",IF(COUNTIFS(Setup!$L$6:$L$60,D1226,Setup!$M$6:$M$60,C1226)=0,"⚠ หมวดไม่ตรงประเภท","✓"))))</f>
        <v/>
      </c>
    </row>
    <row r="1227">
      <c r="B1227" s="113" t="n"/>
      <c r="C1227" s="114" t="n"/>
      <c r="D1227" s="115" t="n"/>
      <c r="E1227" s="116" t="n"/>
      <c r="F1227" s="115" t="n"/>
      <c r="G1227" s="117">
        <f>IF(COUNTA(B1227:E1227)=0,"",IF(COUNTA(B1227:E1227)&lt;4,"⚠ กรอกไม่ครบ",IF(NOT(ISNUMBER(B1227)),"⚠ วันที่ไม่ถูกต้อง",IF(COUNTIFS(Setup!$L$6:$L$60,D1227,Setup!$M$6:$M$60,C1227)=0,"⚠ หมวดไม่ตรงประเภท","✓"))))</f>
        <v/>
      </c>
    </row>
    <row r="1228">
      <c r="B1228" s="113" t="n"/>
      <c r="C1228" s="114" t="n"/>
      <c r="D1228" s="115" t="n"/>
      <c r="E1228" s="116" t="n"/>
      <c r="F1228" s="115" t="n"/>
      <c r="G1228" s="117">
        <f>IF(COUNTA(B1228:E1228)=0,"",IF(COUNTA(B1228:E1228)&lt;4,"⚠ กรอกไม่ครบ",IF(NOT(ISNUMBER(B1228)),"⚠ วันที่ไม่ถูกต้อง",IF(COUNTIFS(Setup!$L$6:$L$60,D1228,Setup!$M$6:$M$60,C1228)=0,"⚠ หมวดไม่ตรงประเภท","✓"))))</f>
        <v/>
      </c>
    </row>
    <row r="1229">
      <c r="B1229" s="113" t="n"/>
      <c r="C1229" s="114" t="n"/>
      <c r="D1229" s="115" t="n"/>
      <c r="E1229" s="116" t="n"/>
      <c r="F1229" s="115" t="n"/>
      <c r="G1229" s="117">
        <f>IF(COUNTA(B1229:E1229)=0,"",IF(COUNTA(B1229:E1229)&lt;4,"⚠ กรอกไม่ครบ",IF(NOT(ISNUMBER(B1229)),"⚠ วันที่ไม่ถูกต้อง",IF(COUNTIFS(Setup!$L$6:$L$60,D1229,Setup!$M$6:$M$60,C1229)=0,"⚠ หมวดไม่ตรงประเภท","✓"))))</f>
        <v/>
      </c>
    </row>
    <row r="1230">
      <c r="B1230" s="113" t="n"/>
      <c r="C1230" s="114" t="n"/>
      <c r="D1230" s="115" t="n"/>
      <c r="E1230" s="116" t="n"/>
      <c r="F1230" s="115" t="n"/>
      <c r="G1230" s="117">
        <f>IF(COUNTA(B1230:E1230)=0,"",IF(COUNTA(B1230:E1230)&lt;4,"⚠ กรอกไม่ครบ",IF(NOT(ISNUMBER(B1230)),"⚠ วันที่ไม่ถูกต้อง",IF(COUNTIFS(Setup!$L$6:$L$60,D1230,Setup!$M$6:$M$60,C1230)=0,"⚠ หมวดไม่ตรงประเภท","✓"))))</f>
        <v/>
      </c>
    </row>
    <row r="1231">
      <c r="B1231" s="113" t="n"/>
      <c r="C1231" s="114" t="n"/>
      <c r="D1231" s="115" t="n"/>
      <c r="E1231" s="116" t="n"/>
      <c r="F1231" s="115" t="n"/>
      <c r="G1231" s="117">
        <f>IF(COUNTA(B1231:E1231)=0,"",IF(COUNTA(B1231:E1231)&lt;4,"⚠ กรอกไม่ครบ",IF(NOT(ISNUMBER(B1231)),"⚠ วันที่ไม่ถูกต้อง",IF(COUNTIFS(Setup!$L$6:$L$60,D1231,Setup!$M$6:$M$60,C1231)=0,"⚠ หมวดไม่ตรงประเภท","✓"))))</f>
        <v/>
      </c>
    </row>
    <row r="1232">
      <c r="B1232" s="113" t="n"/>
      <c r="C1232" s="114" t="n"/>
      <c r="D1232" s="115" t="n"/>
      <c r="E1232" s="116" t="n"/>
      <c r="F1232" s="115" t="n"/>
      <c r="G1232" s="117">
        <f>IF(COUNTA(B1232:E1232)=0,"",IF(COUNTA(B1232:E1232)&lt;4,"⚠ กรอกไม่ครบ",IF(NOT(ISNUMBER(B1232)),"⚠ วันที่ไม่ถูกต้อง",IF(COUNTIFS(Setup!$L$6:$L$60,D1232,Setup!$M$6:$M$60,C1232)=0,"⚠ หมวดไม่ตรงประเภท","✓"))))</f>
        <v/>
      </c>
    </row>
    <row r="1233">
      <c r="B1233" s="113" t="n"/>
      <c r="C1233" s="114" t="n"/>
      <c r="D1233" s="115" t="n"/>
      <c r="E1233" s="116" t="n"/>
      <c r="F1233" s="115" t="n"/>
      <c r="G1233" s="117">
        <f>IF(COUNTA(B1233:E1233)=0,"",IF(COUNTA(B1233:E1233)&lt;4,"⚠ กรอกไม่ครบ",IF(NOT(ISNUMBER(B1233)),"⚠ วันที่ไม่ถูกต้อง",IF(COUNTIFS(Setup!$L$6:$L$60,D1233,Setup!$M$6:$M$60,C1233)=0,"⚠ หมวดไม่ตรงประเภท","✓"))))</f>
        <v/>
      </c>
    </row>
    <row r="1234">
      <c r="B1234" s="113" t="n"/>
      <c r="C1234" s="114" t="n"/>
      <c r="D1234" s="115" t="n"/>
      <c r="E1234" s="116" t="n"/>
      <c r="F1234" s="115" t="n"/>
      <c r="G1234" s="117">
        <f>IF(COUNTA(B1234:E1234)=0,"",IF(COUNTA(B1234:E1234)&lt;4,"⚠ กรอกไม่ครบ",IF(NOT(ISNUMBER(B1234)),"⚠ วันที่ไม่ถูกต้อง",IF(COUNTIFS(Setup!$L$6:$L$60,D1234,Setup!$M$6:$M$60,C1234)=0,"⚠ หมวดไม่ตรงประเภท","✓"))))</f>
        <v/>
      </c>
    </row>
    <row r="1235">
      <c r="B1235" s="113" t="n"/>
      <c r="C1235" s="114" t="n"/>
      <c r="D1235" s="115" t="n"/>
      <c r="E1235" s="116" t="n"/>
      <c r="F1235" s="115" t="n"/>
      <c r="G1235" s="117">
        <f>IF(COUNTA(B1235:E1235)=0,"",IF(COUNTA(B1235:E1235)&lt;4,"⚠ กรอกไม่ครบ",IF(NOT(ISNUMBER(B1235)),"⚠ วันที่ไม่ถูกต้อง",IF(COUNTIFS(Setup!$L$6:$L$60,D1235,Setup!$M$6:$M$60,C1235)=0,"⚠ หมวดไม่ตรงประเภท","✓"))))</f>
        <v/>
      </c>
    </row>
    <row r="1236">
      <c r="B1236" s="113" t="n"/>
      <c r="C1236" s="114" t="n"/>
      <c r="D1236" s="115" t="n"/>
      <c r="E1236" s="116" t="n"/>
      <c r="F1236" s="115" t="n"/>
      <c r="G1236" s="117">
        <f>IF(COUNTA(B1236:E1236)=0,"",IF(COUNTA(B1236:E1236)&lt;4,"⚠ กรอกไม่ครบ",IF(NOT(ISNUMBER(B1236)),"⚠ วันที่ไม่ถูกต้อง",IF(COUNTIFS(Setup!$L$6:$L$60,D1236,Setup!$M$6:$M$60,C1236)=0,"⚠ หมวดไม่ตรงประเภท","✓"))))</f>
        <v/>
      </c>
    </row>
    <row r="1237">
      <c r="B1237" s="113" t="n"/>
      <c r="C1237" s="114" t="n"/>
      <c r="D1237" s="115" t="n"/>
      <c r="E1237" s="116" t="n"/>
      <c r="F1237" s="115" t="n"/>
      <c r="G1237" s="117">
        <f>IF(COUNTA(B1237:E1237)=0,"",IF(COUNTA(B1237:E1237)&lt;4,"⚠ กรอกไม่ครบ",IF(NOT(ISNUMBER(B1237)),"⚠ วันที่ไม่ถูกต้อง",IF(COUNTIFS(Setup!$L$6:$L$60,D1237,Setup!$M$6:$M$60,C1237)=0,"⚠ หมวดไม่ตรงประเภท","✓"))))</f>
        <v/>
      </c>
    </row>
    <row r="1238">
      <c r="B1238" s="113" t="n"/>
      <c r="C1238" s="114" t="n"/>
      <c r="D1238" s="115" t="n"/>
      <c r="E1238" s="116" t="n"/>
      <c r="F1238" s="115" t="n"/>
      <c r="G1238" s="117">
        <f>IF(COUNTA(B1238:E1238)=0,"",IF(COUNTA(B1238:E1238)&lt;4,"⚠ กรอกไม่ครบ",IF(NOT(ISNUMBER(B1238)),"⚠ วันที่ไม่ถูกต้อง",IF(COUNTIFS(Setup!$L$6:$L$60,D1238,Setup!$M$6:$M$60,C1238)=0,"⚠ หมวดไม่ตรงประเภท","✓"))))</f>
        <v/>
      </c>
    </row>
    <row r="1239">
      <c r="B1239" s="113" t="n"/>
      <c r="C1239" s="114" t="n"/>
      <c r="D1239" s="115" t="n"/>
      <c r="E1239" s="116" t="n"/>
      <c r="F1239" s="115" t="n"/>
      <c r="G1239" s="117">
        <f>IF(COUNTA(B1239:E1239)=0,"",IF(COUNTA(B1239:E1239)&lt;4,"⚠ กรอกไม่ครบ",IF(NOT(ISNUMBER(B1239)),"⚠ วันที่ไม่ถูกต้อง",IF(COUNTIFS(Setup!$L$6:$L$60,D1239,Setup!$M$6:$M$60,C1239)=0,"⚠ หมวดไม่ตรงประเภท","✓"))))</f>
        <v/>
      </c>
    </row>
    <row r="1240">
      <c r="B1240" s="113" t="n"/>
      <c r="C1240" s="114" t="n"/>
      <c r="D1240" s="115" t="n"/>
      <c r="E1240" s="116" t="n"/>
      <c r="F1240" s="115" t="n"/>
      <c r="G1240" s="117">
        <f>IF(COUNTA(B1240:E1240)=0,"",IF(COUNTA(B1240:E1240)&lt;4,"⚠ กรอกไม่ครบ",IF(NOT(ISNUMBER(B1240)),"⚠ วันที่ไม่ถูกต้อง",IF(COUNTIFS(Setup!$L$6:$L$60,D1240,Setup!$M$6:$M$60,C1240)=0,"⚠ หมวดไม่ตรงประเภท","✓"))))</f>
        <v/>
      </c>
    </row>
    <row r="1241">
      <c r="B1241" s="113" t="n"/>
      <c r="C1241" s="114" t="n"/>
      <c r="D1241" s="115" t="n"/>
      <c r="E1241" s="116" t="n"/>
      <c r="F1241" s="115" t="n"/>
      <c r="G1241" s="117">
        <f>IF(COUNTA(B1241:E1241)=0,"",IF(COUNTA(B1241:E1241)&lt;4,"⚠ กรอกไม่ครบ",IF(NOT(ISNUMBER(B1241)),"⚠ วันที่ไม่ถูกต้อง",IF(COUNTIFS(Setup!$L$6:$L$60,D1241,Setup!$M$6:$M$60,C1241)=0,"⚠ หมวดไม่ตรงประเภท","✓"))))</f>
        <v/>
      </c>
    </row>
    <row r="1242">
      <c r="B1242" s="113" t="n"/>
      <c r="C1242" s="114" t="n"/>
      <c r="D1242" s="115" t="n"/>
      <c r="E1242" s="116" t="n"/>
      <c r="F1242" s="115" t="n"/>
      <c r="G1242" s="117">
        <f>IF(COUNTA(B1242:E1242)=0,"",IF(COUNTA(B1242:E1242)&lt;4,"⚠ กรอกไม่ครบ",IF(NOT(ISNUMBER(B1242)),"⚠ วันที่ไม่ถูกต้อง",IF(COUNTIFS(Setup!$L$6:$L$60,D1242,Setup!$M$6:$M$60,C1242)=0,"⚠ หมวดไม่ตรงประเภท","✓"))))</f>
        <v/>
      </c>
    </row>
    <row r="1243">
      <c r="B1243" s="113" t="n"/>
      <c r="C1243" s="114" t="n"/>
      <c r="D1243" s="115" t="n"/>
      <c r="E1243" s="116" t="n"/>
      <c r="F1243" s="115" t="n"/>
      <c r="G1243" s="117">
        <f>IF(COUNTA(B1243:E1243)=0,"",IF(COUNTA(B1243:E1243)&lt;4,"⚠ กรอกไม่ครบ",IF(NOT(ISNUMBER(B1243)),"⚠ วันที่ไม่ถูกต้อง",IF(COUNTIFS(Setup!$L$6:$L$60,D1243,Setup!$M$6:$M$60,C1243)=0,"⚠ หมวดไม่ตรงประเภท","✓"))))</f>
        <v/>
      </c>
    </row>
    <row r="1244">
      <c r="B1244" s="113" t="n"/>
      <c r="C1244" s="114" t="n"/>
      <c r="D1244" s="115" t="n"/>
      <c r="E1244" s="116" t="n"/>
      <c r="F1244" s="115" t="n"/>
      <c r="G1244" s="117">
        <f>IF(COUNTA(B1244:E1244)=0,"",IF(COUNTA(B1244:E1244)&lt;4,"⚠ กรอกไม่ครบ",IF(NOT(ISNUMBER(B1244)),"⚠ วันที่ไม่ถูกต้อง",IF(COUNTIFS(Setup!$L$6:$L$60,D1244,Setup!$M$6:$M$60,C1244)=0,"⚠ หมวดไม่ตรงประเภท","✓"))))</f>
        <v/>
      </c>
    </row>
    <row r="1245">
      <c r="B1245" s="113" t="n"/>
      <c r="C1245" s="114" t="n"/>
      <c r="D1245" s="115" t="n"/>
      <c r="E1245" s="116" t="n"/>
      <c r="F1245" s="115" t="n"/>
      <c r="G1245" s="117">
        <f>IF(COUNTA(B1245:E1245)=0,"",IF(COUNTA(B1245:E1245)&lt;4,"⚠ กรอกไม่ครบ",IF(NOT(ISNUMBER(B1245)),"⚠ วันที่ไม่ถูกต้อง",IF(COUNTIFS(Setup!$L$6:$L$60,D1245,Setup!$M$6:$M$60,C1245)=0,"⚠ หมวดไม่ตรงประเภท","✓"))))</f>
        <v/>
      </c>
    </row>
    <row r="1246">
      <c r="B1246" s="113" t="n"/>
      <c r="C1246" s="114" t="n"/>
      <c r="D1246" s="115" t="n"/>
      <c r="E1246" s="116" t="n"/>
      <c r="F1246" s="115" t="n"/>
      <c r="G1246" s="117">
        <f>IF(COUNTA(B1246:E1246)=0,"",IF(COUNTA(B1246:E1246)&lt;4,"⚠ กรอกไม่ครบ",IF(NOT(ISNUMBER(B1246)),"⚠ วันที่ไม่ถูกต้อง",IF(COUNTIFS(Setup!$L$6:$L$60,D1246,Setup!$M$6:$M$60,C1246)=0,"⚠ หมวดไม่ตรงประเภท","✓"))))</f>
        <v/>
      </c>
    </row>
    <row r="1247">
      <c r="B1247" s="113" t="n"/>
      <c r="C1247" s="114" t="n"/>
      <c r="D1247" s="115" t="n"/>
      <c r="E1247" s="116" t="n"/>
      <c r="F1247" s="115" t="n"/>
      <c r="G1247" s="117">
        <f>IF(COUNTA(B1247:E1247)=0,"",IF(COUNTA(B1247:E1247)&lt;4,"⚠ กรอกไม่ครบ",IF(NOT(ISNUMBER(B1247)),"⚠ วันที่ไม่ถูกต้อง",IF(COUNTIFS(Setup!$L$6:$L$60,D1247,Setup!$M$6:$M$60,C1247)=0,"⚠ หมวดไม่ตรงประเภท","✓"))))</f>
        <v/>
      </c>
    </row>
    <row r="1248">
      <c r="B1248" s="113" t="n"/>
      <c r="C1248" s="114" t="n"/>
      <c r="D1248" s="115" t="n"/>
      <c r="E1248" s="116" t="n"/>
      <c r="F1248" s="115" t="n"/>
      <c r="G1248" s="117">
        <f>IF(COUNTA(B1248:E1248)=0,"",IF(COUNTA(B1248:E1248)&lt;4,"⚠ กรอกไม่ครบ",IF(NOT(ISNUMBER(B1248)),"⚠ วันที่ไม่ถูกต้อง",IF(COUNTIFS(Setup!$L$6:$L$60,D1248,Setup!$M$6:$M$60,C1248)=0,"⚠ หมวดไม่ตรงประเภท","✓"))))</f>
        <v/>
      </c>
    </row>
    <row r="1249">
      <c r="B1249" s="113" t="n"/>
      <c r="C1249" s="114" t="n"/>
      <c r="D1249" s="115" t="n"/>
      <c r="E1249" s="116" t="n"/>
      <c r="F1249" s="115" t="n"/>
      <c r="G1249" s="117">
        <f>IF(COUNTA(B1249:E1249)=0,"",IF(COUNTA(B1249:E1249)&lt;4,"⚠ กรอกไม่ครบ",IF(NOT(ISNUMBER(B1249)),"⚠ วันที่ไม่ถูกต้อง",IF(COUNTIFS(Setup!$L$6:$L$60,D1249,Setup!$M$6:$M$60,C1249)=0,"⚠ หมวดไม่ตรงประเภท","✓"))))</f>
        <v/>
      </c>
    </row>
    <row r="1250">
      <c r="B1250" s="113" t="n"/>
      <c r="C1250" s="114" t="n"/>
      <c r="D1250" s="115" t="n"/>
      <c r="E1250" s="116" t="n"/>
      <c r="F1250" s="115" t="n"/>
      <c r="G1250" s="117">
        <f>IF(COUNTA(B1250:E1250)=0,"",IF(COUNTA(B1250:E1250)&lt;4,"⚠ กรอกไม่ครบ",IF(NOT(ISNUMBER(B1250)),"⚠ วันที่ไม่ถูกต้อง",IF(COUNTIFS(Setup!$L$6:$L$60,D1250,Setup!$M$6:$M$60,C1250)=0,"⚠ หมวดไม่ตรงประเภท","✓"))))</f>
        <v/>
      </c>
    </row>
    <row r="1251">
      <c r="B1251" s="113" t="n"/>
      <c r="C1251" s="114" t="n"/>
      <c r="D1251" s="115" t="n"/>
      <c r="E1251" s="116" t="n"/>
      <c r="F1251" s="115" t="n"/>
      <c r="G1251" s="117">
        <f>IF(COUNTA(B1251:E1251)=0,"",IF(COUNTA(B1251:E1251)&lt;4,"⚠ กรอกไม่ครบ",IF(NOT(ISNUMBER(B1251)),"⚠ วันที่ไม่ถูกต้อง",IF(COUNTIFS(Setup!$L$6:$L$60,D1251,Setup!$M$6:$M$60,C1251)=0,"⚠ หมวดไม่ตรงประเภท","✓"))))</f>
        <v/>
      </c>
    </row>
    <row r="1252">
      <c r="B1252" s="113" t="n"/>
      <c r="C1252" s="114" t="n"/>
      <c r="D1252" s="115" t="n"/>
      <c r="E1252" s="116" t="n"/>
      <c r="F1252" s="115" t="n"/>
      <c r="G1252" s="117">
        <f>IF(COUNTA(B1252:E1252)=0,"",IF(COUNTA(B1252:E1252)&lt;4,"⚠ กรอกไม่ครบ",IF(NOT(ISNUMBER(B1252)),"⚠ วันที่ไม่ถูกต้อง",IF(COUNTIFS(Setup!$L$6:$L$60,D1252,Setup!$M$6:$M$60,C1252)=0,"⚠ หมวดไม่ตรงประเภท","✓"))))</f>
        <v/>
      </c>
    </row>
    <row r="1253">
      <c r="B1253" s="113" t="n"/>
      <c r="C1253" s="114" t="n"/>
      <c r="D1253" s="115" t="n"/>
      <c r="E1253" s="116" t="n"/>
      <c r="F1253" s="115" t="n"/>
      <c r="G1253" s="117">
        <f>IF(COUNTA(B1253:E1253)=0,"",IF(COUNTA(B1253:E1253)&lt;4,"⚠ กรอกไม่ครบ",IF(NOT(ISNUMBER(B1253)),"⚠ วันที่ไม่ถูกต้อง",IF(COUNTIFS(Setup!$L$6:$L$60,D1253,Setup!$M$6:$M$60,C1253)=0,"⚠ หมวดไม่ตรงประเภท","✓"))))</f>
        <v/>
      </c>
    </row>
    <row r="1254">
      <c r="B1254" s="113" t="n"/>
      <c r="C1254" s="114" t="n"/>
      <c r="D1254" s="115" t="n"/>
      <c r="E1254" s="116" t="n"/>
      <c r="F1254" s="115" t="n"/>
      <c r="G1254" s="117">
        <f>IF(COUNTA(B1254:E1254)=0,"",IF(COUNTA(B1254:E1254)&lt;4,"⚠ กรอกไม่ครบ",IF(NOT(ISNUMBER(B1254)),"⚠ วันที่ไม่ถูกต้อง",IF(COUNTIFS(Setup!$L$6:$L$60,D1254,Setup!$M$6:$M$60,C1254)=0,"⚠ หมวดไม่ตรงประเภท","✓"))))</f>
        <v/>
      </c>
    </row>
    <row r="1255">
      <c r="B1255" s="113" t="n"/>
      <c r="C1255" s="114" t="n"/>
      <c r="D1255" s="115" t="n"/>
      <c r="E1255" s="116" t="n"/>
      <c r="F1255" s="115" t="n"/>
      <c r="G1255" s="117">
        <f>IF(COUNTA(B1255:E1255)=0,"",IF(COUNTA(B1255:E1255)&lt;4,"⚠ กรอกไม่ครบ",IF(NOT(ISNUMBER(B1255)),"⚠ วันที่ไม่ถูกต้อง",IF(COUNTIFS(Setup!$L$6:$L$60,D1255,Setup!$M$6:$M$60,C1255)=0,"⚠ หมวดไม่ตรงประเภท","✓"))))</f>
        <v/>
      </c>
    </row>
    <row r="1256">
      <c r="B1256" s="113" t="n"/>
      <c r="C1256" s="114" t="n"/>
      <c r="D1256" s="115" t="n"/>
      <c r="E1256" s="116" t="n"/>
      <c r="F1256" s="115" t="n"/>
      <c r="G1256" s="117">
        <f>IF(COUNTA(B1256:E1256)=0,"",IF(COUNTA(B1256:E1256)&lt;4,"⚠ กรอกไม่ครบ",IF(NOT(ISNUMBER(B1256)),"⚠ วันที่ไม่ถูกต้อง",IF(COUNTIFS(Setup!$L$6:$L$60,D1256,Setup!$M$6:$M$60,C1256)=0,"⚠ หมวดไม่ตรงประเภท","✓"))))</f>
        <v/>
      </c>
    </row>
    <row r="1257">
      <c r="B1257" s="113" t="n"/>
      <c r="C1257" s="114" t="n"/>
      <c r="D1257" s="115" t="n"/>
      <c r="E1257" s="116" t="n"/>
      <c r="F1257" s="115" t="n"/>
      <c r="G1257" s="117">
        <f>IF(COUNTA(B1257:E1257)=0,"",IF(COUNTA(B1257:E1257)&lt;4,"⚠ กรอกไม่ครบ",IF(NOT(ISNUMBER(B1257)),"⚠ วันที่ไม่ถูกต้อง",IF(COUNTIFS(Setup!$L$6:$L$60,D1257,Setup!$M$6:$M$60,C1257)=0,"⚠ หมวดไม่ตรงประเภท","✓"))))</f>
        <v/>
      </c>
    </row>
    <row r="1258">
      <c r="B1258" s="113" t="n"/>
      <c r="C1258" s="114" t="n"/>
      <c r="D1258" s="115" t="n"/>
      <c r="E1258" s="116" t="n"/>
      <c r="F1258" s="115" t="n"/>
      <c r="G1258" s="117">
        <f>IF(COUNTA(B1258:E1258)=0,"",IF(COUNTA(B1258:E1258)&lt;4,"⚠ กรอกไม่ครบ",IF(NOT(ISNUMBER(B1258)),"⚠ วันที่ไม่ถูกต้อง",IF(COUNTIFS(Setup!$L$6:$L$60,D1258,Setup!$M$6:$M$60,C1258)=0,"⚠ หมวดไม่ตรงประเภท","✓"))))</f>
        <v/>
      </c>
    </row>
    <row r="1259">
      <c r="B1259" s="113" t="n"/>
      <c r="C1259" s="114" t="n"/>
      <c r="D1259" s="115" t="n"/>
      <c r="E1259" s="116" t="n"/>
      <c r="F1259" s="115" t="n"/>
      <c r="G1259" s="117">
        <f>IF(COUNTA(B1259:E1259)=0,"",IF(COUNTA(B1259:E1259)&lt;4,"⚠ กรอกไม่ครบ",IF(NOT(ISNUMBER(B1259)),"⚠ วันที่ไม่ถูกต้อง",IF(COUNTIFS(Setup!$L$6:$L$60,D1259,Setup!$M$6:$M$60,C1259)=0,"⚠ หมวดไม่ตรงประเภท","✓"))))</f>
        <v/>
      </c>
    </row>
    <row r="1260">
      <c r="B1260" s="113" t="n"/>
      <c r="C1260" s="114" t="n"/>
      <c r="D1260" s="115" t="n"/>
      <c r="E1260" s="116" t="n"/>
      <c r="F1260" s="115" t="n"/>
      <c r="G1260" s="117">
        <f>IF(COUNTA(B1260:E1260)=0,"",IF(COUNTA(B1260:E1260)&lt;4,"⚠ กรอกไม่ครบ",IF(NOT(ISNUMBER(B1260)),"⚠ วันที่ไม่ถูกต้อง",IF(COUNTIFS(Setup!$L$6:$L$60,D1260,Setup!$M$6:$M$60,C1260)=0,"⚠ หมวดไม่ตรงประเภท","✓"))))</f>
        <v/>
      </c>
    </row>
    <row r="1261">
      <c r="B1261" s="113" t="n"/>
      <c r="C1261" s="114" t="n"/>
      <c r="D1261" s="115" t="n"/>
      <c r="E1261" s="116" t="n"/>
      <c r="F1261" s="115" t="n"/>
      <c r="G1261" s="117">
        <f>IF(COUNTA(B1261:E1261)=0,"",IF(COUNTA(B1261:E1261)&lt;4,"⚠ กรอกไม่ครบ",IF(NOT(ISNUMBER(B1261)),"⚠ วันที่ไม่ถูกต้อง",IF(COUNTIFS(Setup!$L$6:$L$60,D1261,Setup!$M$6:$M$60,C1261)=0,"⚠ หมวดไม่ตรงประเภท","✓"))))</f>
        <v/>
      </c>
    </row>
    <row r="1262">
      <c r="B1262" s="113" t="n"/>
      <c r="C1262" s="114" t="n"/>
      <c r="D1262" s="115" t="n"/>
      <c r="E1262" s="116" t="n"/>
      <c r="F1262" s="115" t="n"/>
      <c r="G1262" s="117">
        <f>IF(COUNTA(B1262:E1262)=0,"",IF(COUNTA(B1262:E1262)&lt;4,"⚠ กรอกไม่ครบ",IF(NOT(ISNUMBER(B1262)),"⚠ วันที่ไม่ถูกต้อง",IF(COUNTIFS(Setup!$L$6:$L$60,D1262,Setup!$M$6:$M$60,C1262)=0,"⚠ หมวดไม่ตรงประเภท","✓"))))</f>
        <v/>
      </c>
    </row>
    <row r="1263">
      <c r="B1263" s="113" t="n"/>
      <c r="C1263" s="114" t="n"/>
      <c r="D1263" s="115" t="n"/>
      <c r="E1263" s="116" t="n"/>
      <c r="F1263" s="115" t="n"/>
      <c r="G1263" s="117">
        <f>IF(COUNTA(B1263:E1263)=0,"",IF(COUNTA(B1263:E1263)&lt;4,"⚠ กรอกไม่ครบ",IF(NOT(ISNUMBER(B1263)),"⚠ วันที่ไม่ถูกต้อง",IF(COUNTIFS(Setup!$L$6:$L$60,D1263,Setup!$M$6:$M$60,C1263)=0,"⚠ หมวดไม่ตรงประเภท","✓"))))</f>
        <v/>
      </c>
    </row>
    <row r="1264">
      <c r="B1264" s="113" t="n"/>
      <c r="C1264" s="114" t="n"/>
      <c r="D1264" s="115" t="n"/>
      <c r="E1264" s="116" t="n"/>
      <c r="F1264" s="115" t="n"/>
      <c r="G1264" s="117">
        <f>IF(COUNTA(B1264:E1264)=0,"",IF(COUNTA(B1264:E1264)&lt;4,"⚠ กรอกไม่ครบ",IF(NOT(ISNUMBER(B1264)),"⚠ วันที่ไม่ถูกต้อง",IF(COUNTIFS(Setup!$L$6:$L$60,D1264,Setup!$M$6:$M$60,C1264)=0,"⚠ หมวดไม่ตรงประเภท","✓"))))</f>
        <v/>
      </c>
    </row>
    <row r="1265">
      <c r="B1265" s="113" t="n"/>
      <c r="C1265" s="114" t="n"/>
      <c r="D1265" s="115" t="n"/>
      <c r="E1265" s="116" t="n"/>
      <c r="F1265" s="115" t="n"/>
      <c r="G1265" s="117">
        <f>IF(COUNTA(B1265:E1265)=0,"",IF(COUNTA(B1265:E1265)&lt;4,"⚠ กรอกไม่ครบ",IF(NOT(ISNUMBER(B1265)),"⚠ วันที่ไม่ถูกต้อง",IF(COUNTIFS(Setup!$L$6:$L$60,D1265,Setup!$M$6:$M$60,C1265)=0,"⚠ หมวดไม่ตรงประเภท","✓"))))</f>
        <v/>
      </c>
    </row>
    <row r="1266">
      <c r="B1266" s="113" t="n"/>
      <c r="C1266" s="114" t="n"/>
      <c r="D1266" s="115" t="n"/>
      <c r="E1266" s="116" t="n"/>
      <c r="F1266" s="115" t="n"/>
      <c r="G1266" s="117">
        <f>IF(COUNTA(B1266:E1266)=0,"",IF(COUNTA(B1266:E1266)&lt;4,"⚠ กรอกไม่ครบ",IF(NOT(ISNUMBER(B1266)),"⚠ วันที่ไม่ถูกต้อง",IF(COUNTIFS(Setup!$L$6:$L$60,D1266,Setup!$M$6:$M$60,C1266)=0,"⚠ หมวดไม่ตรงประเภท","✓"))))</f>
        <v/>
      </c>
    </row>
    <row r="1267">
      <c r="B1267" s="113" t="n"/>
      <c r="C1267" s="114" t="n"/>
      <c r="D1267" s="115" t="n"/>
      <c r="E1267" s="116" t="n"/>
      <c r="F1267" s="115" t="n"/>
      <c r="G1267" s="117">
        <f>IF(COUNTA(B1267:E1267)=0,"",IF(COUNTA(B1267:E1267)&lt;4,"⚠ กรอกไม่ครบ",IF(NOT(ISNUMBER(B1267)),"⚠ วันที่ไม่ถูกต้อง",IF(COUNTIFS(Setup!$L$6:$L$60,D1267,Setup!$M$6:$M$60,C1267)=0,"⚠ หมวดไม่ตรงประเภท","✓"))))</f>
        <v/>
      </c>
    </row>
    <row r="1268">
      <c r="B1268" s="113" t="n"/>
      <c r="C1268" s="114" t="n"/>
      <c r="D1268" s="115" t="n"/>
      <c r="E1268" s="116" t="n"/>
      <c r="F1268" s="115" t="n"/>
      <c r="G1268" s="117">
        <f>IF(COUNTA(B1268:E1268)=0,"",IF(COUNTA(B1268:E1268)&lt;4,"⚠ กรอกไม่ครบ",IF(NOT(ISNUMBER(B1268)),"⚠ วันที่ไม่ถูกต้อง",IF(COUNTIFS(Setup!$L$6:$L$60,D1268,Setup!$M$6:$M$60,C1268)=0,"⚠ หมวดไม่ตรงประเภท","✓"))))</f>
        <v/>
      </c>
    </row>
    <row r="1269">
      <c r="B1269" s="113" t="n"/>
      <c r="C1269" s="114" t="n"/>
      <c r="D1269" s="115" t="n"/>
      <c r="E1269" s="116" t="n"/>
      <c r="F1269" s="115" t="n"/>
      <c r="G1269" s="117">
        <f>IF(COUNTA(B1269:E1269)=0,"",IF(COUNTA(B1269:E1269)&lt;4,"⚠ กรอกไม่ครบ",IF(NOT(ISNUMBER(B1269)),"⚠ วันที่ไม่ถูกต้อง",IF(COUNTIFS(Setup!$L$6:$L$60,D1269,Setup!$M$6:$M$60,C1269)=0,"⚠ หมวดไม่ตรงประเภท","✓"))))</f>
        <v/>
      </c>
    </row>
    <row r="1270">
      <c r="B1270" s="113" t="n"/>
      <c r="C1270" s="114" t="n"/>
      <c r="D1270" s="115" t="n"/>
      <c r="E1270" s="116" t="n"/>
      <c r="F1270" s="115" t="n"/>
      <c r="G1270" s="117">
        <f>IF(COUNTA(B1270:E1270)=0,"",IF(COUNTA(B1270:E1270)&lt;4,"⚠ กรอกไม่ครบ",IF(NOT(ISNUMBER(B1270)),"⚠ วันที่ไม่ถูกต้อง",IF(COUNTIFS(Setup!$L$6:$L$60,D1270,Setup!$M$6:$M$60,C1270)=0,"⚠ หมวดไม่ตรงประเภท","✓"))))</f>
        <v/>
      </c>
    </row>
    <row r="1271">
      <c r="B1271" s="113" t="n"/>
      <c r="C1271" s="114" t="n"/>
      <c r="D1271" s="115" t="n"/>
      <c r="E1271" s="116" t="n"/>
      <c r="F1271" s="115" t="n"/>
      <c r="G1271" s="117">
        <f>IF(COUNTA(B1271:E1271)=0,"",IF(COUNTA(B1271:E1271)&lt;4,"⚠ กรอกไม่ครบ",IF(NOT(ISNUMBER(B1271)),"⚠ วันที่ไม่ถูกต้อง",IF(COUNTIFS(Setup!$L$6:$L$60,D1271,Setup!$M$6:$M$60,C1271)=0,"⚠ หมวดไม่ตรงประเภท","✓"))))</f>
        <v/>
      </c>
    </row>
    <row r="1272">
      <c r="B1272" s="113" t="n"/>
      <c r="C1272" s="114" t="n"/>
      <c r="D1272" s="115" t="n"/>
      <c r="E1272" s="116" t="n"/>
      <c r="F1272" s="115" t="n"/>
      <c r="G1272" s="117">
        <f>IF(COUNTA(B1272:E1272)=0,"",IF(COUNTA(B1272:E1272)&lt;4,"⚠ กรอกไม่ครบ",IF(NOT(ISNUMBER(B1272)),"⚠ วันที่ไม่ถูกต้อง",IF(COUNTIFS(Setup!$L$6:$L$60,D1272,Setup!$M$6:$M$60,C1272)=0,"⚠ หมวดไม่ตรงประเภท","✓"))))</f>
        <v/>
      </c>
    </row>
    <row r="1273">
      <c r="B1273" s="113" t="n"/>
      <c r="C1273" s="114" t="n"/>
      <c r="D1273" s="115" t="n"/>
      <c r="E1273" s="116" t="n"/>
      <c r="F1273" s="115" t="n"/>
      <c r="G1273" s="117">
        <f>IF(COUNTA(B1273:E1273)=0,"",IF(COUNTA(B1273:E1273)&lt;4,"⚠ กรอกไม่ครบ",IF(NOT(ISNUMBER(B1273)),"⚠ วันที่ไม่ถูกต้อง",IF(COUNTIFS(Setup!$L$6:$L$60,D1273,Setup!$M$6:$M$60,C1273)=0,"⚠ หมวดไม่ตรงประเภท","✓"))))</f>
        <v/>
      </c>
    </row>
    <row r="1274">
      <c r="B1274" s="113" t="n"/>
      <c r="C1274" s="114" t="n"/>
      <c r="D1274" s="115" t="n"/>
      <c r="E1274" s="116" t="n"/>
      <c r="F1274" s="115" t="n"/>
      <c r="G1274" s="117">
        <f>IF(COUNTA(B1274:E1274)=0,"",IF(COUNTA(B1274:E1274)&lt;4,"⚠ กรอกไม่ครบ",IF(NOT(ISNUMBER(B1274)),"⚠ วันที่ไม่ถูกต้อง",IF(COUNTIFS(Setup!$L$6:$L$60,D1274,Setup!$M$6:$M$60,C1274)=0,"⚠ หมวดไม่ตรงประเภท","✓"))))</f>
        <v/>
      </c>
    </row>
    <row r="1275">
      <c r="B1275" s="113" t="n"/>
      <c r="C1275" s="114" t="n"/>
      <c r="D1275" s="115" t="n"/>
      <c r="E1275" s="116" t="n"/>
      <c r="F1275" s="115" t="n"/>
      <c r="G1275" s="117">
        <f>IF(COUNTA(B1275:E1275)=0,"",IF(COUNTA(B1275:E1275)&lt;4,"⚠ กรอกไม่ครบ",IF(NOT(ISNUMBER(B1275)),"⚠ วันที่ไม่ถูกต้อง",IF(COUNTIFS(Setup!$L$6:$L$60,D1275,Setup!$M$6:$M$60,C1275)=0,"⚠ หมวดไม่ตรงประเภท","✓"))))</f>
        <v/>
      </c>
    </row>
    <row r="1276">
      <c r="B1276" s="113" t="n"/>
      <c r="C1276" s="114" t="n"/>
      <c r="D1276" s="115" t="n"/>
      <c r="E1276" s="116" t="n"/>
      <c r="F1276" s="115" t="n"/>
      <c r="G1276" s="117">
        <f>IF(COUNTA(B1276:E1276)=0,"",IF(COUNTA(B1276:E1276)&lt;4,"⚠ กรอกไม่ครบ",IF(NOT(ISNUMBER(B1276)),"⚠ วันที่ไม่ถูกต้อง",IF(COUNTIFS(Setup!$L$6:$L$60,D1276,Setup!$M$6:$M$60,C1276)=0,"⚠ หมวดไม่ตรงประเภท","✓"))))</f>
        <v/>
      </c>
    </row>
    <row r="1277">
      <c r="B1277" s="113" t="n"/>
      <c r="C1277" s="114" t="n"/>
      <c r="D1277" s="115" t="n"/>
      <c r="E1277" s="116" t="n"/>
      <c r="F1277" s="115" t="n"/>
      <c r="G1277" s="117">
        <f>IF(COUNTA(B1277:E1277)=0,"",IF(COUNTA(B1277:E1277)&lt;4,"⚠ กรอกไม่ครบ",IF(NOT(ISNUMBER(B1277)),"⚠ วันที่ไม่ถูกต้อง",IF(COUNTIFS(Setup!$L$6:$L$60,D1277,Setup!$M$6:$M$60,C1277)=0,"⚠ หมวดไม่ตรงประเภท","✓"))))</f>
        <v/>
      </c>
    </row>
    <row r="1278">
      <c r="B1278" s="113" t="n"/>
      <c r="C1278" s="114" t="n"/>
      <c r="D1278" s="115" t="n"/>
      <c r="E1278" s="116" t="n"/>
      <c r="F1278" s="115" t="n"/>
      <c r="G1278" s="117">
        <f>IF(COUNTA(B1278:E1278)=0,"",IF(COUNTA(B1278:E1278)&lt;4,"⚠ กรอกไม่ครบ",IF(NOT(ISNUMBER(B1278)),"⚠ วันที่ไม่ถูกต้อง",IF(COUNTIFS(Setup!$L$6:$L$60,D1278,Setup!$M$6:$M$60,C1278)=0,"⚠ หมวดไม่ตรงประเภท","✓"))))</f>
        <v/>
      </c>
    </row>
    <row r="1279">
      <c r="B1279" s="113" t="n"/>
      <c r="C1279" s="114" t="n"/>
      <c r="D1279" s="115" t="n"/>
      <c r="E1279" s="116" t="n"/>
      <c r="F1279" s="115" t="n"/>
      <c r="G1279" s="117">
        <f>IF(COUNTA(B1279:E1279)=0,"",IF(COUNTA(B1279:E1279)&lt;4,"⚠ กรอกไม่ครบ",IF(NOT(ISNUMBER(B1279)),"⚠ วันที่ไม่ถูกต้อง",IF(COUNTIFS(Setup!$L$6:$L$60,D1279,Setup!$M$6:$M$60,C1279)=0,"⚠ หมวดไม่ตรงประเภท","✓"))))</f>
        <v/>
      </c>
    </row>
    <row r="1280">
      <c r="B1280" s="113" t="n"/>
      <c r="C1280" s="114" t="n"/>
      <c r="D1280" s="115" t="n"/>
      <c r="E1280" s="116" t="n"/>
      <c r="F1280" s="115" t="n"/>
      <c r="G1280" s="117">
        <f>IF(COUNTA(B1280:E1280)=0,"",IF(COUNTA(B1280:E1280)&lt;4,"⚠ กรอกไม่ครบ",IF(NOT(ISNUMBER(B1280)),"⚠ วันที่ไม่ถูกต้อง",IF(COUNTIFS(Setup!$L$6:$L$60,D1280,Setup!$M$6:$M$60,C1280)=0,"⚠ หมวดไม่ตรงประเภท","✓"))))</f>
        <v/>
      </c>
    </row>
    <row r="1281">
      <c r="B1281" s="113" t="n"/>
      <c r="C1281" s="114" t="n"/>
      <c r="D1281" s="115" t="n"/>
      <c r="E1281" s="116" t="n"/>
      <c r="F1281" s="115" t="n"/>
      <c r="G1281" s="117">
        <f>IF(COUNTA(B1281:E1281)=0,"",IF(COUNTA(B1281:E1281)&lt;4,"⚠ กรอกไม่ครบ",IF(NOT(ISNUMBER(B1281)),"⚠ วันที่ไม่ถูกต้อง",IF(COUNTIFS(Setup!$L$6:$L$60,D1281,Setup!$M$6:$M$60,C1281)=0,"⚠ หมวดไม่ตรงประเภท","✓"))))</f>
        <v/>
      </c>
    </row>
    <row r="1282">
      <c r="B1282" s="113" t="n"/>
      <c r="C1282" s="114" t="n"/>
      <c r="D1282" s="115" t="n"/>
      <c r="E1282" s="116" t="n"/>
      <c r="F1282" s="115" t="n"/>
      <c r="G1282" s="117">
        <f>IF(COUNTA(B1282:E1282)=0,"",IF(COUNTA(B1282:E1282)&lt;4,"⚠ กรอกไม่ครบ",IF(NOT(ISNUMBER(B1282)),"⚠ วันที่ไม่ถูกต้อง",IF(COUNTIFS(Setup!$L$6:$L$60,D1282,Setup!$M$6:$M$60,C1282)=0,"⚠ หมวดไม่ตรงประเภท","✓"))))</f>
        <v/>
      </c>
    </row>
    <row r="1283">
      <c r="B1283" s="113" t="n"/>
      <c r="C1283" s="114" t="n"/>
      <c r="D1283" s="115" t="n"/>
      <c r="E1283" s="116" t="n"/>
      <c r="F1283" s="115" t="n"/>
      <c r="G1283" s="117">
        <f>IF(COUNTA(B1283:E1283)=0,"",IF(COUNTA(B1283:E1283)&lt;4,"⚠ กรอกไม่ครบ",IF(NOT(ISNUMBER(B1283)),"⚠ วันที่ไม่ถูกต้อง",IF(COUNTIFS(Setup!$L$6:$L$60,D1283,Setup!$M$6:$M$60,C1283)=0,"⚠ หมวดไม่ตรงประเภท","✓"))))</f>
        <v/>
      </c>
    </row>
    <row r="1284">
      <c r="B1284" s="113" t="n"/>
      <c r="C1284" s="114" t="n"/>
      <c r="D1284" s="115" t="n"/>
      <c r="E1284" s="116" t="n"/>
      <c r="F1284" s="115" t="n"/>
      <c r="G1284" s="117">
        <f>IF(COUNTA(B1284:E1284)=0,"",IF(COUNTA(B1284:E1284)&lt;4,"⚠ กรอกไม่ครบ",IF(NOT(ISNUMBER(B1284)),"⚠ วันที่ไม่ถูกต้อง",IF(COUNTIFS(Setup!$L$6:$L$60,D1284,Setup!$M$6:$M$60,C1284)=0,"⚠ หมวดไม่ตรงประเภท","✓"))))</f>
        <v/>
      </c>
    </row>
    <row r="1285">
      <c r="B1285" s="113" t="n"/>
      <c r="C1285" s="114" t="n"/>
      <c r="D1285" s="115" t="n"/>
      <c r="E1285" s="116" t="n"/>
      <c r="F1285" s="115" t="n"/>
      <c r="G1285" s="117">
        <f>IF(COUNTA(B1285:E1285)=0,"",IF(COUNTA(B1285:E1285)&lt;4,"⚠ กรอกไม่ครบ",IF(NOT(ISNUMBER(B1285)),"⚠ วันที่ไม่ถูกต้อง",IF(COUNTIFS(Setup!$L$6:$L$60,D1285,Setup!$M$6:$M$60,C1285)=0,"⚠ หมวดไม่ตรงประเภท","✓"))))</f>
        <v/>
      </c>
    </row>
    <row r="1286">
      <c r="B1286" s="113" t="n"/>
      <c r="C1286" s="114" t="n"/>
      <c r="D1286" s="115" t="n"/>
      <c r="E1286" s="116" t="n"/>
      <c r="F1286" s="115" t="n"/>
      <c r="G1286" s="117">
        <f>IF(COUNTA(B1286:E1286)=0,"",IF(COUNTA(B1286:E1286)&lt;4,"⚠ กรอกไม่ครบ",IF(NOT(ISNUMBER(B1286)),"⚠ วันที่ไม่ถูกต้อง",IF(COUNTIFS(Setup!$L$6:$L$60,D1286,Setup!$M$6:$M$60,C1286)=0,"⚠ หมวดไม่ตรงประเภท","✓"))))</f>
        <v/>
      </c>
    </row>
    <row r="1287">
      <c r="B1287" s="113" t="n"/>
      <c r="C1287" s="114" t="n"/>
      <c r="D1287" s="115" t="n"/>
      <c r="E1287" s="116" t="n"/>
      <c r="F1287" s="115" t="n"/>
      <c r="G1287" s="117">
        <f>IF(COUNTA(B1287:E1287)=0,"",IF(COUNTA(B1287:E1287)&lt;4,"⚠ กรอกไม่ครบ",IF(NOT(ISNUMBER(B1287)),"⚠ วันที่ไม่ถูกต้อง",IF(COUNTIFS(Setup!$L$6:$L$60,D1287,Setup!$M$6:$M$60,C1287)=0,"⚠ หมวดไม่ตรงประเภท","✓"))))</f>
        <v/>
      </c>
    </row>
    <row r="1288">
      <c r="B1288" s="113" t="n"/>
      <c r="C1288" s="114" t="n"/>
      <c r="D1288" s="115" t="n"/>
      <c r="E1288" s="116" t="n"/>
      <c r="F1288" s="115" t="n"/>
      <c r="G1288" s="117">
        <f>IF(COUNTA(B1288:E1288)=0,"",IF(COUNTA(B1288:E1288)&lt;4,"⚠ กรอกไม่ครบ",IF(NOT(ISNUMBER(B1288)),"⚠ วันที่ไม่ถูกต้อง",IF(COUNTIFS(Setup!$L$6:$L$60,D1288,Setup!$M$6:$M$60,C1288)=0,"⚠ หมวดไม่ตรงประเภท","✓"))))</f>
        <v/>
      </c>
    </row>
    <row r="1289">
      <c r="B1289" s="113" t="n"/>
      <c r="C1289" s="114" t="n"/>
      <c r="D1289" s="115" t="n"/>
      <c r="E1289" s="116" t="n"/>
      <c r="F1289" s="115" t="n"/>
      <c r="G1289" s="117">
        <f>IF(COUNTA(B1289:E1289)=0,"",IF(COUNTA(B1289:E1289)&lt;4,"⚠ กรอกไม่ครบ",IF(NOT(ISNUMBER(B1289)),"⚠ วันที่ไม่ถูกต้อง",IF(COUNTIFS(Setup!$L$6:$L$60,D1289,Setup!$M$6:$M$60,C1289)=0,"⚠ หมวดไม่ตรงประเภท","✓"))))</f>
        <v/>
      </c>
    </row>
    <row r="1290">
      <c r="B1290" s="113" t="n"/>
      <c r="C1290" s="114" t="n"/>
      <c r="D1290" s="115" t="n"/>
      <c r="E1290" s="116" t="n"/>
      <c r="F1290" s="115" t="n"/>
      <c r="G1290" s="117">
        <f>IF(COUNTA(B1290:E1290)=0,"",IF(COUNTA(B1290:E1290)&lt;4,"⚠ กรอกไม่ครบ",IF(NOT(ISNUMBER(B1290)),"⚠ วันที่ไม่ถูกต้อง",IF(COUNTIFS(Setup!$L$6:$L$60,D1290,Setup!$M$6:$M$60,C1290)=0,"⚠ หมวดไม่ตรงประเภท","✓"))))</f>
        <v/>
      </c>
    </row>
    <row r="1291">
      <c r="B1291" s="113" t="n"/>
      <c r="C1291" s="114" t="n"/>
      <c r="D1291" s="115" t="n"/>
      <c r="E1291" s="116" t="n"/>
      <c r="F1291" s="115" t="n"/>
      <c r="G1291" s="117">
        <f>IF(COUNTA(B1291:E1291)=0,"",IF(COUNTA(B1291:E1291)&lt;4,"⚠ กรอกไม่ครบ",IF(NOT(ISNUMBER(B1291)),"⚠ วันที่ไม่ถูกต้อง",IF(COUNTIFS(Setup!$L$6:$L$60,D1291,Setup!$M$6:$M$60,C1291)=0,"⚠ หมวดไม่ตรงประเภท","✓"))))</f>
        <v/>
      </c>
    </row>
    <row r="1292">
      <c r="B1292" s="113" t="n"/>
      <c r="C1292" s="114" t="n"/>
      <c r="D1292" s="115" t="n"/>
      <c r="E1292" s="116" t="n"/>
      <c r="F1292" s="115" t="n"/>
      <c r="G1292" s="117">
        <f>IF(COUNTA(B1292:E1292)=0,"",IF(COUNTA(B1292:E1292)&lt;4,"⚠ กรอกไม่ครบ",IF(NOT(ISNUMBER(B1292)),"⚠ วันที่ไม่ถูกต้อง",IF(COUNTIFS(Setup!$L$6:$L$60,D1292,Setup!$M$6:$M$60,C1292)=0,"⚠ หมวดไม่ตรงประเภท","✓"))))</f>
        <v/>
      </c>
    </row>
    <row r="1293">
      <c r="B1293" s="113" t="n"/>
      <c r="C1293" s="114" t="n"/>
      <c r="D1293" s="115" t="n"/>
      <c r="E1293" s="116" t="n"/>
      <c r="F1293" s="115" t="n"/>
      <c r="G1293" s="117">
        <f>IF(COUNTA(B1293:E1293)=0,"",IF(COUNTA(B1293:E1293)&lt;4,"⚠ กรอกไม่ครบ",IF(NOT(ISNUMBER(B1293)),"⚠ วันที่ไม่ถูกต้อง",IF(COUNTIFS(Setup!$L$6:$L$60,D1293,Setup!$M$6:$M$60,C1293)=0,"⚠ หมวดไม่ตรงประเภท","✓"))))</f>
        <v/>
      </c>
    </row>
    <row r="1294">
      <c r="B1294" s="113" t="n"/>
      <c r="C1294" s="114" t="n"/>
      <c r="D1294" s="115" t="n"/>
      <c r="E1294" s="116" t="n"/>
      <c r="F1294" s="115" t="n"/>
      <c r="G1294" s="117">
        <f>IF(COUNTA(B1294:E1294)=0,"",IF(COUNTA(B1294:E1294)&lt;4,"⚠ กรอกไม่ครบ",IF(NOT(ISNUMBER(B1294)),"⚠ วันที่ไม่ถูกต้อง",IF(COUNTIFS(Setup!$L$6:$L$60,D1294,Setup!$M$6:$M$60,C1294)=0,"⚠ หมวดไม่ตรงประเภท","✓"))))</f>
        <v/>
      </c>
    </row>
    <row r="1295">
      <c r="B1295" s="113" t="n"/>
      <c r="C1295" s="114" t="n"/>
      <c r="D1295" s="115" t="n"/>
      <c r="E1295" s="116" t="n"/>
      <c r="F1295" s="115" t="n"/>
      <c r="G1295" s="117">
        <f>IF(COUNTA(B1295:E1295)=0,"",IF(COUNTA(B1295:E1295)&lt;4,"⚠ กรอกไม่ครบ",IF(NOT(ISNUMBER(B1295)),"⚠ วันที่ไม่ถูกต้อง",IF(COUNTIFS(Setup!$L$6:$L$60,D1295,Setup!$M$6:$M$60,C1295)=0,"⚠ หมวดไม่ตรงประเภท","✓"))))</f>
        <v/>
      </c>
    </row>
    <row r="1296">
      <c r="B1296" s="113" t="n"/>
      <c r="C1296" s="114" t="n"/>
      <c r="D1296" s="115" t="n"/>
      <c r="E1296" s="116" t="n"/>
      <c r="F1296" s="115" t="n"/>
      <c r="G1296" s="117">
        <f>IF(COUNTA(B1296:E1296)=0,"",IF(COUNTA(B1296:E1296)&lt;4,"⚠ กรอกไม่ครบ",IF(NOT(ISNUMBER(B1296)),"⚠ วันที่ไม่ถูกต้อง",IF(COUNTIFS(Setup!$L$6:$L$60,D1296,Setup!$M$6:$M$60,C1296)=0,"⚠ หมวดไม่ตรงประเภท","✓"))))</f>
        <v/>
      </c>
    </row>
    <row r="1297">
      <c r="B1297" s="113" t="n"/>
      <c r="C1297" s="114" t="n"/>
      <c r="D1297" s="115" t="n"/>
      <c r="E1297" s="116" t="n"/>
      <c r="F1297" s="115" t="n"/>
      <c r="G1297" s="117">
        <f>IF(COUNTA(B1297:E1297)=0,"",IF(COUNTA(B1297:E1297)&lt;4,"⚠ กรอกไม่ครบ",IF(NOT(ISNUMBER(B1297)),"⚠ วันที่ไม่ถูกต้อง",IF(COUNTIFS(Setup!$L$6:$L$60,D1297,Setup!$M$6:$M$60,C1297)=0,"⚠ หมวดไม่ตรงประเภท","✓"))))</f>
        <v/>
      </c>
    </row>
    <row r="1298">
      <c r="B1298" s="113" t="n"/>
      <c r="C1298" s="114" t="n"/>
      <c r="D1298" s="115" t="n"/>
      <c r="E1298" s="116" t="n"/>
      <c r="F1298" s="115" t="n"/>
      <c r="G1298" s="117">
        <f>IF(COUNTA(B1298:E1298)=0,"",IF(COUNTA(B1298:E1298)&lt;4,"⚠ กรอกไม่ครบ",IF(NOT(ISNUMBER(B1298)),"⚠ วันที่ไม่ถูกต้อง",IF(COUNTIFS(Setup!$L$6:$L$60,D1298,Setup!$M$6:$M$60,C1298)=0,"⚠ หมวดไม่ตรงประเภท","✓"))))</f>
        <v/>
      </c>
    </row>
    <row r="1299">
      <c r="B1299" s="113" t="n"/>
      <c r="C1299" s="114" t="n"/>
      <c r="D1299" s="115" t="n"/>
      <c r="E1299" s="116" t="n"/>
      <c r="F1299" s="115" t="n"/>
      <c r="G1299" s="117">
        <f>IF(COUNTA(B1299:E1299)=0,"",IF(COUNTA(B1299:E1299)&lt;4,"⚠ กรอกไม่ครบ",IF(NOT(ISNUMBER(B1299)),"⚠ วันที่ไม่ถูกต้อง",IF(COUNTIFS(Setup!$L$6:$L$60,D1299,Setup!$M$6:$M$60,C1299)=0,"⚠ หมวดไม่ตรงประเภท","✓"))))</f>
        <v/>
      </c>
    </row>
    <row r="1300">
      <c r="B1300" s="113" t="n"/>
      <c r="C1300" s="114" t="n"/>
      <c r="D1300" s="115" t="n"/>
      <c r="E1300" s="116" t="n"/>
      <c r="F1300" s="115" t="n"/>
      <c r="G1300" s="117">
        <f>IF(COUNTA(B1300:E1300)=0,"",IF(COUNTA(B1300:E1300)&lt;4,"⚠ กรอกไม่ครบ",IF(NOT(ISNUMBER(B1300)),"⚠ วันที่ไม่ถูกต้อง",IF(COUNTIFS(Setup!$L$6:$L$60,D1300,Setup!$M$6:$M$60,C1300)=0,"⚠ หมวดไม่ตรงประเภท","✓"))))</f>
        <v/>
      </c>
    </row>
    <row r="1301">
      <c r="B1301" s="113" t="n"/>
      <c r="C1301" s="114" t="n"/>
      <c r="D1301" s="115" t="n"/>
      <c r="E1301" s="116" t="n"/>
      <c r="F1301" s="115" t="n"/>
      <c r="G1301" s="117">
        <f>IF(COUNTA(B1301:E1301)=0,"",IF(COUNTA(B1301:E1301)&lt;4,"⚠ กรอกไม่ครบ",IF(NOT(ISNUMBER(B1301)),"⚠ วันที่ไม่ถูกต้อง",IF(COUNTIFS(Setup!$L$6:$L$60,D1301,Setup!$M$6:$M$60,C1301)=0,"⚠ หมวดไม่ตรงประเภท","✓"))))</f>
        <v/>
      </c>
    </row>
    <row r="1302">
      <c r="B1302" s="113" t="n"/>
      <c r="C1302" s="114" t="n"/>
      <c r="D1302" s="115" t="n"/>
      <c r="E1302" s="116" t="n"/>
      <c r="F1302" s="115" t="n"/>
      <c r="G1302" s="117">
        <f>IF(COUNTA(B1302:E1302)=0,"",IF(COUNTA(B1302:E1302)&lt;4,"⚠ กรอกไม่ครบ",IF(NOT(ISNUMBER(B1302)),"⚠ วันที่ไม่ถูกต้อง",IF(COUNTIFS(Setup!$L$6:$L$60,D1302,Setup!$M$6:$M$60,C1302)=0,"⚠ หมวดไม่ตรงประเภท","✓"))))</f>
        <v/>
      </c>
    </row>
    <row r="1303">
      <c r="B1303" s="113" t="n"/>
      <c r="C1303" s="114" t="n"/>
      <c r="D1303" s="115" t="n"/>
      <c r="E1303" s="116" t="n"/>
      <c r="F1303" s="115" t="n"/>
      <c r="G1303" s="117">
        <f>IF(COUNTA(B1303:E1303)=0,"",IF(COUNTA(B1303:E1303)&lt;4,"⚠ กรอกไม่ครบ",IF(NOT(ISNUMBER(B1303)),"⚠ วันที่ไม่ถูกต้อง",IF(COUNTIFS(Setup!$L$6:$L$60,D1303,Setup!$M$6:$M$60,C1303)=0,"⚠ หมวดไม่ตรงประเภท","✓"))))</f>
        <v/>
      </c>
    </row>
    <row r="1304">
      <c r="B1304" s="113" t="n"/>
      <c r="C1304" s="114" t="n"/>
      <c r="D1304" s="115" t="n"/>
      <c r="E1304" s="116" t="n"/>
      <c r="F1304" s="115" t="n"/>
      <c r="G1304" s="117">
        <f>IF(COUNTA(B1304:E1304)=0,"",IF(COUNTA(B1304:E1304)&lt;4,"⚠ กรอกไม่ครบ",IF(NOT(ISNUMBER(B1304)),"⚠ วันที่ไม่ถูกต้อง",IF(COUNTIFS(Setup!$L$6:$L$60,D1304,Setup!$M$6:$M$60,C1304)=0,"⚠ หมวดไม่ตรงประเภท","✓"))))</f>
        <v/>
      </c>
    </row>
    <row r="1305">
      <c r="B1305" s="113" t="n"/>
      <c r="C1305" s="114" t="n"/>
      <c r="D1305" s="115" t="n"/>
      <c r="E1305" s="116" t="n"/>
      <c r="F1305" s="115" t="n"/>
      <c r="G1305" s="117">
        <f>IF(COUNTA(B1305:E1305)=0,"",IF(COUNTA(B1305:E1305)&lt;4,"⚠ กรอกไม่ครบ",IF(NOT(ISNUMBER(B1305)),"⚠ วันที่ไม่ถูกต้อง",IF(COUNTIFS(Setup!$L$6:$L$60,D1305,Setup!$M$6:$M$60,C1305)=0,"⚠ หมวดไม่ตรงประเภท","✓"))))</f>
        <v/>
      </c>
    </row>
    <row r="1306">
      <c r="B1306" s="113" t="n"/>
      <c r="C1306" s="114" t="n"/>
      <c r="D1306" s="115" t="n"/>
      <c r="E1306" s="116" t="n"/>
      <c r="F1306" s="115" t="n"/>
      <c r="G1306" s="117">
        <f>IF(COUNTA(B1306:E1306)=0,"",IF(COUNTA(B1306:E1306)&lt;4,"⚠ กรอกไม่ครบ",IF(NOT(ISNUMBER(B1306)),"⚠ วันที่ไม่ถูกต้อง",IF(COUNTIFS(Setup!$L$6:$L$60,D1306,Setup!$M$6:$M$60,C1306)=0,"⚠ หมวดไม่ตรงประเภท","✓"))))</f>
        <v/>
      </c>
    </row>
    <row r="1307">
      <c r="B1307" s="113" t="n"/>
      <c r="C1307" s="114" t="n"/>
      <c r="D1307" s="115" t="n"/>
      <c r="E1307" s="116" t="n"/>
      <c r="F1307" s="115" t="n"/>
      <c r="G1307" s="117">
        <f>IF(COUNTA(B1307:E1307)=0,"",IF(COUNTA(B1307:E1307)&lt;4,"⚠ กรอกไม่ครบ",IF(NOT(ISNUMBER(B1307)),"⚠ วันที่ไม่ถูกต้อง",IF(COUNTIFS(Setup!$L$6:$L$60,D1307,Setup!$M$6:$M$60,C1307)=0,"⚠ หมวดไม่ตรงประเภท","✓"))))</f>
        <v/>
      </c>
    </row>
    <row r="1308">
      <c r="B1308" s="113" t="n"/>
      <c r="C1308" s="114" t="n"/>
      <c r="D1308" s="115" t="n"/>
      <c r="E1308" s="116" t="n"/>
      <c r="F1308" s="115" t="n"/>
      <c r="G1308" s="117">
        <f>IF(COUNTA(B1308:E1308)=0,"",IF(COUNTA(B1308:E1308)&lt;4,"⚠ กรอกไม่ครบ",IF(NOT(ISNUMBER(B1308)),"⚠ วันที่ไม่ถูกต้อง",IF(COUNTIFS(Setup!$L$6:$L$60,D1308,Setup!$M$6:$M$60,C1308)=0,"⚠ หมวดไม่ตรงประเภท","✓"))))</f>
        <v/>
      </c>
    </row>
    <row r="1309">
      <c r="B1309" s="113" t="n"/>
      <c r="C1309" s="114" t="n"/>
      <c r="D1309" s="115" t="n"/>
      <c r="E1309" s="116" t="n"/>
      <c r="F1309" s="115" t="n"/>
      <c r="G1309" s="117">
        <f>IF(COUNTA(B1309:E1309)=0,"",IF(COUNTA(B1309:E1309)&lt;4,"⚠ กรอกไม่ครบ",IF(NOT(ISNUMBER(B1309)),"⚠ วันที่ไม่ถูกต้อง",IF(COUNTIFS(Setup!$L$6:$L$60,D1309,Setup!$M$6:$M$60,C1309)=0,"⚠ หมวดไม่ตรงประเภท","✓"))))</f>
        <v/>
      </c>
    </row>
    <row r="1310">
      <c r="B1310" s="113" t="n"/>
      <c r="C1310" s="114" t="n"/>
      <c r="D1310" s="115" t="n"/>
      <c r="E1310" s="116" t="n"/>
      <c r="F1310" s="115" t="n"/>
      <c r="G1310" s="117">
        <f>IF(COUNTA(B1310:E1310)=0,"",IF(COUNTA(B1310:E1310)&lt;4,"⚠ กรอกไม่ครบ",IF(NOT(ISNUMBER(B1310)),"⚠ วันที่ไม่ถูกต้อง",IF(COUNTIFS(Setup!$L$6:$L$60,D1310,Setup!$M$6:$M$60,C1310)=0,"⚠ หมวดไม่ตรงประเภท","✓"))))</f>
        <v/>
      </c>
    </row>
    <row r="1311">
      <c r="B1311" s="113" t="n"/>
      <c r="C1311" s="114" t="n"/>
      <c r="D1311" s="115" t="n"/>
      <c r="E1311" s="116" t="n"/>
      <c r="F1311" s="115" t="n"/>
      <c r="G1311" s="117">
        <f>IF(COUNTA(B1311:E1311)=0,"",IF(COUNTA(B1311:E1311)&lt;4,"⚠ กรอกไม่ครบ",IF(NOT(ISNUMBER(B1311)),"⚠ วันที่ไม่ถูกต้อง",IF(COUNTIFS(Setup!$L$6:$L$60,D1311,Setup!$M$6:$M$60,C1311)=0,"⚠ หมวดไม่ตรงประเภท","✓"))))</f>
        <v/>
      </c>
    </row>
    <row r="1312">
      <c r="B1312" s="113" t="n"/>
      <c r="C1312" s="114" t="n"/>
      <c r="D1312" s="115" t="n"/>
      <c r="E1312" s="116" t="n"/>
      <c r="F1312" s="115" t="n"/>
      <c r="G1312" s="117">
        <f>IF(COUNTA(B1312:E1312)=0,"",IF(COUNTA(B1312:E1312)&lt;4,"⚠ กรอกไม่ครบ",IF(NOT(ISNUMBER(B1312)),"⚠ วันที่ไม่ถูกต้อง",IF(COUNTIFS(Setup!$L$6:$L$60,D1312,Setup!$M$6:$M$60,C1312)=0,"⚠ หมวดไม่ตรงประเภท","✓"))))</f>
        <v/>
      </c>
    </row>
    <row r="1313">
      <c r="B1313" s="113" t="n"/>
      <c r="C1313" s="114" t="n"/>
      <c r="D1313" s="115" t="n"/>
      <c r="E1313" s="116" t="n"/>
      <c r="F1313" s="115" t="n"/>
      <c r="G1313" s="117">
        <f>IF(COUNTA(B1313:E1313)=0,"",IF(COUNTA(B1313:E1313)&lt;4,"⚠ กรอกไม่ครบ",IF(NOT(ISNUMBER(B1313)),"⚠ วันที่ไม่ถูกต้อง",IF(COUNTIFS(Setup!$L$6:$L$60,D1313,Setup!$M$6:$M$60,C1313)=0,"⚠ หมวดไม่ตรงประเภท","✓"))))</f>
        <v/>
      </c>
    </row>
    <row r="1314">
      <c r="B1314" s="113" t="n"/>
      <c r="C1314" s="114" t="n"/>
      <c r="D1314" s="115" t="n"/>
      <c r="E1314" s="116" t="n"/>
      <c r="F1314" s="115" t="n"/>
      <c r="G1314" s="117">
        <f>IF(COUNTA(B1314:E1314)=0,"",IF(COUNTA(B1314:E1314)&lt;4,"⚠ กรอกไม่ครบ",IF(NOT(ISNUMBER(B1314)),"⚠ วันที่ไม่ถูกต้อง",IF(COUNTIFS(Setup!$L$6:$L$60,D1314,Setup!$M$6:$M$60,C1314)=0,"⚠ หมวดไม่ตรงประเภท","✓"))))</f>
        <v/>
      </c>
    </row>
    <row r="1315">
      <c r="B1315" s="113" t="n"/>
      <c r="C1315" s="114" t="n"/>
      <c r="D1315" s="115" t="n"/>
      <c r="E1315" s="116" t="n"/>
      <c r="F1315" s="115" t="n"/>
      <c r="G1315" s="117">
        <f>IF(COUNTA(B1315:E1315)=0,"",IF(COUNTA(B1315:E1315)&lt;4,"⚠ กรอกไม่ครบ",IF(NOT(ISNUMBER(B1315)),"⚠ วันที่ไม่ถูกต้อง",IF(COUNTIFS(Setup!$L$6:$L$60,D1315,Setup!$M$6:$M$60,C1315)=0,"⚠ หมวดไม่ตรงประเภท","✓"))))</f>
        <v/>
      </c>
    </row>
    <row r="1316">
      <c r="B1316" s="113" t="n"/>
      <c r="C1316" s="114" t="n"/>
      <c r="D1316" s="115" t="n"/>
      <c r="E1316" s="116" t="n"/>
      <c r="F1316" s="115" t="n"/>
      <c r="G1316" s="117">
        <f>IF(COUNTA(B1316:E1316)=0,"",IF(COUNTA(B1316:E1316)&lt;4,"⚠ กรอกไม่ครบ",IF(NOT(ISNUMBER(B1316)),"⚠ วันที่ไม่ถูกต้อง",IF(COUNTIFS(Setup!$L$6:$L$60,D1316,Setup!$M$6:$M$60,C1316)=0,"⚠ หมวดไม่ตรงประเภท","✓"))))</f>
        <v/>
      </c>
    </row>
    <row r="1317">
      <c r="B1317" s="113" t="n"/>
      <c r="C1317" s="114" t="n"/>
      <c r="D1317" s="115" t="n"/>
      <c r="E1317" s="116" t="n"/>
      <c r="F1317" s="115" t="n"/>
      <c r="G1317" s="117">
        <f>IF(COUNTA(B1317:E1317)=0,"",IF(COUNTA(B1317:E1317)&lt;4,"⚠ กรอกไม่ครบ",IF(NOT(ISNUMBER(B1317)),"⚠ วันที่ไม่ถูกต้อง",IF(COUNTIFS(Setup!$L$6:$L$60,D1317,Setup!$M$6:$M$60,C1317)=0,"⚠ หมวดไม่ตรงประเภท","✓"))))</f>
        <v/>
      </c>
    </row>
    <row r="1318">
      <c r="B1318" s="113" t="n"/>
      <c r="C1318" s="114" t="n"/>
      <c r="D1318" s="115" t="n"/>
      <c r="E1318" s="116" t="n"/>
      <c r="F1318" s="115" t="n"/>
      <c r="G1318" s="117">
        <f>IF(COUNTA(B1318:E1318)=0,"",IF(COUNTA(B1318:E1318)&lt;4,"⚠ กรอกไม่ครบ",IF(NOT(ISNUMBER(B1318)),"⚠ วันที่ไม่ถูกต้อง",IF(COUNTIFS(Setup!$L$6:$L$60,D1318,Setup!$M$6:$M$60,C1318)=0,"⚠ หมวดไม่ตรงประเภท","✓"))))</f>
        <v/>
      </c>
    </row>
    <row r="1319">
      <c r="B1319" s="113" t="n"/>
      <c r="C1319" s="114" t="n"/>
      <c r="D1319" s="115" t="n"/>
      <c r="E1319" s="116" t="n"/>
      <c r="F1319" s="115" t="n"/>
      <c r="G1319" s="117">
        <f>IF(COUNTA(B1319:E1319)=0,"",IF(COUNTA(B1319:E1319)&lt;4,"⚠ กรอกไม่ครบ",IF(NOT(ISNUMBER(B1319)),"⚠ วันที่ไม่ถูกต้อง",IF(COUNTIFS(Setup!$L$6:$L$60,D1319,Setup!$M$6:$M$60,C1319)=0,"⚠ หมวดไม่ตรงประเภท","✓"))))</f>
        <v/>
      </c>
    </row>
    <row r="1320">
      <c r="B1320" s="113" t="n"/>
      <c r="C1320" s="114" t="n"/>
      <c r="D1320" s="115" t="n"/>
      <c r="E1320" s="116" t="n"/>
      <c r="F1320" s="115" t="n"/>
      <c r="G1320" s="117">
        <f>IF(COUNTA(B1320:E1320)=0,"",IF(COUNTA(B1320:E1320)&lt;4,"⚠ กรอกไม่ครบ",IF(NOT(ISNUMBER(B1320)),"⚠ วันที่ไม่ถูกต้อง",IF(COUNTIFS(Setup!$L$6:$L$60,D1320,Setup!$M$6:$M$60,C1320)=0,"⚠ หมวดไม่ตรงประเภท","✓"))))</f>
        <v/>
      </c>
    </row>
    <row r="1321">
      <c r="B1321" s="113" t="n"/>
      <c r="C1321" s="114" t="n"/>
      <c r="D1321" s="115" t="n"/>
      <c r="E1321" s="116" t="n"/>
      <c r="F1321" s="115" t="n"/>
      <c r="G1321" s="117">
        <f>IF(COUNTA(B1321:E1321)=0,"",IF(COUNTA(B1321:E1321)&lt;4,"⚠ กรอกไม่ครบ",IF(NOT(ISNUMBER(B1321)),"⚠ วันที่ไม่ถูกต้อง",IF(COUNTIFS(Setup!$L$6:$L$60,D1321,Setup!$M$6:$M$60,C1321)=0,"⚠ หมวดไม่ตรงประเภท","✓"))))</f>
        <v/>
      </c>
    </row>
    <row r="1322">
      <c r="B1322" s="113" t="n"/>
      <c r="C1322" s="114" t="n"/>
      <c r="D1322" s="115" t="n"/>
      <c r="E1322" s="116" t="n"/>
      <c r="F1322" s="115" t="n"/>
      <c r="G1322" s="117">
        <f>IF(COUNTA(B1322:E1322)=0,"",IF(COUNTA(B1322:E1322)&lt;4,"⚠ กรอกไม่ครบ",IF(NOT(ISNUMBER(B1322)),"⚠ วันที่ไม่ถูกต้อง",IF(COUNTIFS(Setup!$L$6:$L$60,D1322,Setup!$M$6:$M$60,C1322)=0,"⚠ หมวดไม่ตรงประเภท","✓"))))</f>
        <v/>
      </c>
    </row>
    <row r="1323">
      <c r="B1323" s="113" t="n"/>
      <c r="C1323" s="114" t="n"/>
      <c r="D1323" s="115" t="n"/>
      <c r="E1323" s="116" t="n"/>
      <c r="F1323" s="115" t="n"/>
      <c r="G1323" s="117">
        <f>IF(COUNTA(B1323:E1323)=0,"",IF(COUNTA(B1323:E1323)&lt;4,"⚠ กรอกไม่ครบ",IF(NOT(ISNUMBER(B1323)),"⚠ วันที่ไม่ถูกต้อง",IF(COUNTIFS(Setup!$L$6:$L$60,D1323,Setup!$M$6:$M$60,C1323)=0,"⚠ หมวดไม่ตรงประเภท","✓"))))</f>
        <v/>
      </c>
    </row>
    <row r="1324">
      <c r="B1324" s="113" t="n"/>
      <c r="C1324" s="114" t="n"/>
      <c r="D1324" s="115" t="n"/>
      <c r="E1324" s="116" t="n"/>
      <c r="F1324" s="115" t="n"/>
      <c r="G1324" s="117">
        <f>IF(COUNTA(B1324:E1324)=0,"",IF(COUNTA(B1324:E1324)&lt;4,"⚠ กรอกไม่ครบ",IF(NOT(ISNUMBER(B1324)),"⚠ วันที่ไม่ถูกต้อง",IF(COUNTIFS(Setup!$L$6:$L$60,D1324,Setup!$M$6:$M$60,C1324)=0,"⚠ หมวดไม่ตรงประเภท","✓"))))</f>
        <v/>
      </c>
    </row>
    <row r="1325">
      <c r="B1325" s="113" t="n"/>
      <c r="C1325" s="114" t="n"/>
      <c r="D1325" s="115" t="n"/>
      <c r="E1325" s="116" t="n"/>
      <c r="F1325" s="115" t="n"/>
      <c r="G1325" s="117">
        <f>IF(COUNTA(B1325:E1325)=0,"",IF(COUNTA(B1325:E1325)&lt;4,"⚠ กรอกไม่ครบ",IF(NOT(ISNUMBER(B1325)),"⚠ วันที่ไม่ถูกต้อง",IF(COUNTIFS(Setup!$L$6:$L$60,D1325,Setup!$M$6:$M$60,C1325)=0,"⚠ หมวดไม่ตรงประเภท","✓"))))</f>
        <v/>
      </c>
    </row>
    <row r="1326">
      <c r="B1326" s="113" t="n"/>
      <c r="C1326" s="114" t="n"/>
      <c r="D1326" s="115" t="n"/>
      <c r="E1326" s="116" t="n"/>
      <c r="F1326" s="115" t="n"/>
      <c r="G1326" s="117">
        <f>IF(COUNTA(B1326:E1326)=0,"",IF(COUNTA(B1326:E1326)&lt;4,"⚠ กรอกไม่ครบ",IF(NOT(ISNUMBER(B1326)),"⚠ วันที่ไม่ถูกต้อง",IF(COUNTIFS(Setup!$L$6:$L$60,D1326,Setup!$M$6:$M$60,C1326)=0,"⚠ หมวดไม่ตรงประเภท","✓"))))</f>
        <v/>
      </c>
    </row>
    <row r="1327">
      <c r="B1327" s="113" t="n"/>
      <c r="C1327" s="114" t="n"/>
      <c r="D1327" s="115" t="n"/>
      <c r="E1327" s="116" t="n"/>
      <c r="F1327" s="115" t="n"/>
      <c r="G1327" s="117">
        <f>IF(COUNTA(B1327:E1327)=0,"",IF(COUNTA(B1327:E1327)&lt;4,"⚠ กรอกไม่ครบ",IF(NOT(ISNUMBER(B1327)),"⚠ วันที่ไม่ถูกต้อง",IF(COUNTIFS(Setup!$L$6:$L$60,D1327,Setup!$M$6:$M$60,C1327)=0,"⚠ หมวดไม่ตรงประเภท","✓"))))</f>
        <v/>
      </c>
    </row>
    <row r="1328">
      <c r="B1328" s="113" t="n"/>
      <c r="C1328" s="114" t="n"/>
      <c r="D1328" s="115" t="n"/>
      <c r="E1328" s="116" t="n"/>
      <c r="F1328" s="115" t="n"/>
      <c r="G1328" s="117">
        <f>IF(COUNTA(B1328:E1328)=0,"",IF(COUNTA(B1328:E1328)&lt;4,"⚠ กรอกไม่ครบ",IF(NOT(ISNUMBER(B1328)),"⚠ วันที่ไม่ถูกต้อง",IF(COUNTIFS(Setup!$L$6:$L$60,D1328,Setup!$M$6:$M$60,C1328)=0,"⚠ หมวดไม่ตรงประเภท","✓"))))</f>
        <v/>
      </c>
    </row>
    <row r="1329">
      <c r="B1329" s="113" t="n"/>
      <c r="C1329" s="114" t="n"/>
      <c r="D1329" s="115" t="n"/>
      <c r="E1329" s="116" t="n"/>
      <c r="F1329" s="115" t="n"/>
      <c r="G1329" s="117">
        <f>IF(COUNTA(B1329:E1329)=0,"",IF(COUNTA(B1329:E1329)&lt;4,"⚠ กรอกไม่ครบ",IF(NOT(ISNUMBER(B1329)),"⚠ วันที่ไม่ถูกต้อง",IF(COUNTIFS(Setup!$L$6:$L$60,D1329,Setup!$M$6:$M$60,C1329)=0,"⚠ หมวดไม่ตรงประเภท","✓"))))</f>
        <v/>
      </c>
    </row>
    <row r="1330">
      <c r="B1330" s="113" t="n"/>
      <c r="C1330" s="114" t="n"/>
      <c r="D1330" s="115" t="n"/>
      <c r="E1330" s="116" t="n"/>
      <c r="F1330" s="115" t="n"/>
      <c r="G1330" s="117">
        <f>IF(COUNTA(B1330:E1330)=0,"",IF(COUNTA(B1330:E1330)&lt;4,"⚠ กรอกไม่ครบ",IF(NOT(ISNUMBER(B1330)),"⚠ วันที่ไม่ถูกต้อง",IF(COUNTIFS(Setup!$L$6:$L$60,D1330,Setup!$M$6:$M$60,C1330)=0,"⚠ หมวดไม่ตรงประเภท","✓"))))</f>
        <v/>
      </c>
    </row>
    <row r="1331">
      <c r="B1331" s="113" t="n"/>
      <c r="C1331" s="114" t="n"/>
      <c r="D1331" s="115" t="n"/>
      <c r="E1331" s="116" t="n"/>
      <c r="F1331" s="115" t="n"/>
      <c r="G1331" s="117">
        <f>IF(COUNTA(B1331:E1331)=0,"",IF(COUNTA(B1331:E1331)&lt;4,"⚠ กรอกไม่ครบ",IF(NOT(ISNUMBER(B1331)),"⚠ วันที่ไม่ถูกต้อง",IF(COUNTIFS(Setup!$L$6:$L$60,D1331,Setup!$M$6:$M$60,C1331)=0,"⚠ หมวดไม่ตรงประเภท","✓"))))</f>
        <v/>
      </c>
    </row>
    <row r="1332">
      <c r="B1332" s="113" t="n"/>
      <c r="C1332" s="114" t="n"/>
      <c r="D1332" s="115" t="n"/>
      <c r="E1332" s="116" t="n"/>
      <c r="F1332" s="115" t="n"/>
      <c r="G1332" s="117">
        <f>IF(COUNTA(B1332:E1332)=0,"",IF(COUNTA(B1332:E1332)&lt;4,"⚠ กรอกไม่ครบ",IF(NOT(ISNUMBER(B1332)),"⚠ วันที่ไม่ถูกต้อง",IF(COUNTIFS(Setup!$L$6:$L$60,D1332,Setup!$M$6:$M$60,C1332)=0,"⚠ หมวดไม่ตรงประเภท","✓"))))</f>
        <v/>
      </c>
    </row>
    <row r="1333">
      <c r="B1333" s="113" t="n"/>
      <c r="C1333" s="114" t="n"/>
      <c r="D1333" s="115" t="n"/>
      <c r="E1333" s="116" t="n"/>
      <c r="F1333" s="115" t="n"/>
      <c r="G1333" s="117">
        <f>IF(COUNTA(B1333:E1333)=0,"",IF(COUNTA(B1333:E1333)&lt;4,"⚠ กรอกไม่ครบ",IF(NOT(ISNUMBER(B1333)),"⚠ วันที่ไม่ถูกต้อง",IF(COUNTIFS(Setup!$L$6:$L$60,D1333,Setup!$M$6:$M$60,C1333)=0,"⚠ หมวดไม่ตรงประเภท","✓"))))</f>
        <v/>
      </c>
    </row>
    <row r="1334">
      <c r="B1334" s="113" t="n"/>
      <c r="C1334" s="114" t="n"/>
      <c r="D1334" s="115" t="n"/>
      <c r="E1334" s="116" t="n"/>
      <c r="F1334" s="115" t="n"/>
      <c r="G1334" s="117">
        <f>IF(COUNTA(B1334:E1334)=0,"",IF(COUNTA(B1334:E1334)&lt;4,"⚠ กรอกไม่ครบ",IF(NOT(ISNUMBER(B1334)),"⚠ วันที่ไม่ถูกต้อง",IF(COUNTIFS(Setup!$L$6:$L$60,D1334,Setup!$M$6:$M$60,C1334)=0,"⚠ หมวดไม่ตรงประเภท","✓"))))</f>
        <v/>
      </c>
    </row>
    <row r="1335">
      <c r="B1335" s="113" t="n"/>
      <c r="C1335" s="114" t="n"/>
      <c r="D1335" s="115" t="n"/>
      <c r="E1335" s="116" t="n"/>
      <c r="F1335" s="115" t="n"/>
      <c r="G1335" s="117">
        <f>IF(COUNTA(B1335:E1335)=0,"",IF(COUNTA(B1335:E1335)&lt;4,"⚠ กรอกไม่ครบ",IF(NOT(ISNUMBER(B1335)),"⚠ วันที่ไม่ถูกต้อง",IF(COUNTIFS(Setup!$L$6:$L$60,D1335,Setup!$M$6:$M$60,C1335)=0,"⚠ หมวดไม่ตรงประเภท","✓"))))</f>
        <v/>
      </c>
    </row>
    <row r="1336">
      <c r="B1336" s="113" t="n"/>
      <c r="C1336" s="114" t="n"/>
      <c r="D1336" s="115" t="n"/>
      <c r="E1336" s="116" t="n"/>
      <c r="F1336" s="115" t="n"/>
      <c r="G1336" s="117">
        <f>IF(COUNTA(B1336:E1336)=0,"",IF(COUNTA(B1336:E1336)&lt;4,"⚠ กรอกไม่ครบ",IF(NOT(ISNUMBER(B1336)),"⚠ วันที่ไม่ถูกต้อง",IF(COUNTIFS(Setup!$L$6:$L$60,D1336,Setup!$M$6:$M$60,C1336)=0,"⚠ หมวดไม่ตรงประเภท","✓"))))</f>
        <v/>
      </c>
    </row>
    <row r="1337">
      <c r="B1337" s="113" t="n"/>
      <c r="C1337" s="114" t="n"/>
      <c r="D1337" s="115" t="n"/>
      <c r="E1337" s="116" t="n"/>
      <c r="F1337" s="115" t="n"/>
      <c r="G1337" s="117">
        <f>IF(COUNTA(B1337:E1337)=0,"",IF(COUNTA(B1337:E1337)&lt;4,"⚠ กรอกไม่ครบ",IF(NOT(ISNUMBER(B1337)),"⚠ วันที่ไม่ถูกต้อง",IF(COUNTIFS(Setup!$L$6:$L$60,D1337,Setup!$M$6:$M$60,C1337)=0,"⚠ หมวดไม่ตรงประเภท","✓"))))</f>
        <v/>
      </c>
    </row>
    <row r="1338">
      <c r="B1338" s="113" t="n"/>
      <c r="C1338" s="114" t="n"/>
      <c r="D1338" s="115" t="n"/>
      <c r="E1338" s="116" t="n"/>
      <c r="F1338" s="115" t="n"/>
      <c r="G1338" s="117">
        <f>IF(COUNTA(B1338:E1338)=0,"",IF(COUNTA(B1338:E1338)&lt;4,"⚠ กรอกไม่ครบ",IF(NOT(ISNUMBER(B1338)),"⚠ วันที่ไม่ถูกต้อง",IF(COUNTIFS(Setup!$L$6:$L$60,D1338,Setup!$M$6:$M$60,C1338)=0,"⚠ หมวดไม่ตรงประเภท","✓"))))</f>
        <v/>
      </c>
    </row>
    <row r="1339">
      <c r="B1339" s="113" t="n"/>
      <c r="C1339" s="114" t="n"/>
      <c r="D1339" s="115" t="n"/>
      <c r="E1339" s="116" t="n"/>
      <c r="F1339" s="115" t="n"/>
      <c r="G1339" s="117">
        <f>IF(COUNTA(B1339:E1339)=0,"",IF(COUNTA(B1339:E1339)&lt;4,"⚠ กรอกไม่ครบ",IF(NOT(ISNUMBER(B1339)),"⚠ วันที่ไม่ถูกต้อง",IF(COUNTIFS(Setup!$L$6:$L$60,D1339,Setup!$M$6:$M$60,C1339)=0,"⚠ หมวดไม่ตรงประเภท","✓"))))</f>
        <v/>
      </c>
    </row>
    <row r="1340">
      <c r="B1340" s="113" t="n"/>
      <c r="C1340" s="114" t="n"/>
      <c r="D1340" s="115" t="n"/>
      <c r="E1340" s="116" t="n"/>
      <c r="F1340" s="115" t="n"/>
      <c r="G1340" s="117">
        <f>IF(COUNTA(B1340:E1340)=0,"",IF(COUNTA(B1340:E1340)&lt;4,"⚠ กรอกไม่ครบ",IF(NOT(ISNUMBER(B1340)),"⚠ วันที่ไม่ถูกต้อง",IF(COUNTIFS(Setup!$L$6:$L$60,D1340,Setup!$M$6:$M$60,C1340)=0,"⚠ หมวดไม่ตรงประเภท","✓"))))</f>
        <v/>
      </c>
    </row>
    <row r="1341">
      <c r="B1341" s="113" t="n"/>
      <c r="C1341" s="114" t="n"/>
      <c r="D1341" s="115" t="n"/>
      <c r="E1341" s="116" t="n"/>
      <c r="F1341" s="115" t="n"/>
      <c r="G1341" s="117">
        <f>IF(COUNTA(B1341:E1341)=0,"",IF(COUNTA(B1341:E1341)&lt;4,"⚠ กรอกไม่ครบ",IF(NOT(ISNUMBER(B1341)),"⚠ วันที่ไม่ถูกต้อง",IF(COUNTIFS(Setup!$L$6:$L$60,D1341,Setup!$M$6:$M$60,C1341)=0,"⚠ หมวดไม่ตรงประเภท","✓"))))</f>
        <v/>
      </c>
    </row>
    <row r="1342">
      <c r="B1342" s="113" t="n"/>
      <c r="C1342" s="114" t="n"/>
      <c r="D1342" s="115" t="n"/>
      <c r="E1342" s="116" t="n"/>
      <c r="F1342" s="115" t="n"/>
      <c r="G1342" s="117">
        <f>IF(COUNTA(B1342:E1342)=0,"",IF(COUNTA(B1342:E1342)&lt;4,"⚠ กรอกไม่ครบ",IF(NOT(ISNUMBER(B1342)),"⚠ วันที่ไม่ถูกต้อง",IF(COUNTIFS(Setup!$L$6:$L$60,D1342,Setup!$M$6:$M$60,C1342)=0,"⚠ หมวดไม่ตรงประเภท","✓"))))</f>
        <v/>
      </c>
    </row>
    <row r="1343">
      <c r="B1343" s="113" t="n"/>
      <c r="C1343" s="114" t="n"/>
      <c r="D1343" s="115" t="n"/>
      <c r="E1343" s="116" t="n"/>
      <c r="F1343" s="115" t="n"/>
      <c r="G1343" s="117">
        <f>IF(COUNTA(B1343:E1343)=0,"",IF(COUNTA(B1343:E1343)&lt;4,"⚠ กรอกไม่ครบ",IF(NOT(ISNUMBER(B1343)),"⚠ วันที่ไม่ถูกต้อง",IF(COUNTIFS(Setup!$L$6:$L$60,D1343,Setup!$M$6:$M$60,C1343)=0,"⚠ หมวดไม่ตรงประเภท","✓"))))</f>
        <v/>
      </c>
    </row>
    <row r="1344">
      <c r="B1344" s="113" t="n"/>
      <c r="C1344" s="114" t="n"/>
      <c r="D1344" s="115" t="n"/>
      <c r="E1344" s="116" t="n"/>
      <c r="F1344" s="115" t="n"/>
      <c r="G1344" s="117">
        <f>IF(COUNTA(B1344:E1344)=0,"",IF(COUNTA(B1344:E1344)&lt;4,"⚠ กรอกไม่ครบ",IF(NOT(ISNUMBER(B1344)),"⚠ วันที่ไม่ถูกต้อง",IF(COUNTIFS(Setup!$L$6:$L$60,D1344,Setup!$M$6:$M$60,C1344)=0,"⚠ หมวดไม่ตรงประเภท","✓"))))</f>
        <v/>
      </c>
    </row>
    <row r="1345">
      <c r="B1345" s="113" t="n"/>
      <c r="C1345" s="114" t="n"/>
      <c r="D1345" s="115" t="n"/>
      <c r="E1345" s="116" t="n"/>
      <c r="F1345" s="115" t="n"/>
      <c r="G1345" s="117">
        <f>IF(COUNTA(B1345:E1345)=0,"",IF(COUNTA(B1345:E1345)&lt;4,"⚠ กรอกไม่ครบ",IF(NOT(ISNUMBER(B1345)),"⚠ วันที่ไม่ถูกต้อง",IF(COUNTIFS(Setup!$L$6:$L$60,D1345,Setup!$M$6:$M$60,C1345)=0,"⚠ หมวดไม่ตรงประเภท","✓"))))</f>
        <v/>
      </c>
    </row>
    <row r="1346">
      <c r="B1346" s="113" t="n"/>
      <c r="C1346" s="114" t="n"/>
      <c r="D1346" s="115" t="n"/>
      <c r="E1346" s="116" t="n"/>
      <c r="F1346" s="115" t="n"/>
      <c r="G1346" s="117">
        <f>IF(COUNTA(B1346:E1346)=0,"",IF(COUNTA(B1346:E1346)&lt;4,"⚠ กรอกไม่ครบ",IF(NOT(ISNUMBER(B1346)),"⚠ วันที่ไม่ถูกต้อง",IF(COUNTIFS(Setup!$L$6:$L$60,D1346,Setup!$M$6:$M$60,C1346)=0,"⚠ หมวดไม่ตรงประเภท","✓"))))</f>
        <v/>
      </c>
    </row>
    <row r="1347">
      <c r="B1347" s="113" t="n"/>
      <c r="C1347" s="114" t="n"/>
      <c r="D1347" s="115" t="n"/>
      <c r="E1347" s="116" t="n"/>
      <c r="F1347" s="115" t="n"/>
      <c r="G1347" s="117">
        <f>IF(COUNTA(B1347:E1347)=0,"",IF(COUNTA(B1347:E1347)&lt;4,"⚠ กรอกไม่ครบ",IF(NOT(ISNUMBER(B1347)),"⚠ วันที่ไม่ถูกต้อง",IF(COUNTIFS(Setup!$L$6:$L$60,D1347,Setup!$M$6:$M$60,C1347)=0,"⚠ หมวดไม่ตรงประเภท","✓"))))</f>
        <v/>
      </c>
    </row>
    <row r="1348">
      <c r="B1348" s="113" t="n"/>
      <c r="C1348" s="114" t="n"/>
      <c r="D1348" s="115" t="n"/>
      <c r="E1348" s="116" t="n"/>
      <c r="F1348" s="115" t="n"/>
      <c r="G1348" s="117">
        <f>IF(COUNTA(B1348:E1348)=0,"",IF(COUNTA(B1348:E1348)&lt;4,"⚠ กรอกไม่ครบ",IF(NOT(ISNUMBER(B1348)),"⚠ วันที่ไม่ถูกต้อง",IF(COUNTIFS(Setup!$L$6:$L$60,D1348,Setup!$M$6:$M$60,C1348)=0,"⚠ หมวดไม่ตรงประเภท","✓"))))</f>
        <v/>
      </c>
    </row>
    <row r="1349">
      <c r="B1349" s="113" t="n"/>
      <c r="C1349" s="114" t="n"/>
      <c r="D1349" s="115" t="n"/>
      <c r="E1349" s="116" t="n"/>
      <c r="F1349" s="115" t="n"/>
      <c r="G1349" s="117">
        <f>IF(COUNTA(B1349:E1349)=0,"",IF(COUNTA(B1349:E1349)&lt;4,"⚠ กรอกไม่ครบ",IF(NOT(ISNUMBER(B1349)),"⚠ วันที่ไม่ถูกต้อง",IF(COUNTIFS(Setup!$L$6:$L$60,D1349,Setup!$M$6:$M$60,C1349)=0,"⚠ หมวดไม่ตรงประเภท","✓"))))</f>
        <v/>
      </c>
    </row>
    <row r="1350">
      <c r="B1350" s="113" t="n"/>
      <c r="C1350" s="114" t="n"/>
      <c r="D1350" s="115" t="n"/>
      <c r="E1350" s="116" t="n"/>
      <c r="F1350" s="115" t="n"/>
      <c r="G1350" s="117">
        <f>IF(COUNTA(B1350:E1350)=0,"",IF(COUNTA(B1350:E1350)&lt;4,"⚠ กรอกไม่ครบ",IF(NOT(ISNUMBER(B1350)),"⚠ วันที่ไม่ถูกต้อง",IF(COUNTIFS(Setup!$L$6:$L$60,D1350,Setup!$M$6:$M$60,C1350)=0,"⚠ หมวดไม่ตรงประเภท","✓"))))</f>
        <v/>
      </c>
    </row>
    <row r="1351">
      <c r="B1351" s="113" t="n"/>
      <c r="C1351" s="114" t="n"/>
      <c r="D1351" s="115" t="n"/>
      <c r="E1351" s="116" t="n"/>
      <c r="F1351" s="115" t="n"/>
      <c r="G1351" s="117">
        <f>IF(COUNTA(B1351:E1351)=0,"",IF(COUNTA(B1351:E1351)&lt;4,"⚠ กรอกไม่ครบ",IF(NOT(ISNUMBER(B1351)),"⚠ วันที่ไม่ถูกต้อง",IF(COUNTIFS(Setup!$L$6:$L$60,D1351,Setup!$M$6:$M$60,C1351)=0,"⚠ หมวดไม่ตรงประเภท","✓"))))</f>
        <v/>
      </c>
    </row>
    <row r="1352">
      <c r="B1352" s="113" t="n"/>
      <c r="C1352" s="114" t="n"/>
      <c r="D1352" s="115" t="n"/>
      <c r="E1352" s="116" t="n"/>
      <c r="F1352" s="115" t="n"/>
      <c r="G1352" s="117">
        <f>IF(COUNTA(B1352:E1352)=0,"",IF(COUNTA(B1352:E1352)&lt;4,"⚠ กรอกไม่ครบ",IF(NOT(ISNUMBER(B1352)),"⚠ วันที่ไม่ถูกต้อง",IF(COUNTIFS(Setup!$L$6:$L$60,D1352,Setup!$M$6:$M$60,C1352)=0,"⚠ หมวดไม่ตรงประเภท","✓"))))</f>
        <v/>
      </c>
    </row>
    <row r="1353">
      <c r="B1353" s="113" t="n"/>
      <c r="C1353" s="114" t="n"/>
      <c r="D1353" s="115" t="n"/>
      <c r="E1353" s="116" t="n"/>
      <c r="F1353" s="115" t="n"/>
      <c r="G1353" s="117">
        <f>IF(COUNTA(B1353:E1353)=0,"",IF(COUNTA(B1353:E1353)&lt;4,"⚠ กรอกไม่ครบ",IF(NOT(ISNUMBER(B1353)),"⚠ วันที่ไม่ถูกต้อง",IF(COUNTIFS(Setup!$L$6:$L$60,D1353,Setup!$M$6:$M$60,C1353)=0,"⚠ หมวดไม่ตรงประเภท","✓"))))</f>
        <v/>
      </c>
    </row>
    <row r="1354">
      <c r="B1354" s="113" t="n"/>
      <c r="C1354" s="114" t="n"/>
      <c r="D1354" s="115" t="n"/>
      <c r="E1354" s="116" t="n"/>
      <c r="F1354" s="115" t="n"/>
      <c r="G1354" s="117">
        <f>IF(COUNTA(B1354:E1354)=0,"",IF(COUNTA(B1354:E1354)&lt;4,"⚠ กรอกไม่ครบ",IF(NOT(ISNUMBER(B1354)),"⚠ วันที่ไม่ถูกต้อง",IF(COUNTIFS(Setup!$L$6:$L$60,D1354,Setup!$M$6:$M$60,C1354)=0,"⚠ หมวดไม่ตรงประเภท","✓"))))</f>
        <v/>
      </c>
    </row>
    <row r="1355">
      <c r="B1355" s="113" t="n"/>
      <c r="C1355" s="114" t="n"/>
      <c r="D1355" s="115" t="n"/>
      <c r="E1355" s="116" t="n"/>
      <c r="F1355" s="115" t="n"/>
      <c r="G1355" s="117">
        <f>IF(COUNTA(B1355:E1355)=0,"",IF(COUNTA(B1355:E1355)&lt;4,"⚠ กรอกไม่ครบ",IF(NOT(ISNUMBER(B1355)),"⚠ วันที่ไม่ถูกต้อง",IF(COUNTIFS(Setup!$L$6:$L$60,D1355,Setup!$M$6:$M$60,C1355)=0,"⚠ หมวดไม่ตรงประเภท","✓"))))</f>
        <v/>
      </c>
    </row>
    <row r="1356">
      <c r="B1356" s="113" t="n"/>
      <c r="C1356" s="114" t="n"/>
      <c r="D1356" s="115" t="n"/>
      <c r="E1356" s="116" t="n"/>
      <c r="F1356" s="115" t="n"/>
      <c r="G1356" s="117">
        <f>IF(COUNTA(B1356:E1356)=0,"",IF(COUNTA(B1356:E1356)&lt;4,"⚠ กรอกไม่ครบ",IF(NOT(ISNUMBER(B1356)),"⚠ วันที่ไม่ถูกต้อง",IF(COUNTIFS(Setup!$L$6:$L$60,D1356,Setup!$M$6:$M$60,C1356)=0,"⚠ หมวดไม่ตรงประเภท","✓"))))</f>
        <v/>
      </c>
    </row>
    <row r="1357">
      <c r="B1357" s="113" t="n"/>
      <c r="C1357" s="114" t="n"/>
      <c r="D1357" s="115" t="n"/>
      <c r="E1357" s="116" t="n"/>
      <c r="F1357" s="115" t="n"/>
      <c r="G1357" s="117">
        <f>IF(COUNTA(B1357:E1357)=0,"",IF(COUNTA(B1357:E1357)&lt;4,"⚠ กรอกไม่ครบ",IF(NOT(ISNUMBER(B1357)),"⚠ วันที่ไม่ถูกต้อง",IF(COUNTIFS(Setup!$L$6:$L$60,D1357,Setup!$M$6:$M$60,C1357)=0,"⚠ หมวดไม่ตรงประเภท","✓"))))</f>
        <v/>
      </c>
    </row>
    <row r="1358">
      <c r="B1358" s="113" t="n"/>
      <c r="C1358" s="114" t="n"/>
      <c r="D1358" s="115" t="n"/>
      <c r="E1358" s="116" t="n"/>
      <c r="F1358" s="115" t="n"/>
      <c r="G1358" s="117">
        <f>IF(COUNTA(B1358:E1358)=0,"",IF(COUNTA(B1358:E1358)&lt;4,"⚠ กรอกไม่ครบ",IF(NOT(ISNUMBER(B1358)),"⚠ วันที่ไม่ถูกต้อง",IF(COUNTIFS(Setup!$L$6:$L$60,D1358,Setup!$M$6:$M$60,C1358)=0,"⚠ หมวดไม่ตรงประเภท","✓"))))</f>
        <v/>
      </c>
    </row>
    <row r="1359">
      <c r="B1359" s="113" t="n"/>
      <c r="C1359" s="114" t="n"/>
      <c r="D1359" s="115" t="n"/>
      <c r="E1359" s="116" t="n"/>
      <c r="F1359" s="115" t="n"/>
      <c r="G1359" s="117">
        <f>IF(COUNTA(B1359:E1359)=0,"",IF(COUNTA(B1359:E1359)&lt;4,"⚠ กรอกไม่ครบ",IF(NOT(ISNUMBER(B1359)),"⚠ วันที่ไม่ถูกต้อง",IF(COUNTIFS(Setup!$L$6:$L$60,D1359,Setup!$M$6:$M$60,C1359)=0,"⚠ หมวดไม่ตรงประเภท","✓"))))</f>
        <v/>
      </c>
    </row>
    <row r="1360">
      <c r="B1360" s="113" t="n"/>
      <c r="C1360" s="114" t="n"/>
      <c r="D1360" s="115" t="n"/>
      <c r="E1360" s="116" t="n"/>
      <c r="F1360" s="115" t="n"/>
      <c r="G1360" s="117">
        <f>IF(COUNTA(B1360:E1360)=0,"",IF(COUNTA(B1360:E1360)&lt;4,"⚠ กรอกไม่ครบ",IF(NOT(ISNUMBER(B1360)),"⚠ วันที่ไม่ถูกต้อง",IF(COUNTIFS(Setup!$L$6:$L$60,D1360,Setup!$M$6:$M$60,C1360)=0,"⚠ หมวดไม่ตรงประเภท","✓"))))</f>
        <v/>
      </c>
    </row>
    <row r="1361">
      <c r="B1361" s="113" t="n"/>
      <c r="C1361" s="114" t="n"/>
      <c r="D1361" s="115" t="n"/>
      <c r="E1361" s="116" t="n"/>
      <c r="F1361" s="115" t="n"/>
      <c r="G1361" s="117">
        <f>IF(COUNTA(B1361:E1361)=0,"",IF(COUNTA(B1361:E1361)&lt;4,"⚠ กรอกไม่ครบ",IF(NOT(ISNUMBER(B1361)),"⚠ วันที่ไม่ถูกต้อง",IF(COUNTIFS(Setup!$L$6:$L$60,D1361,Setup!$M$6:$M$60,C1361)=0,"⚠ หมวดไม่ตรงประเภท","✓"))))</f>
        <v/>
      </c>
    </row>
    <row r="1362">
      <c r="B1362" s="113" t="n"/>
      <c r="C1362" s="114" t="n"/>
      <c r="D1362" s="115" t="n"/>
      <c r="E1362" s="116" t="n"/>
      <c r="F1362" s="115" t="n"/>
      <c r="G1362" s="117">
        <f>IF(COUNTA(B1362:E1362)=0,"",IF(COUNTA(B1362:E1362)&lt;4,"⚠ กรอกไม่ครบ",IF(NOT(ISNUMBER(B1362)),"⚠ วันที่ไม่ถูกต้อง",IF(COUNTIFS(Setup!$L$6:$L$60,D1362,Setup!$M$6:$M$60,C1362)=0,"⚠ หมวดไม่ตรงประเภท","✓"))))</f>
        <v/>
      </c>
    </row>
    <row r="1363">
      <c r="B1363" s="113" t="n"/>
      <c r="C1363" s="114" t="n"/>
      <c r="D1363" s="115" t="n"/>
      <c r="E1363" s="116" t="n"/>
      <c r="F1363" s="115" t="n"/>
      <c r="G1363" s="117">
        <f>IF(COUNTA(B1363:E1363)=0,"",IF(COUNTA(B1363:E1363)&lt;4,"⚠ กรอกไม่ครบ",IF(NOT(ISNUMBER(B1363)),"⚠ วันที่ไม่ถูกต้อง",IF(COUNTIFS(Setup!$L$6:$L$60,D1363,Setup!$M$6:$M$60,C1363)=0,"⚠ หมวดไม่ตรงประเภท","✓"))))</f>
        <v/>
      </c>
    </row>
    <row r="1364">
      <c r="B1364" s="113" t="n"/>
      <c r="C1364" s="114" t="n"/>
      <c r="D1364" s="115" t="n"/>
      <c r="E1364" s="116" t="n"/>
      <c r="F1364" s="115" t="n"/>
      <c r="G1364" s="117">
        <f>IF(COUNTA(B1364:E1364)=0,"",IF(COUNTA(B1364:E1364)&lt;4,"⚠ กรอกไม่ครบ",IF(NOT(ISNUMBER(B1364)),"⚠ วันที่ไม่ถูกต้อง",IF(COUNTIFS(Setup!$L$6:$L$60,D1364,Setup!$M$6:$M$60,C1364)=0,"⚠ หมวดไม่ตรงประเภท","✓"))))</f>
        <v/>
      </c>
    </row>
    <row r="1365">
      <c r="B1365" s="113" t="n"/>
      <c r="C1365" s="114" t="n"/>
      <c r="D1365" s="115" t="n"/>
      <c r="E1365" s="116" t="n"/>
      <c r="F1365" s="115" t="n"/>
      <c r="G1365" s="117">
        <f>IF(COUNTA(B1365:E1365)=0,"",IF(COUNTA(B1365:E1365)&lt;4,"⚠ กรอกไม่ครบ",IF(NOT(ISNUMBER(B1365)),"⚠ วันที่ไม่ถูกต้อง",IF(COUNTIFS(Setup!$L$6:$L$60,D1365,Setup!$M$6:$M$60,C1365)=0,"⚠ หมวดไม่ตรงประเภท","✓"))))</f>
        <v/>
      </c>
    </row>
    <row r="1366">
      <c r="B1366" s="113" t="n"/>
      <c r="C1366" s="114" t="n"/>
      <c r="D1366" s="115" t="n"/>
      <c r="E1366" s="116" t="n"/>
      <c r="F1366" s="115" t="n"/>
      <c r="G1366" s="117">
        <f>IF(COUNTA(B1366:E1366)=0,"",IF(COUNTA(B1366:E1366)&lt;4,"⚠ กรอกไม่ครบ",IF(NOT(ISNUMBER(B1366)),"⚠ วันที่ไม่ถูกต้อง",IF(COUNTIFS(Setup!$L$6:$L$60,D1366,Setup!$M$6:$M$60,C1366)=0,"⚠ หมวดไม่ตรงประเภท","✓"))))</f>
        <v/>
      </c>
    </row>
    <row r="1367">
      <c r="B1367" s="113" t="n"/>
      <c r="C1367" s="114" t="n"/>
      <c r="D1367" s="115" t="n"/>
      <c r="E1367" s="116" t="n"/>
      <c r="F1367" s="115" t="n"/>
      <c r="G1367" s="117">
        <f>IF(COUNTA(B1367:E1367)=0,"",IF(COUNTA(B1367:E1367)&lt;4,"⚠ กรอกไม่ครบ",IF(NOT(ISNUMBER(B1367)),"⚠ วันที่ไม่ถูกต้อง",IF(COUNTIFS(Setup!$L$6:$L$60,D1367,Setup!$M$6:$M$60,C1367)=0,"⚠ หมวดไม่ตรงประเภท","✓"))))</f>
        <v/>
      </c>
    </row>
    <row r="1368">
      <c r="B1368" s="113" t="n"/>
      <c r="C1368" s="114" t="n"/>
      <c r="D1368" s="115" t="n"/>
      <c r="E1368" s="116" t="n"/>
      <c r="F1368" s="115" t="n"/>
      <c r="G1368" s="117">
        <f>IF(COUNTA(B1368:E1368)=0,"",IF(COUNTA(B1368:E1368)&lt;4,"⚠ กรอกไม่ครบ",IF(NOT(ISNUMBER(B1368)),"⚠ วันที่ไม่ถูกต้อง",IF(COUNTIFS(Setup!$L$6:$L$60,D1368,Setup!$M$6:$M$60,C1368)=0,"⚠ หมวดไม่ตรงประเภท","✓"))))</f>
        <v/>
      </c>
    </row>
    <row r="1369">
      <c r="B1369" s="113" t="n"/>
      <c r="C1369" s="114" t="n"/>
      <c r="D1369" s="115" t="n"/>
      <c r="E1369" s="116" t="n"/>
      <c r="F1369" s="115" t="n"/>
      <c r="G1369" s="117">
        <f>IF(COUNTA(B1369:E1369)=0,"",IF(COUNTA(B1369:E1369)&lt;4,"⚠ กรอกไม่ครบ",IF(NOT(ISNUMBER(B1369)),"⚠ วันที่ไม่ถูกต้อง",IF(COUNTIFS(Setup!$L$6:$L$60,D1369,Setup!$M$6:$M$60,C1369)=0,"⚠ หมวดไม่ตรงประเภท","✓"))))</f>
        <v/>
      </c>
    </row>
    <row r="1370">
      <c r="B1370" s="113" t="n"/>
      <c r="C1370" s="114" t="n"/>
      <c r="D1370" s="115" t="n"/>
      <c r="E1370" s="116" t="n"/>
      <c r="F1370" s="115" t="n"/>
      <c r="G1370" s="117">
        <f>IF(COUNTA(B1370:E1370)=0,"",IF(COUNTA(B1370:E1370)&lt;4,"⚠ กรอกไม่ครบ",IF(NOT(ISNUMBER(B1370)),"⚠ วันที่ไม่ถูกต้อง",IF(COUNTIFS(Setup!$L$6:$L$60,D1370,Setup!$M$6:$M$60,C1370)=0,"⚠ หมวดไม่ตรงประเภท","✓"))))</f>
        <v/>
      </c>
    </row>
    <row r="1371">
      <c r="B1371" s="113" t="n"/>
      <c r="C1371" s="114" t="n"/>
      <c r="D1371" s="115" t="n"/>
      <c r="E1371" s="116" t="n"/>
      <c r="F1371" s="115" t="n"/>
      <c r="G1371" s="117">
        <f>IF(COUNTA(B1371:E1371)=0,"",IF(COUNTA(B1371:E1371)&lt;4,"⚠ กรอกไม่ครบ",IF(NOT(ISNUMBER(B1371)),"⚠ วันที่ไม่ถูกต้อง",IF(COUNTIFS(Setup!$L$6:$L$60,D1371,Setup!$M$6:$M$60,C1371)=0,"⚠ หมวดไม่ตรงประเภท","✓"))))</f>
        <v/>
      </c>
    </row>
    <row r="1372">
      <c r="B1372" s="113" t="n"/>
      <c r="C1372" s="114" t="n"/>
      <c r="D1372" s="115" t="n"/>
      <c r="E1372" s="116" t="n"/>
      <c r="F1372" s="115" t="n"/>
      <c r="G1372" s="117">
        <f>IF(COUNTA(B1372:E1372)=0,"",IF(COUNTA(B1372:E1372)&lt;4,"⚠ กรอกไม่ครบ",IF(NOT(ISNUMBER(B1372)),"⚠ วันที่ไม่ถูกต้อง",IF(COUNTIFS(Setup!$L$6:$L$60,D1372,Setup!$M$6:$M$60,C1372)=0,"⚠ หมวดไม่ตรงประเภท","✓"))))</f>
        <v/>
      </c>
    </row>
    <row r="1373">
      <c r="B1373" s="113" t="n"/>
      <c r="C1373" s="114" t="n"/>
      <c r="D1373" s="115" t="n"/>
      <c r="E1373" s="116" t="n"/>
      <c r="F1373" s="115" t="n"/>
      <c r="G1373" s="117">
        <f>IF(COUNTA(B1373:E1373)=0,"",IF(COUNTA(B1373:E1373)&lt;4,"⚠ กรอกไม่ครบ",IF(NOT(ISNUMBER(B1373)),"⚠ วันที่ไม่ถูกต้อง",IF(COUNTIFS(Setup!$L$6:$L$60,D1373,Setup!$M$6:$M$60,C1373)=0,"⚠ หมวดไม่ตรงประเภท","✓"))))</f>
        <v/>
      </c>
    </row>
    <row r="1374">
      <c r="B1374" s="113" t="n"/>
      <c r="C1374" s="114" t="n"/>
      <c r="D1374" s="115" t="n"/>
      <c r="E1374" s="116" t="n"/>
      <c r="F1374" s="115" t="n"/>
      <c r="G1374" s="117">
        <f>IF(COUNTA(B1374:E1374)=0,"",IF(COUNTA(B1374:E1374)&lt;4,"⚠ กรอกไม่ครบ",IF(NOT(ISNUMBER(B1374)),"⚠ วันที่ไม่ถูกต้อง",IF(COUNTIFS(Setup!$L$6:$L$60,D1374,Setup!$M$6:$M$60,C1374)=0,"⚠ หมวดไม่ตรงประเภท","✓"))))</f>
        <v/>
      </c>
    </row>
    <row r="1375">
      <c r="B1375" s="113" t="n"/>
      <c r="C1375" s="114" t="n"/>
      <c r="D1375" s="115" t="n"/>
      <c r="E1375" s="116" t="n"/>
      <c r="F1375" s="115" t="n"/>
      <c r="G1375" s="117">
        <f>IF(COUNTA(B1375:E1375)=0,"",IF(COUNTA(B1375:E1375)&lt;4,"⚠ กรอกไม่ครบ",IF(NOT(ISNUMBER(B1375)),"⚠ วันที่ไม่ถูกต้อง",IF(COUNTIFS(Setup!$L$6:$L$60,D1375,Setup!$M$6:$M$60,C1375)=0,"⚠ หมวดไม่ตรงประเภท","✓"))))</f>
        <v/>
      </c>
    </row>
    <row r="1376">
      <c r="B1376" s="113" t="n"/>
      <c r="C1376" s="114" t="n"/>
      <c r="D1376" s="115" t="n"/>
      <c r="E1376" s="116" t="n"/>
      <c r="F1376" s="115" t="n"/>
      <c r="G1376" s="117">
        <f>IF(COUNTA(B1376:E1376)=0,"",IF(COUNTA(B1376:E1376)&lt;4,"⚠ กรอกไม่ครบ",IF(NOT(ISNUMBER(B1376)),"⚠ วันที่ไม่ถูกต้อง",IF(COUNTIFS(Setup!$L$6:$L$60,D1376,Setup!$M$6:$M$60,C1376)=0,"⚠ หมวดไม่ตรงประเภท","✓"))))</f>
        <v/>
      </c>
    </row>
    <row r="1377">
      <c r="B1377" s="113" t="n"/>
      <c r="C1377" s="114" t="n"/>
      <c r="D1377" s="115" t="n"/>
      <c r="E1377" s="116" t="n"/>
      <c r="F1377" s="115" t="n"/>
      <c r="G1377" s="117">
        <f>IF(COUNTA(B1377:E1377)=0,"",IF(COUNTA(B1377:E1377)&lt;4,"⚠ กรอกไม่ครบ",IF(NOT(ISNUMBER(B1377)),"⚠ วันที่ไม่ถูกต้อง",IF(COUNTIFS(Setup!$L$6:$L$60,D1377,Setup!$M$6:$M$60,C1377)=0,"⚠ หมวดไม่ตรงประเภท","✓"))))</f>
        <v/>
      </c>
    </row>
    <row r="1378">
      <c r="B1378" s="113" t="n"/>
      <c r="C1378" s="114" t="n"/>
      <c r="D1378" s="115" t="n"/>
      <c r="E1378" s="116" t="n"/>
      <c r="F1378" s="115" t="n"/>
      <c r="G1378" s="117">
        <f>IF(COUNTA(B1378:E1378)=0,"",IF(COUNTA(B1378:E1378)&lt;4,"⚠ กรอกไม่ครบ",IF(NOT(ISNUMBER(B1378)),"⚠ วันที่ไม่ถูกต้อง",IF(COUNTIFS(Setup!$L$6:$L$60,D1378,Setup!$M$6:$M$60,C1378)=0,"⚠ หมวดไม่ตรงประเภท","✓"))))</f>
        <v/>
      </c>
    </row>
    <row r="1379">
      <c r="B1379" s="113" t="n"/>
      <c r="C1379" s="114" t="n"/>
      <c r="D1379" s="115" t="n"/>
      <c r="E1379" s="116" t="n"/>
      <c r="F1379" s="115" t="n"/>
      <c r="G1379" s="117">
        <f>IF(COUNTA(B1379:E1379)=0,"",IF(COUNTA(B1379:E1379)&lt;4,"⚠ กรอกไม่ครบ",IF(NOT(ISNUMBER(B1379)),"⚠ วันที่ไม่ถูกต้อง",IF(COUNTIFS(Setup!$L$6:$L$60,D1379,Setup!$M$6:$M$60,C1379)=0,"⚠ หมวดไม่ตรงประเภท","✓"))))</f>
        <v/>
      </c>
    </row>
    <row r="1380">
      <c r="B1380" s="113" t="n"/>
      <c r="C1380" s="114" t="n"/>
      <c r="D1380" s="115" t="n"/>
      <c r="E1380" s="116" t="n"/>
      <c r="F1380" s="115" t="n"/>
      <c r="G1380" s="117">
        <f>IF(COUNTA(B1380:E1380)=0,"",IF(COUNTA(B1380:E1380)&lt;4,"⚠ กรอกไม่ครบ",IF(NOT(ISNUMBER(B1380)),"⚠ วันที่ไม่ถูกต้อง",IF(COUNTIFS(Setup!$L$6:$L$60,D1380,Setup!$M$6:$M$60,C1380)=0,"⚠ หมวดไม่ตรงประเภท","✓"))))</f>
        <v/>
      </c>
    </row>
    <row r="1381">
      <c r="B1381" s="113" t="n"/>
      <c r="C1381" s="114" t="n"/>
      <c r="D1381" s="115" t="n"/>
      <c r="E1381" s="116" t="n"/>
      <c r="F1381" s="115" t="n"/>
      <c r="G1381" s="117">
        <f>IF(COUNTA(B1381:E1381)=0,"",IF(COUNTA(B1381:E1381)&lt;4,"⚠ กรอกไม่ครบ",IF(NOT(ISNUMBER(B1381)),"⚠ วันที่ไม่ถูกต้อง",IF(COUNTIFS(Setup!$L$6:$L$60,D1381,Setup!$M$6:$M$60,C1381)=0,"⚠ หมวดไม่ตรงประเภท","✓"))))</f>
        <v/>
      </c>
    </row>
    <row r="1382">
      <c r="B1382" s="113" t="n"/>
      <c r="C1382" s="114" t="n"/>
      <c r="D1382" s="115" t="n"/>
      <c r="E1382" s="116" t="n"/>
      <c r="F1382" s="115" t="n"/>
      <c r="G1382" s="117">
        <f>IF(COUNTA(B1382:E1382)=0,"",IF(COUNTA(B1382:E1382)&lt;4,"⚠ กรอกไม่ครบ",IF(NOT(ISNUMBER(B1382)),"⚠ วันที่ไม่ถูกต้อง",IF(COUNTIFS(Setup!$L$6:$L$60,D1382,Setup!$M$6:$M$60,C1382)=0,"⚠ หมวดไม่ตรงประเภท","✓"))))</f>
        <v/>
      </c>
    </row>
    <row r="1383">
      <c r="B1383" s="113" t="n"/>
      <c r="C1383" s="114" t="n"/>
      <c r="D1383" s="115" t="n"/>
      <c r="E1383" s="116" t="n"/>
      <c r="F1383" s="115" t="n"/>
      <c r="G1383" s="117">
        <f>IF(COUNTA(B1383:E1383)=0,"",IF(COUNTA(B1383:E1383)&lt;4,"⚠ กรอกไม่ครบ",IF(NOT(ISNUMBER(B1383)),"⚠ วันที่ไม่ถูกต้อง",IF(COUNTIFS(Setup!$L$6:$L$60,D1383,Setup!$M$6:$M$60,C1383)=0,"⚠ หมวดไม่ตรงประเภท","✓"))))</f>
        <v/>
      </c>
    </row>
    <row r="1384">
      <c r="B1384" s="113" t="n"/>
      <c r="C1384" s="114" t="n"/>
      <c r="D1384" s="115" t="n"/>
      <c r="E1384" s="116" t="n"/>
      <c r="F1384" s="115" t="n"/>
      <c r="G1384" s="117">
        <f>IF(COUNTA(B1384:E1384)=0,"",IF(COUNTA(B1384:E1384)&lt;4,"⚠ กรอกไม่ครบ",IF(NOT(ISNUMBER(B1384)),"⚠ วันที่ไม่ถูกต้อง",IF(COUNTIFS(Setup!$L$6:$L$60,D1384,Setup!$M$6:$M$60,C1384)=0,"⚠ หมวดไม่ตรงประเภท","✓"))))</f>
        <v/>
      </c>
    </row>
    <row r="1385">
      <c r="B1385" s="113" t="n"/>
      <c r="C1385" s="114" t="n"/>
      <c r="D1385" s="115" t="n"/>
      <c r="E1385" s="116" t="n"/>
      <c r="F1385" s="115" t="n"/>
      <c r="G1385" s="117">
        <f>IF(COUNTA(B1385:E1385)=0,"",IF(COUNTA(B1385:E1385)&lt;4,"⚠ กรอกไม่ครบ",IF(NOT(ISNUMBER(B1385)),"⚠ วันที่ไม่ถูกต้อง",IF(COUNTIFS(Setup!$L$6:$L$60,D1385,Setup!$M$6:$M$60,C1385)=0,"⚠ หมวดไม่ตรงประเภท","✓"))))</f>
        <v/>
      </c>
    </row>
    <row r="1386">
      <c r="B1386" s="113" t="n"/>
      <c r="C1386" s="114" t="n"/>
      <c r="D1386" s="115" t="n"/>
      <c r="E1386" s="116" t="n"/>
      <c r="F1386" s="115" t="n"/>
      <c r="G1386" s="117">
        <f>IF(COUNTA(B1386:E1386)=0,"",IF(COUNTA(B1386:E1386)&lt;4,"⚠ กรอกไม่ครบ",IF(NOT(ISNUMBER(B1386)),"⚠ วันที่ไม่ถูกต้อง",IF(COUNTIFS(Setup!$L$6:$L$60,D1386,Setup!$M$6:$M$60,C1386)=0,"⚠ หมวดไม่ตรงประเภท","✓"))))</f>
        <v/>
      </c>
    </row>
    <row r="1387">
      <c r="B1387" s="113" t="n"/>
      <c r="C1387" s="114" t="n"/>
      <c r="D1387" s="115" t="n"/>
      <c r="E1387" s="116" t="n"/>
      <c r="F1387" s="115" t="n"/>
      <c r="G1387" s="117">
        <f>IF(COUNTA(B1387:E1387)=0,"",IF(COUNTA(B1387:E1387)&lt;4,"⚠ กรอกไม่ครบ",IF(NOT(ISNUMBER(B1387)),"⚠ วันที่ไม่ถูกต้อง",IF(COUNTIFS(Setup!$L$6:$L$60,D1387,Setup!$M$6:$M$60,C1387)=0,"⚠ หมวดไม่ตรงประเภท","✓"))))</f>
        <v/>
      </c>
    </row>
    <row r="1388">
      <c r="B1388" s="113" t="n"/>
      <c r="C1388" s="114" t="n"/>
      <c r="D1388" s="115" t="n"/>
      <c r="E1388" s="116" t="n"/>
      <c r="F1388" s="115" t="n"/>
      <c r="G1388" s="117">
        <f>IF(COUNTA(B1388:E1388)=0,"",IF(COUNTA(B1388:E1388)&lt;4,"⚠ กรอกไม่ครบ",IF(NOT(ISNUMBER(B1388)),"⚠ วันที่ไม่ถูกต้อง",IF(COUNTIFS(Setup!$L$6:$L$60,D1388,Setup!$M$6:$M$60,C1388)=0,"⚠ หมวดไม่ตรงประเภท","✓"))))</f>
        <v/>
      </c>
    </row>
    <row r="1389">
      <c r="B1389" s="113" t="n"/>
      <c r="C1389" s="114" t="n"/>
      <c r="D1389" s="115" t="n"/>
      <c r="E1389" s="116" t="n"/>
      <c r="F1389" s="115" t="n"/>
      <c r="G1389" s="117">
        <f>IF(COUNTA(B1389:E1389)=0,"",IF(COUNTA(B1389:E1389)&lt;4,"⚠ กรอกไม่ครบ",IF(NOT(ISNUMBER(B1389)),"⚠ วันที่ไม่ถูกต้อง",IF(COUNTIFS(Setup!$L$6:$L$60,D1389,Setup!$M$6:$M$60,C1389)=0,"⚠ หมวดไม่ตรงประเภท","✓"))))</f>
        <v/>
      </c>
    </row>
    <row r="1390">
      <c r="B1390" s="113" t="n"/>
      <c r="C1390" s="114" t="n"/>
      <c r="D1390" s="115" t="n"/>
      <c r="E1390" s="116" t="n"/>
      <c r="F1390" s="115" t="n"/>
      <c r="G1390" s="117">
        <f>IF(COUNTA(B1390:E1390)=0,"",IF(COUNTA(B1390:E1390)&lt;4,"⚠ กรอกไม่ครบ",IF(NOT(ISNUMBER(B1390)),"⚠ วันที่ไม่ถูกต้อง",IF(COUNTIFS(Setup!$L$6:$L$60,D1390,Setup!$M$6:$M$60,C1390)=0,"⚠ หมวดไม่ตรงประเภท","✓"))))</f>
        <v/>
      </c>
    </row>
    <row r="1391">
      <c r="B1391" s="113" t="n"/>
      <c r="C1391" s="114" t="n"/>
      <c r="D1391" s="115" t="n"/>
      <c r="E1391" s="116" t="n"/>
      <c r="F1391" s="115" t="n"/>
      <c r="G1391" s="117">
        <f>IF(COUNTA(B1391:E1391)=0,"",IF(COUNTA(B1391:E1391)&lt;4,"⚠ กรอกไม่ครบ",IF(NOT(ISNUMBER(B1391)),"⚠ วันที่ไม่ถูกต้อง",IF(COUNTIFS(Setup!$L$6:$L$60,D1391,Setup!$M$6:$M$60,C1391)=0,"⚠ หมวดไม่ตรงประเภท","✓"))))</f>
        <v/>
      </c>
    </row>
    <row r="1392">
      <c r="B1392" s="113" t="n"/>
      <c r="C1392" s="114" t="n"/>
      <c r="D1392" s="115" t="n"/>
      <c r="E1392" s="116" t="n"/>
      <c r="F1392" s="115" t="n"/>
      <c r="G1392" s="117">
        <f>IF(COUNTA(B1392:E1392)=0,"",IF(COUNTA(B1392:E1392)&lt;4,"⚠ กรอกไม่ครบ",IF(NOT(ISNUMBER(B1392)),"⚠ วันที่ไม่ถูกต้อง",IF(COUNTIFS(Setup!$L$6:$L$60,D1392,Setup!$M$6:$M$60,C1392)=0,"⚠ หมวดไม่ตรงประเภท","✓"))))</f>
        <v/>
      </c>
    </row>
    <row r="1393">
      <c r="B1393" s="113" t="n"/>
      <c r="C1393" s="114" t="n"/>
      <c r="D1393" s="115" t="n"/>
      <c r="E1393" s="116" t="n"/>
      <c r="F1393" s="115" t="n"/>
      <c r="G1393" s="117">
        <f>IF(COUNTA(B1393:E1393)=0,"",IF(COUNTA(B1393:E1393)&lt;4,"⚠ กรอกไม่ครบ",IF(NOT(ISNUMBER(B1393)),"⚠ วันที่ไม่ถูกต้อง",IF(COUNTIFS(Setup!$L$6:$L$60,D1393,Setup!$M$6:$M$60,C1393)=0,"⚠ หมวดไม่ตรงประเภท","✓"))))</f>
        <v/>
      </c>
    </row>
    <row r="1394">
      <c r="B1394" s="113" t="n"/>
      <c r="C1394" s="114" t="n"/>
      <c r="D1394" s="115" t="n"/>
      <c r="E1394" s="116" t="n"/>
      <c r="F1394" s="115" t="n"/>
      <c r="G1394" s="117">
        <f>IF(COUNTA(B1394:E1394)=0,"",IF(COUNTA(B1394:E1394)&lt;4,"⚠ กรอกไม่ครบ",IF(NOT(ISNUMBER(B1394)),"⚠ วันที่ไม่ถูกต้อง",IF(COUNTIFS(Setup!$L$6:$L$60,D1394,Setup!$M$6:$M$60,C1394)=0,"⚠ หมวดไม่ตรงประเภท","✓"))))</f>
        <v/>
      </c>
    </row>
    <row r="1395">
      <c r="B1395" s="113" t="n"/>
      <c r="C1395" s="114" t="n"/>
      <c r="D1395" s="115" t="n"/>
      <c r="E1395" s="116" t="n"/>
      <c r="F1395" s="115" t="n"/>
      <c r="G1395" s="117">
        <f>IF(COUNTA(B1395:E1395)=0,"",IF(COUNTA(B1395:E1395)&lt;4,"⚠ กรอกไม่ครบ",IF(NOT(ISNUMBER(B1395)),"⚠ วันที่ไม่ถูกต้อง",IF(COUNTIFS(Setup!$L$6:$L$60,D1395,Setup!$M$6:$M$60,C1395)=0,"⚠ หมวดไม่ตรงประเภท","✓"))))</f>
        <v/>
      </c>
    </row>
    <row r="1396">
      <c r="B1396" s="113" t="n"/>
      <c r="C1396" s="114" t="n"/>
      <c r="D1396" s="115" t="n"/>
      <c r="E1396" s="116" t="n"/>
      <c r="F1396" s="115" t="n"/>
      <c r="G1396" s="117">
        <f>IF(COUNTA(B1396:E1396)=0,"",IF(COUNTA(B1396:E1396)&lt;4,"⚠ กรอกไม่ครบ",IF(NOT(ISNUMBER(B1396)),"⚠ วันที่ไม่ถูกต้อง",IF(COUNTIFS(Setup!$L$6:$L$60,D1396,Setup!$M$6:$M$60,C1396)=0,"⚠ หมวดไม่ตรงประเภท","✓"))))</f>
        <v/>
      </c>
    </row>
    <row r="1397">
      <c r="B1397" s="113" t="n"/>
      <c r="C1397" s="114" t="n"/>
      <c r="D1397" s="115" t="n"/>
      <c r="E1397" s="116" t="n"/>
      <c r="F1397" s="115" t="n"/>
      <c r="G1397" s="117">
        <f>IF(COUNTA(B1397:E1397)=0,"",IF(COUNTA(B1397:E1397)&lt;4,"⚠ กรอกไม่ครบ",IF(NOT(ISNUMBER(B1397)),"⚠ วันที่ไม่ถูกต้อง",IF(COUNTIFS(Setup!$L$6:$L$60,D1397,Setup!$M$6:$M$60,C1397)=0,"⚠ หมวดไม่ตรงประเภท","✓"))))</f>
        <v/>
      </c>
    </row>
    <row r="1398">
      <c r="B1398" s="113" t="n"/>
      <c r="C1398" s="114" t="n"/>
      <c r="D1398" s="115" t="n"/>
      <c r="E1398" s="116" t="n"/>
      <c r="F1398" s="115" t="n"/>
      <c r="G1398" s="117">
        <f>IF(COUNTA(B1398:E1398)=0,"",IF(COUNTA(B1398:E1398)&lt;4,"⚠ กรอกไม่ครบ",IF(NOT(ISNUMBER(B1398)),"⚠ วันที่ไม่ถูกต้อง",IF(COUNTIFS(Setup!$L$6:$L$60,D1398,Setup!$M$6:$M$60,C1398)=0,"⚠ หมวดไม่ตรงประเภท","✓"))))</f>
        <v/>
      </c>
    </row>
    <row r="1399">
      <c r="B1399" s="113" t="n"/>
      <c r="C1399" s="114" t="n"/>
      <c r="D1399" s="115" t="n"/>
      <c r="E1399" s="116" t="n"/>
      <c r="F1399" s="115" t="n"/>
      <c r="G1399" s="117">
        <f>IF(COUNTA(B1399:E1399)=0,"",IF(COUNTA(B1399:E1399)&lt;4,"⚠ กรอกไม่ครบ",IF(NOT(ISNUMBER(B1399)),"⚠ วันที่ไม่ถูกต้อง",IF(COUNTIFS(Setup!$L$6:$L$60,D1399,Setup!$M$6:$M$60,C1399)=0,"⚠ หมวดไม่ตรงประเภท","✓"))))</f>
        <v/>
      </c>
    </row>
    <row r="1400">
      <c r="B1400" s="113" t="n"/>
      <c r="C1400" s="114" t="n"/>
      <c r="D1400" s="115" t="n"/>
      <c r="E1400" s="116" t="n"/>
      <c r="F1400" s="115" t="n"/>
      <c r="G1400" s="117">
        <f>IF(COUNTA(B1400:E1400)=0,"",IF(COUNTA(B1400:E1400)&lt;4,"⚠ กรอกไม่ครบ",IF(NOT(ISNUMBER(B1400)),"⚠ วันที่ไม่ถูกต้อง",IF(COUNTIFS(Setup!$L$6:$L$60,D1400,Setup!$M$6:$M$60,C1400)=0,"⚠ หมวดไม่ตรงประเภท","✓"))))</f>
        <v/>
      </c>
    </row>
    <row r="1401">
      <c r="B1401" s="113" t="n"/>
      <c r="C1401" s="114" t="n"/>
      <c r="D1401" s="115" t="n"/>
      <c r="E1401" s="116" t="n"/>
      <c r="F1401" s="115" t="n"/>
      <c r="G1401" s="117">
        <f>IF(COUNTA(B1401:E1401)=0,"",IF(COUNTA(B1401:E1401)&lt;4,"⚠ กรอกไม่ครบ",IF(NOT(ISNUMBER(B1401)),"⚠ วันที่ไม่ถูกต้อง",IF(COUNTIFS(Setup!$L$6:$L$60,D1401,Setup!$M$6:$M$60,C1401)=0,"⚠ หมวดไม่ตรงประเภท","✓"))))</f>
        <v/>
      </c>
    </row>
    <row r="1402">
      <c r="B1402" s="113" t="n"/>
      <c r="C1402" s="114" t="n"/>
      <c r="D1402" s="115" t="n"/>
      <c r="E1402" s="116" t="n"/>
      <c r="F1402" s="115" t="n"/>
      <c r="G1402" s="117">
        <f>IF(COUNTA(B1402:E1402)=0,"",IF(COUNTA(B1402:E1402)&lt;4,"⚠ กรอกไม่ครบ",IF(NOT(ISNUMBER(B1402)),"⚠ วันที่ไม่ถูกต้อง",IF(COUNTIFS(Setup!$L$6:$L$60,D1402,Setup!$M$6:$M$60,C1402)=0,"⚠ หมวดไม่ตรงประเภท","✓"))))</f>
        <v/>
      </c>
    </row>
    <row r="1403">
      <c r="B1403" s="113" t="n"/>
      <c r="C1403" s="114" t="n"/>
      <c r="D1403" s="115" t="n"/>
      <c r="E1403" s="116" t="n"/>
      <c r="F1403" s="115" t="n"/>
      <c r="G1403" s="117">
        <f>IF(COUNTA(B1403:E1403)=0,"",IF(COUNTA(B1403:E1403)&lt;4,"⚠ กรอกไม่ครบ",IF(NOT(ISNUMBER(B1403)),"⚠ วันที่ไม่ถูกต้อง",IF(COUNTIFS(Setup!$L$6:$L$60,D1403,Setup!$M$6:$M$60,C1403)=0,"⚠ หมวดไม่ตรงประเภท","✓"))))</f>
        <v/>
      </c>
    </row>
    <row r="1404">
      <c r="B1404" s="113" t="n"/>
      <c r="C1404" s="114" t="n"/>
      <c r="D1404" s="115" t="n"/>
      <c r="E1404" s="116" t="n"/>
      <c r="F1404" s="115" t="n"/>
      <c r="G1404" s="117">
        <f>IF(COUNTA(B1404:E1404)=0,"",IF(COUNTA(B1404:E1404)&lt;4,"⚠ กรอกไม่ครบ",IF(NOT(ISNUMBER(B1404)),"⚠ วันที่ไม่ถูกต้อง",IF(COUNTIFS(Setup!$L$6:$L$60,D1404,Setup!$M$6:$M$60,C1404)=0,"⚠ หมวดไม่ตรงประเภท","✓"))))</f>
        <v/>
      </c>
    </row>
    <row r="1405">
      <c r="B1405" s="113" t="n"/>
      <c r="C1405" s="114" t="n"/>
      <c r="D1405" s="115" t="n"/>
      <c r="E1405" s="116" t="n"/>
      <c r="F1405" s="115" t="n"/>
      <c r="G1405" s="117">
        <f>IF(COUNTA(B1405:E1405)=0,"",IF(COUNTA(B1405:E1405)&lt;4,"⚠ กรอกไม่ครบ",IF(NOT(ISNUMBER(B1405)),"⚠ วันที่ไม่ถูกต้อง",IF(COUNTIFS(Setup!$L$6:$L$60,D1405,Setup!$M$6:$M$60,C1405)=0,"⚠ หมวดไม่ตรงประเภท","✓"))))</f>
        <v/>
      </c>
    </row>
    <row r="1406">
      <c r="B1406" s="113" t="n"/>
      <c r="C1406" s="114" t="n"/>
      <c r="D1406" s="115" t="n"/>
      <c r="E1406" s="116" t="n"/>
      <c r="F1406" s="115" t="n"/>
      <c r="G1406" s="117">
        <f>IF(COUNTA(B1406:E1406)=0,"",IF(COUNTA(B1406:E1406)&lt;4,"⚠ กรอกไม่ครบ",IF(NOT(ISNUMBER(B1406)),"⚠ วันที่ไม่ถูกต้อง",IF(COUNTIFS(Setup!$L$6:$L$60,D1406,Setup!$M$6:$M$60,C1406)=0,"⚠ หมวดไม่ตรงประเภท","✓"))))</f>
        <v/>
      </c>
    </row>
    <row r="1407">
      <c r="B1407" s="113" t="n"/>
      <c r="C1407" s="114" t="n"/>
      <c r="D1407" s="115" t="n"/>
      <c r="E1407" s="116" t="n"/>
      <c r="F1407" s="115" t="n"/>
      <c r="G1407" s="117">
        <f>IF(COUNTA(B1407:E1407)=0,"",IF(COUNTA(B1407:E1407)&lt;4,"⚠ กรอกไม่ครบ",IF(NOT(ISNUMBER(B1407)),"⚠ วันที่ไม่ถูกต้อง",IF(COUNTIFS(Setup!$L$6:$L$60,D1407,Setup!$M$6:$M$60,C1407)=0,"⚠ หมวดไม่ตรงประเภท","✓"))))</f>
        <v/>
      </c>
    </row>
    <row r="1408">
      <c r="B1408" s="113" t="n"/>
      <c r="C1408" s="114" t="n"/>
      <c r="D1408" s="115" t="n"/>
      <c r="E1408" s="116" t="n"/>
      <c r="F1408" s="115" t="n"/>
      <c r="G1408" s="117">
        <f>IF(COUNTA(B1408:E1408)=0,"",IF(COUNTA(B1408:E1408)&lt;4,"⚠ กรอกไม่ครบ",IF(NOT(ISNUMBER(B1408)),"⚠ วันที่ไม่ถูกต้อง",IF(COUNTIFS(Setup!$L$6:$L$60,D1408,Setup!$M$6:$M$60,C1408)=0,"⚠ หมวดไม่ตรงประเภท","✓"))))</f>
        <v/>
      </c>
    </row>
    <row r="1409">
      <c r="B1409" s="113" t="n"/>
      <c r="C1409" s="114" t="n"/>
      <c r="D1409" s="115" t="n"/>
      <c r="E1409" s="116" t="n"/>
      <c r="F1409" s="115" t="n"/>
      <c r="G1409" s="117">
        <f>IF(COUNTA(B1409:E1409)=0,"",IF(COUNTA(B1409:E1409)&lt;4,"⚠ กรอกไม่ครบ",IF(NOT(ISNUMBER(B1409)),"⚠ วันที่ไม่ถูกต้อง",IF(COUNTIFS(Setup!$L$6:$L$60,D1409,Setup!$M$6:$M$60,C1409)=0,"⚠ หมวดไม่ตรงประเภท","✓"))))</f>
        <v/>
      </c>
    </row>
    <row r="1410">
      <c r="B1410" s="113" t="n"/>
      <c r="C1410" s="114" t="n"/>
      <c r="D1410" s="115" t="n"/>
      <c r="E1410" s="116" t="n"/>
      <c r="F1410" s="115" t="n"/>
      <c r="G1410" s="117">
        <f>IF(COUNTA(B1410:E1410)=0,"",IF(COUNTA(B1410:E1410)&lt;4,"⚠ กรอกไม่ครบ",IF(NOT(ISNUMBER(B1410)),"⚠ วันที่ไม่ถูกต้อง",IF(COUNTIFS(Setup!$L$6:$L$60,D1410,Setup!$M$6:$M$60,C1410)=0,"⚠ หมวดไม่ตรงประเภท","✓"))))</f>
        <v/>
      </c>
    </row>
    <row r="1411">
      <c r="B1411" s="113" t="n"/>
      <c r="C1411" s="114" t="n"/>
      <c r="D1411" s="115" t="n"/>
      <c r="E1411" s="116" t="n"/>
      <c r="F1411" s="115" t="n"/>
      <c r="G1411" s="117">
        <f>IF(COUNTA(B1411:E1411)=0,"",IF(COUNTA(B1411:E1411)&lt;4,"⚠ กรอกไม่ครบ",IF(NOT(ISNUMBER(B1411)),"⚠ วันที่ไม่ถูกต้อง",IF(COUNTIFS(Setup!$L$6:$L$60,D1411,Setup!$M$6:$M$60,C1411)=0,"⚠ หมวดไม่ตรงประเภท","✓"))))</f>
        <v/>
      </c>
    </row>
    <row r="1412">
      <c r="B1412" s="113" t="n"/>
      <c r="C1412" s="114" t="n"/>
      <c r="D1412" s="115" t="n"/>
      <c r="E1412" s="116" t="n"/>
      <c r="F1412" s="115" t="n"/>
      <c r="G1412" s="117">
        <f>IF(COUNTA(B1412:E1412)=0,"",IF(COUNTA(B1412:E1412)&lt;4,"⚠ กรอกไม่ครบ",IF(NOT(ISNUMBER(B1412)),"⚠ วันที่ไม่ถูกต้อง",IF(COUNTIFS(Setup!$L$6:$L$60,D1412,Setup!$M$6:$M$60,C1412)=0,"⚠ หมวดไม่ตรงประเภท","✓"))))</f>
        <v/>
      </c>
    </row>
    <row r="1413">
      <c r="B1413" s="113" t="n"/>
      <c r="C1413" s="114" t="n"/>
      <c r="D1413" s="115" t="n"/>
      <c r="E1413" s="116" t="n"/>
      <c r="F1413" s="115" t="n"/>
      <c r="G1413" s="117">
        <f>IF(COUNTA(B1413:E1413)=0,"",IF(COUNTA(B1413:E1413)&lt;4,"⚠ กรอกไม่ครบ",IF(NOT(ISNUMBER(B1413)),"⚠ วันที่ไม่ถูกต้อง",IF(COUNTIFS(Setup!$L$6:$L$60,D1413,Setup!$M$6:$M$60,C1413)=0,"⚠ หมวดไม่ตรงประเภท","✓"))))</f>
        <v/>
      </c>
    </row>
    <row r="1414">
      <c r="B1414" s="113" t="n"/>
      <c r="C1414" s="114" t="n"/>
      <c r="D1414" s="115" t="n"/>
      <c r="E1414" s="116" t="n"/>
      <c r="F1414" s="115" t="n"/>
      <c r="G1414" s="117">
        <f>IF(COUNTA(B1414:E1414)=0,"",IF(COUNTA(B1414:E1414)&lt;4,"⚠ กรอกไม่ครบ",IF(NOT(ISNUMBER(B1414)),"⚠ วันที่ไม่ถูกต้อง",IF(COUNTIFS(Setup!$L$6:$L$60,D1414,Setup!$M$6:$M$60,C1414)=0,"⚠ หมวดไม่ตรงประเภท","✓"))))</f>
        <v/>
      </c>
    </row>
    <row r="1415">
      <c r="B1415" s="113" t="n"/>
      <c r="C1415" s="114" t="n"/>
      <c r="D1415" s="115" t="n"/>
      <c r="E1415" s="116" t="n"/>
      <c r="F1415" s="115" t="n"/>
      <c r="G1415" s="117">
        <f>IF(COUNTA(B1415:E1415)=0,"",IF(COUNTA(B1415:E1415)&lt;4,"⚠ กรอกไม่ครบ",IF(NOT(ISNUMBER(B1415)),"⚠ วันที่ไม่ถูกต้อง",IF(COUNTIFS(Setup!$L$6:$L$60,D1415,Setup!$M$6:$M$60,C1415)=0,"⚠ หมวดไม่ตรงประเภท","✓"))))</f>
        <v/>
      </c>
    </row>
    <row r="1416">
      <c r="B1416" s="113" t="n"/>
      <c r="C1416" s="114" t="n"/>
      <c r="D1416" s="115" t="n"/>
      <c r="E1416" s="116" t="n"/>
      <c r="F1416" s="115" t="n"/>
      <c r="G1416" s="117">
        <f>IF(COUNTA(B1416:E1416)=0,"",IF(COUNTA(B1416:E1416)&lt;4,"⚠ กรอกไม่ครบ",IF(NOT(ISNUMBER(B1416)),"⚠ วันที่ไม่ถูกต้อง",IF(COUNTIFS(Setup!$L$6:$L$60,D1416,Setup!$M$6:$M$60,C1416)=0,"⚠ หมวดไม่ตรงประเภท","✓"))))</f>
        <v/>
      </c>
    </row>
    <row r="1417">
      <c r="B1417" s="113" t="n"/>
      <c r="C1417" s="114" t="n"/>
      <c r="D1417" s="115" t="n"/>
      <c r="E1417" s="116" t="n"/>
      <c r="F1417" s="115" t="n"/>
      <c r="G1417" s="117">
        <f>IF(COUNTA(B1417:E1417)=0,"",IF(COUNTA(B1417:E1417)&lt;4,"⚠ กรอกไม่ครบ",IF(NOT(ISNUMBER(B1417)),"⚠ วันที่ไม่ถูกต้อง",IF(COUNTIFS(Setup!$L$6:$L$60,D1417,Setup!$M$6:$M$60,C1417)=0,"⚠ หมวดไม่ตรงประเภท","✓"))))</f>
        <v/>
      </c>
    </row>
    <row r="1418">
      <c r="B1418" s="113" t="n"/>
      <c r="C1418" s="114" t="n"/>
      <c r="D1418" s="115" t="n"/>
      <c r="E1418" s="116" t="n"/>
      <c r="F1418" s="115" t="n"/>
      <c r="G1418" s="117">
        <f>IF(COUNTA(B1418:E1418)=0,"",IF(COUNTA(B1418:E1418)&lt;4,"⚠ กรอกไม่ครบ",IF(NOT(ISNUMBER(B1418)),"⚠ วันที่ไม่ถูกต้อง",IF(COUNTIFS(Setup!$L$6:$L$60,D1418,Setup!$M$6:$M$60,C1418)=0,"⚠ หมวดไม่ตรงประเภท","✓"))))</f>
        <v/>
      </c>
    </row>
    <row r="1419">
      <c r="B1419" s="113" t="n"/>
      <c r="C1419" s="114" t="n"/>
      <c r="D1419" s="115" t="n"/>
      <c r="E1419" s="116" t="n"/>
      <c r="F1419" s="115" t="n"/>
      <c r="G1419" s="117">
        <f>IF(COUNTA(B1419:E1419)=0,"",IF(COUNTA(B1419:E1419)&lt;4,"⚠ กรอกไม่ครบ",IF(NOT(ISNUMBER(B1419)),"⚠ วันที่ไม่ถูกต้อง",IF(COUNTIFS(Setup!$L$6:$L$60,D1419,Setup!$M$6:$M$60,C1419)=0,"⚠ หมวดไม่ตรงประเภท","✓"))))</f>
        <v/>
      </c>
    </row>
    <row r="1420">
      <c r="B1420" s="113" t="n"/>
      <c r="C1420" s="114" t="n"/>
      <c r="D1420" s="115" t="n"/>
      <c r="E1420" s="116" t="n"/>
      <c r="F1420" s="115" t="n"/>
      <c r="G1420" s="117">
        <f>IF(COUNTA(B1420:E1420)=0,"",IF(COUNTA(B1420:E1420)&lt;4,"⚠ กรอกไม่ครบ",IF(NOT(ISNUMBER(B1420)),"⚠ วันที่ไม่ถูกต้อง",IF(COUNTIFS(Setup!$L$6:$L$60,D1420,Setup!$M$6:$M$60,C1420)=0,"⚠ หมวดไม่ตรงประเภท","✓"))))</f>
        <v/>
      </c>
    </row>
    <row r="1421">
      <c r="B1421" s="113" t="n"/>
      <c r="C1421" s="114" t="n"/>
      <c r="D1421" s="115" t="n"/>
      <c r="E1421" s="116" t="n"/>
      <c r="F1421" s="115" t="n"/>
      <c r="G1421" s="117">
        <f>IF(COUNTA(B1421:E1421)=0,"",IF(COUNTA(B1421:E1421)&lt;4,"⚠ กรอกไม่ครบ",IF(NOT(ISNUMBER(B1421)),"⚠ วันที่ไม่ถูกต้อง",IF(COUNTIFS(Setup!$L$6:$L$60,D1421,Setup!$M$6:$M$60,C1421)=0,"⚠ หมวดไม่ตรงประเภท","✓"))))</f>
        <v/>
      </c>
    </row>
    <row r="1422">
      <c r="B1422" s="113" t="n"/>
      <c r="C1422" s="114" t="n"/>
      <c r="D1422" s="115" t="n"/>
      <c r="E1422" s="116" t="n"/>
      <c r="F1422" s="115" t="n"/>
      <c r="G1422" s="117">
        <f>IF(COUNTA(B1422:E1422)=0,"",IF(COUNTA(B1422:E1422)&lt;4,"⚠ กรอกไม่ครบ",IF(NOT(ISNUMBER(B1422)),"⚠ วันที่ไม่ถูกต้อง",IF(COUNTIFS(Setup!$L$6:$L$60,D1422,Setup!$M$6:$M$60,C1422)=0,"⚠ หมวดไม่ตรงประเภท","✓"))))</f>
        <v/>
      </c>
    </row>
    <row r="1423">
      <c r="B1423" s="113" t="n"/>
      <c r="C1423" s="114" t="n"/>
      <c r="D1423" s="115" t="n"/>
      <c r="E1423" s="116" t="n"/>
      <c r="F1423" s="115" t="n"/>
      <c r="G1423" s="117">
        <f>IF(COUNTA(B1423:E1423)=0,"",IF(COUNTA(B1423:E1423)&lt;4,"⚠ กรอกไม่ครบ",IF(NOT(ISNUMBER(B1423)),"⚠ วันที่ไม่ถูกต้อง",IF(COUNTIFS(Setup!$L$6:$L$60,D1423,Setup!$M$6:$M$60,C1423)=0,"⚠ หมวดไม่ตรงประเภท","✓"))))</f>
        <v/>
      </c>
    </row>
    <row r="1424">
      <c r="B1424" s="113" t="n"/>
      <c r="C1424" s="114" t="n"/>
      <c r="D1424" s="115" t="n"/>
      <c r="E1424" s="116" t="n"/>
      <c r="F1424" s="115" t="n"/>
      <c r="G1424" s="117">
        <f>IF(COUNTA(B1424:E1424)=0,"",IF(COUNTA(B1424:E1424)&lt;4,"⚠ กรอกไม่ครบ",IF(NOT(ISNUMBER(B1424)),"⚠ วันที่ไม่ถูกต้อง",IF(COUNTIFS(Setup!$L$6:$L$60,D1424,Setup!$M$6:$M$60,C1424)=0,"⚠ หมวดไม่ตรงประเภท","✓"))))</f>
        <v/>
      </c>
    </row>
    <row r="1425">
      <c r="B1425" s="113" t="n"/>
      <c r="C1425" s="114" t="n"/>
      <c r="D1425" s="115" t="n"/>
      <c r="E1425" s="116" t="n"/>
      <c r="F1425" s="115" t="n"/>
      <c r="G1425" s="117">
        <f>IF(COUNTA(B1425:E1425)=0,"",IF(COUNTA(B1425:E1425)&lt;4,"⚠ กรอกไม่ครบ",IF(NOT(ISNUMBER(B1425)),"⚠ วันที่ไม่ถูกต้อง",IF(COUNTIFS(Setup!$L$6:$L$60,D1425,Setup!$M$6:$M$60,C1425)=0,"⚠ หมวดไม่ตรงประเภท","✓"))))</f>
        <v/>
      </c>
    </row>
    <row r="1426">
      <c r="B1426" s="113" t="n"/>
      <c r="C1426" s="114" t="n"/>
      <c r="D1426" s="115" t="n"/>
      <c r="E1426" s="116" t="n"/>
      <c r="F1426" s="115" t="n"/>
      <c r="G1426" s="117">
        <f>IF(COUNTA(B1426:E1426)=0,"",IF(COUNTA(B1426:E1426)&lt;4,"⚠ กรอกไม่ครบ",IF(NOT(ISNUMBER(B1426)),"⚠ วันที่ไม่ถูกต้อง",IF(COUNTIFS(Setup!$L$6:$L$60,D1426,Setup!$M$6:$M$60,C1426)=0,"⚠ หมวดไม่ตรงประเภท","✓"))))</f>
        <v/>
      </c>
    </row>
    <row r="1427">
      <c r="B1427" s="113" t="n"/>
      <c r="C1427" s="114" t="n"/>
      <c r="D1427" s="115" t="n"/>
      <c r="E1427" s="116" t="n"/>
      <c r="F1427" s="115" t="n"/>
      <c r="G1427" s="117">
        <f>IF(COUNTA(B1427:E1427)=0,"",IF(COUNTA(B1427:E1427)&lt;4,"⚠ กรอกไม่ครบ",IF(NOT(ISNUMBER(B1427)),"⚠ วันที่ไม่ถูกต้อง",IF(COUNTIFS(Setup!$L$6:$L$60,D1427,Setup!$M$6:$M$60,C1427)=0,"⚠ หมวดไม่ตรงประเภท","✓"))))</f>
        <v/>
      </c>
    </row>
    <row r="1428">
      <c r="B1428" s="113" t="n"/>
      <c r="C1428" s="114" t="n"/>
      <c r="D1428" s="115" t="n"/>
      <c r="E1428" s="116" t="n"/>
      <c r="F1428" s="115" t="n"/>
      <c r="G1428" s="117">
        <f>IF(COUNTA(B1428:E1428)=0,"",IF(COUNTA(B1428:E1428)&lt;4,"⚠ กรอกไม่ครบ",IF(NOT(ISNUMBER(B1428)),"⚠ วันที่ไม่ถูกต้อง",IF(COUNTIFS(Setup!$L$6:$L$60,D1428,Setup!$M$6:$M$60,C1428)=0,"⚠ หมวดไม่ตรงประเภท","✓"))))</f>
        <v/>
      </c>
    </row>
    <row r="1429">
      <c r="B1429" s="113" t="n"/>
      <c r="C1429" s="114" t="n"/>
      <c r="D1429" s="115" t="n"/>
      <c r="E1429" s="116" t="n"/>
      <c r="F1429" s="115" t="n"/>
      <c r="G1429" s="117">
        <f>IF(COUNTA(B1429:E1429)=0,"",IF(COUNTA(B1429:E1429)&lt;4,"⚠ กรอกไม่ครบ",IF(NOT(ISNUMBER(B1429)),"⚠ วันที่ไม่ถูกต้อง",IF(COUNTIFS(Setup!$L$6:$L$60,D1429,Setup!$M$6:$M$60,C1429)=0,"⚠ หมวดไม่ตรงประเภท","✓"))))</f>
        <v/>
      </c>
    </row>
    <row r="1430">
      <c r="B1430" s="113" t="n"/>
      <c r="C1430" s="114" t="n"/>
      <c r="D1430" s="115" t="n"/>
      <c r="E1430" s="116" t="n"/>
      <c r="F1430" s="115" t="n"/>
      <c r="G1430" s="117">
        <f>IF(COUNTA(B1430:E1430)=0,"",IF(COUNTA(B1430:E1430)&lt;4,"⚠ กรอกไม่ครบ",IF(NOT(ISNUMBER(B1430)),"⚠ วันที่ไม่ถูกต้อง",IF(COUNTIFS(Setup!$L$6:$L$60,D1430,Setup!$M$6:$M$60,C1430)=0,"⚠ หมวดไม่ตรงประเภท","✓"))))</f>
        <v/>
      </c>
    </row>
    <row r="1431">
      <c r="B1431" s="113" t="n"/>
      <c r="C1431" s="114" t="n"/>
      <c r="D1431" s="115" t="n"/>
      <c r="E1431" s="116" t="n"/>
      <c r="F1431" s="115" t="n"/>
      <c r="G1431" s="117">
        <f>IF(COUNTA(B1431:E1431)=0,"",IF(COUNTA(B1431:E1431)&lt;4,"⚠ กรอกไม่ครบ",IF(NOT(ISNUMBER(B1431)),"⚠ วันที่ไม่ถูกต้อง",IF(COUNTIFS(Setup!$L$6:$L$60,D1431,Setup!$M$6:$M$60,C1431)=0,"⚠ หมวดไม่ตรงประเภท","✓"))))</f>
        <v/>
      </c>
    </row>
    <row r="1432">
      <c r="B1432" s="113" t="n"/>
      <c r="C1432" s="114" t="n"/>
      <c r="D1432" s="115" t="n"/>
      <c r="E1432" s="116" t="n"/>
      <c r="F1432" s="115" t="n"/>
      <c r="G1432" s="117">
        <f>IF(COUNTA(B1432:E1432)=0,"",IF(COUNTA(B1432:E1432)&lt;4,"⚠ กรอกไม่ครบ",IF(NOT(ISNUMBER(B1432)),"⚠ วันที่ไม่ถูกต้อง",IF(COUNTIFS(Setup!$L$6:$L$60,D1432,Setup!$M$6:$M$60,C1432)=0,"⚠ หมวดไม่ตรงประเภท","✓"))))</f>
        <v/>
      </c>
    </row>
    <row r="1433">
      <c r="B1433" s="113" t="n"/>
      <c r="C1433" s="114" t="n"/>
      <c r="D1433" s="115" t="n"/>
      <c r="E1433" s="116" t="n"/>
      <c r="F1433" s="115" t="n"/>
      <c r="G1433" s="117">
        <f>IF(COUNTA(B1433:E1433)=0,"",IF(COUNTA(B1433:E1433)&lt;4,"⚠ กรอกไม่ครบ",IF(NOT(ISNUMBER(B1433)),"⚠ วันที่ไม่ถูกต้อง",IF(COUNTIFS(Setup!$L$6:$L$60,D1433,Setup!$M$6:$M$60,C1433)=0,"⚠ หมวดไม่ตรงประเภท","✓"))))</f>
        <v/>
      </c>
    </row>
    <row r="1434">
      <c r="B1434" s="113" t="n"/>
      <c r="C1434" s="114" t="n"/>
      <c r="D1434" s="115" t="n"/>
      <c r="E1434" s="116" t="n"/>
      <c r="F1434" s="115" t="n"/>
      <c r="G1434" s="117">
        <f>IF(COUNTA(B1434:E1434)=0,"",IF(COUNTA(B1434:E1434)&lt;4,"⚠ กรอกไม่ครบ",IF(NOT(ISNUMBER(B1434)),"⚠ วันที่ไม่ถูกต้อง",IF(COUNTIFS(Setup!$L$6:$L$60,D1434,Setup!$M$6:$M$60,C1434)=0,"⚠ หมวดไม่ตรงประเภท","✓"))))</f>
        <v/>
      </c>
    </row>
    <row r="1435">
      <c r="B1435" s="113" t="n"/>
      <c r="C1435" s="114" t="n"/>
      <c r="D1435" s="115" t="n"/>
      <c r="E1435" s="116" t="n"/>
      <c r="F1435" s="115" t="n"/>
      <c r="G1435" s="117">
        <f>IF(COUNTA(B1435:E1435)=0,"",IF(COUNTA(B1435:E1435)&lt;4,"⚠ กรอกไม่ครบ",IF(NOT(ISNUMBER(B1435)),"⚠ วันที่ไม่ถูกต้อง",IF(COUNTIFS(Setup!$L$6:$L$60,D1435,Setup!$M$6:$M$60,C1435)=0,"⚠ หมวดไม่ตรงประเภท","✓"))))</f>
        <v/>
      </c>
    </row>
    <row r="1436">
      <c r="B1436" s="113" t="n"/>
      <c r="C1436" s="114" t="n"/>
      <c r="D1436" s="115" t="n"/>
      <c r="E1436" s="116" t="n"/>
      <c r="F1436" s="115" t="n"/>
      <c r="G1436" s="117">
        <f>IF(COUNTA(B1436:E1436)=0,"",IF(COUNTA(B1436:E1436)&lt;4,"⚠ กรอกไม่ครบ",IF(NOT(ISNUMBER(B1436)),"⚠ วันที่ไม่ถูกต้อง",IF(COUNTIFS(Setup!$L$6:$L$60,D1436,Setup!$M$6:$M$60,C1436)=0,"⚠ หมวดไม่ตรงประเภท","✓"))))</f>
        <v/>
      </c>
    </row>
    <row r="1437">
      <c r="B1437" s="113" t="n"/>
      <c r="C1437" s="114" t="n"/>
      <c r="D1437" s="115" t="n"/>
      <c r="E1437" s="116" t="n"/>
      <c r="F1437" s="115" t="n"/>
      <c r="G1437" s="117">
        <f>IF(COUNTA(B1437:E1437)=0,"",IF(COUNTA(B1437:E1437)&lt;4,"⚠ กรอกไม่ครบ",IF(NOT(ISNUMBER(B1437)),"⚠ วันที่ไม่ถูกต้อง",IF(COUNTIFS(Setup!$L$6:$L$60,D1437,Setup!$M$6:$M$60,C1437)=0,"⚠ หมวดไม่ตรงประเภท","✓"))))</f>
        <v/>
      </c>
    </row>
    <row r="1438">
      <c r="B1438" s="113" t="n"/>
      <c r="C1438" s="114" t="n"/>
      <c r="D1438" s="115" t="n"/>
      <c r="E1438" s="116" t="n"/>
      <c r="F1438" s="115" t="n"/>
      <c r="G1438" s="117">
        <f>IF(COUNTA(B1438:E1438)=0,"",IF(COUNTA(B1438:E1438)&lt;4,"⚠ กรอกไม่ครบ",IF(NOT(ISNUMBER(B1438)),"⚠ วันที่ไม่ถูกต้อง",IF(COUNTIFS(Setup!$L$6:$L$60,D1438,Setup!$M$6:$M$60,C1438)=0,"⚠ หมวดไม่ตรงประเภท","✓"))))</f>
        <v/>
      </c>
    </row>
    <row r="1439">
      <c r="B1439" s="113" t="n"/>
      <c r="C1439" s="114" t="n"/>
      <c r="D1439" s="115" t="n"/>
      <c r="E1439" s="116" t="n"/>
      <c r="F1439" s="115" t="n"/>
      <c r="G1439" s="117">
        <f>IF(COUNTA(B1439:E1439)=0,"",IF(COUNTA(B1439:E1439)&lt;4,"⚠ กรอกไม่ครบ",IF(NOT(ISNUMBER(B1439)),"⚠ วันที่ไม่ถูกต้อง",IF(COUNTIFS(Setup!$L$6:$L$60,D1439,Setup!$M$6:$M$60,C1439)=0,"⚠ หมวดไม่ตรงประเภท","✓"))))</f>
        <v/>
      </c>
    </row>
    <row r="1440">
      <c r="B1440" s="113" t="n"/>
      <c r="C1440" s="114" t="n"/>
      <c r="D1440" s="115" t="n"/>
      <c r="E1440" s="116" t="n"/>
      <c r="F1440" s="115" t="n"/>
      <c r="G1440" s="117">
        <f>IF(COUNTA(B1440:E1440)=0,"",IF(COUNTA(B1440:E1440)&lt;4,"⚠ กรอกไม่ครบ",IF(NOT(ISNUMBER(B1440)),"⚠ วันที่ไม่ถูกต้อง",IF(COUNTIFS(Setup!$L$6:$L$60,D1440,Setup!$M$6:$M$60,C1440)=0,"⚠ หมวดไม่ตรงประเภท","✓"))))</f>
        <v/>
      </c>
    </row>
    <row r="1441">
      <c r="B1441" s="113" t="n"/>
      <c r="C1441" s="114" t="n"/>
      <c r="D1441" s="115" t="n"/>
      <c r="E1441" s="116" t="n"/>
      <c r="F1441" s="115" t="n"/>
      <c r="G1441" s="117">
        <f>IF(COUNTA(B1441:E1441)=0,"",IF(COUNTA(B1441:E1441)&lt;4,"⚠ กรอกไม่ครบ",IF(NOT(ISNUMBER(B1441)),"⚠ วันที่ไม่ถูกต้อง",IF(COUNTIFS(Setup!$L$6:$L$60,D1441,Setup!$M$6:$M$60,C1441)=0,"⚠ หมวดไม่ตรงประเภท","✓"))))</f>
        <v/>
      </c>
    </row>
    <row r="1442">
      <c r="B1442" s="113" t="n"/>
      <c r="C1442" s="114" t="n"/>
      <c r="D1442" s="115" t="n"/>
      <c r="E1442" s="116" t="n"/>
      <c r="F1442" s="115" t="n"/>
      <c r="G1442" s="117">
        <f>IF(COUNTA(B1442:E1442)=0,"",IF(COUNTA(B1442:E1442)&lt;4,"⚠ กรอกไม่ครบ",IF(NOT(ISNUMBER(B1442)),"⚠ วันที่ไม่ถูกต้อง",IF(COUNTIFS(Setup!$L$6:$L$60,D1442,Setup!$M$6:$M$60,C1442)=0,"⚠ หมวดไม่ตรงประเภท","✓"))))</f>
        <v/>
      </c>
    </row>
    <row r="1443">
      <c r="B1443" s="113" t="n"/>
      <c r="C1443" s="114" t="n"/>
      <c r="D1443" s="115" t="n"/>
      <c r="E1443" s="116" t="n"/>
      <c r="F1443" s="115" t="n"/>
      <c r="G1443" s="117">
        <f>IF(COUNTA(B1443:E1443)=0,"",IF(COUNTA(B1443:E1443)&lt;4,"⚠ กรอกไม่ครบ",IF(NOT(ISNUMBER(B1443)),"⚠ วันที่ไม่ถูกต้อง",IF(COUNTIFS(Setup!$L$6:$L$60,D1443,Setup!$M$6:$M$60,C1443)=0,"⚠ หมวดไม่ตรงประเภท","✓"))))</f>
        <v/>
      </c>
    </row>
    <row r="1444">
      <c r="B1444" s="113" t="n"/>
      <c r="C1444" s="114" t="n"/>
      <c r="D1444" s="115" t="n"/>
      <c r="E1444" s="116" t="n"/>
      <c r="F1444" s="115" t="n"/>
      <c r="G1444" s="117">
        <f>IF(COUNTA(B1444:E1444)=0,"",IF(COUNTA(B1444:E1444)&lt;4,"⚠ กรอกไม่ครบ",IF(NOT(ISNUMBER(B1444)),"⚠ วันที่ไม่ถูกต้อง",IF(COUNTIFS(Setup!$L$6:$L$60,D1444,Setup!$M$6:$M$60,C1444)=0,"⚠ หมวดไม่ตรงประเภท","✓"))))</f>
        <v/>
      </c>
    </row>
    <row r="1445">
      <c r="B1445" s="113" t="n"/>
      <c r="C1445" s="114" t="n"/>
      <c r="D1445" s="115" t="n"/>
      <c r="E1445" s="116" t="n"/>
      <c r="F1445" s="115" t="n"/>
      <c r="G1445" s="117">
        <f>IF(COUNTA(B1445:E1445)=0,"",IF(COUNTA(B1445:E1445)&lt;4,"⚠ กรอกไม่ครบ",IF(NOT(ISNUMBER(B1445)),"⚠ วันที่ไม่ถูกต้อง",IF(COUNTIFS(Setup!$L$6:$L$60,D1445,Setup!$M$6:$M$60,C1445)=0,"⚠ หมวดไม่ตรงประเภท","✓"))))</f>
        <v/>
      </c>
    </row>
    <row r="1446">
      <c r="B1446" s="113" t="n"/>
      <c r="C1446" s="114" t="n"/>
      <c r="D1446" s="115" t="n"/>
      <c r="E1446" s="116" t="n"/>
      <c r="F1446" s="115" t="n"/>
      <c r="G1446" s="117">
        <f>IF(COUNTA(B1446:E1446)=0,"",IF(COUNTA(B1446:E1446)&lt;4,"⚠ กรอกไม่ครบ",IF(NOT(ISNUMBER(B1446)),"⚠ วันที่ไม่ถูกต้อง",IF(COUNTIFS(Setup!$L$6:$L$60,D1446,Setup!$M$6:$M$60,C1446)=0,"⚠ หมวดไม่ตรงประเภท","✓"))))</f>
        <v/>
      </c>
    </row>
    <row r="1447">
      <c r="B1447" s="113" t="n"/>
      <c r="C1447" s="114" t="n"/>
      <c r="D1447" s="115" t="n"/>
      <c r="E1447" s="116" t="n"/>
      <c r="F1447" s="115" t="n"/>
      <c r="G1447" s="117">
        <f>IF(COUNTA(B1447:E1447)=0,"",IF(COUNTA(B1447:E1447)&lt;4,"⚠ กรอกไม่ครบ",IF(NOT(ISNUMBER(B1447)),"⚠ วันที่ไม่ถูกต้อง",IF(COUNTIFS(Setup!$L$6:$L$60,D1447,Setup!$M$6:$M$60,C1447)=0,"⚠ หมวดไม่ตรงประเภท","✓"))))</f>
        <v/>
      </c>
    </row>
    <row r="1448">
      <c r="B1448" s="113" t="n"/>
      <c r="C1448" s="114" t="n"/>
      <c r="D1448" s="115" t="n"/>
      <c r="E1448" s="116" t="n"/>
      <c r="F1448" s="115" t="n"/>
      <c r="G1448" s="117">
        <f>IF(COUNTA(B1448:E1448)=0,"",IF(COUNTA(B1448:E1448)&lt;4,"⚠ กรอกไม่ครบ",IF(NOT(ISNUMBER(B1448)),"⚠ วันที่ไม่ถูกต้อง",IF(COUNTIFS(Setup!$L$6:$L$60,D1448,Setup!$M$6:$M$60,C1448)=0,"⚠ หมวดไม่ตรงประเภท","✓"))))</f>
        <v/>
      </c>
    </row>
    <row r="1449">
      <c r="B1449" s="113" t="n"/>
      <c r="C1449" s="114" t="n"/>
      <c r="D1449" s="115" t="n"/>
      <c r="E1449" s="116" t="n"/>
      <c r="F1449" s="115" t="n"/>
      <c r="G1449" s="117">
        <f>IF(COUNTA(B1449:E1449)=0,"",IF(COUNTA(B1449:E1449)&lt;4,"⚠ กรอกไม่ครบ",IF(NOT(ISNUMBER(B1449)),"⚠ วันที่ไม่ถูกต้อง",IF(COUNTIFS(Setup!$L$6:$L$60,D1449,Setup!$M$6:$M$60,C1449)=0,"⚠ หมวดไม่ตรงประเภท","✓"))))</f>
        <v/>
      </c>
    </row>
    <row r="1450">
      <c r="B1450" s="113" t="n"/>
      <c r="C1450" s="114" t="n"/>
      <c r="D1450" s="115" t="n"/>
      <c r="E1450" s="116" t="n"/>
      <c r="F1450" s="115" t="n"/>
      <c r="G1450" s="117">
        <f>IF(COUNTA(B1450:E1450)=0,"",IF(COUNTA(B1450:E1450)&lt;4,"⚠ กรอกไม่ครบ",IF(NOT(ISNUMBER(B1450)),"⚠ วันที่ไม่ถูกต้อง",IF(COUNTIFS(Setup!$L$6:$L$60,D1450,Setup!$M$6:$M$60,C1450)=0,"⚠ หมวดไม่ตรงประเภท","✓"))))</f>
        <v/>
      </c>
    </row>
    <row r="1451">
      <c r="B1451" s="113" t="n"/>
      <c r="C1451" s="114" t="n"/>
      <c r="D1451" s="115" t="n"/>
      <c r="E1451" s="116" t="n"/>
      <c r="F1451" s="115" t="n"/>
      <c r="G1451" s="117">
        <f>IF(COUNTA(B1451:E1451)=0,"",IF(COUNTA(B1451:E1451)&lt;4,"⚠ กรอกไม่ครบ",IF(NOT(ISNUMBER(B1451)),"⚠ วันที่ไม่ถูกต้อง",IF(COUNTIFS(Setup!$L$6:$L$60,D1451,Setup!$M$6:$M$60,C1451)=0,"⚠ หมวดไม่ตรงประเภท","✓"))))</f>
        <v/>
      </c>
    </row>
    <row r="1452">
      <c r="B1452" s="113" t="n"/>
      <c r="C1452" s="114" t="n"/>
      <c r="D1452" s="115" t="n"/>
      <c r="E1452" s="116" t="n"/>
      <c r="F1452" s="115" t="n"/>
      <c r="G1452" s="117">
        <f>IF(COUNTA(B1452:E1452)=0,"",IF(COUNTA(B1452:E1452)&lt;4,"⚠ กรอกไม่ครบ",IF(NOT(ISNUMBER(B1452)),"⚠ วันที่ไม่ถูกต้อง",IF(COUNTIFS(Setup!$L$6:$L$60,D1452,Setup!$M$6:$M$60,C1452)=0,"⚠ หมวดไม่ตรงประเภท","✓"))))</f>
        <v/>
      </c>
    </row>
    <row r="1453">
      <c r="B1453" s="113" t="n"/>
      <c r="C1453" s="114" t="n"/>
      <c r="D1453" s="115" t="n"/>
      <c r="E1453" s="116" t="n"/>
      <c r="F1453" s="115" t="n"/>
      <c r="G1453" s="117">
        <f>IF(COUNTA(B1453:E1453)=0,"",IF(COUNTA(B1453:E1453)&lt;4,"⚠ กรอกไม่ครบ",IF(NOT(ISNUMBER(B1453)),"⚠ วันที่ไม่ถูกต้อง",IF(COUNTIFS(Setup!$L$6:$L$60,D1453,Setup!$M$6:$M$60,C1453)=0,"⚠ หมวดไม่ตรงประเภท","✓"))))</f>
        <v/>
      </c>
    </row>
    <row r="1454">
      <c r="B1454" s="113" t="n"/>
      <c r="C1454" s="114" t="n"/>
      <c r="D1454" s="115" t="n"/>
      <c r="E1454" s="116" t="n"/>
      <c r="F1454" s="115" t="n"/>
      <c r="G1454" s="117">
        <f>IF(COUNTA(B1454:E1454)=0,"",IF(COUNTA(B1454:E1454)&lt;4,"⚠ กรอกไม่ครบ",IF(NOT(ISNUMBER(B1454)),"⚠ วันที่ไม่ถูกต้อง",IF(COUNTIFS(Setup!$L$6:$L$60,D1454,Setup!$M$6:$M$60,C1454)=0,"⚠ หมวดไม่ตรงประเภท","✓"))))</f>
        <v/>
      </c>
    </row>
    <row r="1455">
      <c r="B1455" s="113" t="n"/>
      <c r="C1455" s="114" t="n"/>
      <c r="D1455" s="115" t="n"/>
      <c r="E1455" s="116" t="n"/>
      <c r="F1455" s="115" t="n"/>
      <c r="G1455" s="117">
        <f>IF(COUNTA(B1455:E1455)=0,"",IF(COUNTA(B1455:E1455)&lt;4,"⚠ กรอกไม่ครบ",IF(NOT(ISNUMBER(B1455)),"⚠ วันที่ไม่ถูกต้อง",IF(COUNTIFS(Setup!$L$6:$L$60,D1455,Setup!$M$6:$M$60,C1455)=0,"⚠ หมวดไม่ตรงประเภท","✓"))))</f>
        <v/>
      </c>
    </row>
    <row r="1456">
      <c r="B1456" s="113" t="n"/>
      <c r="C1456" s="114" t="n"/>
      <c r="D1456" s="115" t="n"/>
      <c r="E1456" s="116" t="n"/>
      <c r="F1456" s="115" t="n"/>
      <c r="G1456" s="117">
        <f>IF(COUNTA(B1456:E1456)=0,"",IF(COUNTA(B1456:E1456)&lt;4,"⚠ กรอกไม่ครบ",IF(NOT(ISNUMBER(B1456)),"⚠ วันที่ไม่ถูกต้อง",IF(COUNTIFS(Setup!$L$6:$L$60,D1456,Setup!$M$6:$M$60,C1456)=0,"⚠ หมวดไม่ตรงประเภท","✓"))))</f>
        <v/>
      </c>
    </row>
    <row r="1457">
      <c r="B1457" s="113" t="n"/>
      <c r="C1457" s="114" t="n"/>
      <c r="D1457" s="115" t="n"/>
      <c r="E1457" s="116" t="n"/>
      <c r="F1457" s="115" t="n"/>
      <c r="G1457" s="117">
        <f>IF(COUNTA(B1457:E1457)=0,"",IF(COUNTA(B1457:E1457)&lt;4,"⚠ กรอกไม่ครบ",IF(NOT(ISNUMBER(B1457)),"⚠ วันที่ไม่ถูกต้อง",IF(COUNTIFS(Setup!$L$6:$L$60,D1457,Setup!$M$6:$M$60,C1457)=0,"⚠ หมวดไม่ตรงประเภท","✓"))))</f>
        <v/>
      </c>
    </row>
    <row r="1458">
      <c r="B1458" s="113" t="n"/>
      <c r="C1458" s="114" t="n"/>
      <c r="D1458" s="115" t="n"/>
      <c r="E1458" s="116" t="n"/>
      <c r="F1458" s="115" t="n"/>
      <c r="G1458" s="117">
        <f>IF(COUNTA(B1458:E1458)=0,"",IF(COUNTA(B1458:E1458)&lt;4,"⚠ กรอกไม่ครบ",IF(NOT(ISNUMBER(B1458)),"⚠ วันที่ไม่ถูกต้อง",IF(COUNTIFS(Setup!$L$6:$L$60,D1458,Setup!$M$6:$M$60,C1458)=0,"⚠ หมวดไม่ตรงประเภท","✓"))))</f>
        <v/>
      </c>
    </row>
    <row r="1459">
      <c r="B1459" s="113" t="n"/>
      <c r="C1459" s="114" t="n"/>
      <c r="D1459" s="115" t="n"/>
      <c r="E1459" s="116" t="n"/>
      <c r="F1459" s="115" t="n"/>
      <c r="G1459" s="117">
        <f>IF(COUNTA(B1459:E1459)=0,"",IF(COUNTA(B1459:E1459)&lt;4,"⚠ กรอกไม่ครบ",IF(NOT(ISNUMBER(B1459)),"⚠ วันที่ไม่ถูกต้อง",IF(COUNTIFS(Setup!$L$6:$L$60,D1459,Setup!$M$6:$M$60,C1459)=0,"⚠ หมวดไม่ตรงประเภท","✓"))))</f>
        <v/>
      </c>
    </row>
    <row r="1460">
      <c r="B1460" s="113" t="n"/>
      <c r="C1460" s="114" t="n"/>
      <c r="D1460" s="115" t="n"/>
      <c r="E1460" s="116" t="n"/>
      <c r="F1460" s="115" t="n"/>
      <c r="G1460" s="117">
        <f>IF(COUNTA(B1460:E1460)=0,"",IF(COUNTA(B1460:E1460)&lt;4,"⚠ กรอกไม่ครบ",IF(NOT(ISNUMBER(B1460)),"⚠ วันที่ไม่ถูกต้อง",IF(COUNTIFS(Setup!$L$6:$L$60,D1460,Setup!$M$6:$M$60,C1460)=0,"⚠ หมวดไม่ตรงประเภท","✓"))))</f>
        <v/>
      </c>
    </row>
    <row r="1461">
      <c r="B1461" s="113" t="n"/>
      <c r="C1461" s="114" t="n"/>
      <c r="D1461" s="115" t="n"/>
      <c r="E1461" s="116" t="n"/>
      <c r="F1461" s="115" t="n"/>
      <c r="G1461" s="117">
        <f>IF(COUNTA(B1461:E1461)=0,"",IF(COUNTA(B1461:E1461)&lt;4,"⚠ กรอกไม่ครบ",IF(NOT(ISNUMBER(B1461)),"⚠ วันที่ไม่ถูกต้อง",IF(COUNTIFS(Setup!$L$6:$L$60,D1461,Setup!$M$6:$M$60,C1461)=0,"⚠ หมวดไม่ตรงประเภท","✓"))))</f>
        <v/>
      </c>
    </row>
    <row r="1462">
      <c r="B1462" s="113" t="n"/>
      <c r="C1462" s="114" t="n"/>
      <c r="D1462" s="115" t="n"/>
      <c r="E1462" s="116" t="n"/>
      <c r="F1462" s="115" t="n"/>
      <c r="G1462" s="117">
        <f>IF(COUNTA(B1462:E1462)=0,"",IF(COUNTA(B1462:E1462)&lt;4,"⚠ กรอกไม่ครบ",IF(NOT(ISNUMBER(B1462)),"⚠ วันที่ไม่ถูกต้อง",IF(COUNTIFS(Setup!$L$6:$L$60,D1462,Setup!$M$6:$M$60,C1462)=0,"⚠ หมวดไม่ตรงประเภท","✓"))))</f>
        <v/>
      </c>
    </row>
    <row r="1463">
      <c r="B1463" s="113" t="n"/>
      <c r="C1463" s="114" t="n"/>
      <c r="D1463" s="115" t="n"/>
      <c r="E1463" s="116" t="n"/>
      <c r="F1463" s="115" t="n"/>
      <c r="G1463" s="117">
        <f>IF(COUNTA(B1463:E1463)=0,"",IF(COUNTA(B1463:E1463)&lt;4,"⚠ กรอกไม่ครบ",IF(NOT(ISNUMBER(B1463)),"⚠ วันที่ไม่ถูกต้อง",IF(COUNTIFS(Setup!$L$6:$L$60,D1463,Setup!$M$6:$M$60,C1463)=0,"⚠ หมวดไม่ตรงประเภท","✓"))))</f>
        <v/>
      </c>
    </row>
    <row r="1464">
      <c r="B1464" s="113" t="n"/>
      <c r="C1464" s="114" t="n"/>
      <c r="D1464" s="115" t="n"/>
      <c r="E1464" s="116" t="n"/>
      <c r="F1464" s="115" t="n"/>
      <c r="G1464" s="117">
        <f>IF(COUNTA(B1464:E1464)=0,"",IF(COUNTA(B1464:E1464)&lt;4,"⚠ กรอกไม่ครบ",IF(NOT(ISNUMBER(B1464)),"⚠ วันที่ไม่ถูกต้อง",IF(COUNTIFS(Setup!$L$6:$L$60,D1464,Setup!$M$6:$M$60,C1464)=0,"⚠ หมวดไม่ตรงประเภท","✓"))))</f>
        <v/>
      </c>
    </row>
    <row r="1465">
      <c r="B1465" s="113" t="n"/>
      <c r="C1465" s="114" t="n"/>
      <c r="D1465" s="115" t="n"/>
      <c r="E1465" s="116" t="n"/>
      <c r="F1465" s="115" t="n"/>
      <c r="G1465" s="117">
        <f>IF(COUNTA(B1465:E1465)=0,"",IF(COUNTA(B1465:E1465)&lt;4,"⚠ กรอกไม่ครบ",IF(NOT(ISNUMBER(B1465)),"⚠ วันที่ไม่ถูกต้อง",IF(COUNTIFS(Setup!$L$6:$L$60,D1465,Setup!$M$6:$M$60,C1465)=0,"⚠ หมวดไม่ตรงประเภท","✓"))))</f>
        <v/>
      </c>
    </row>
    <row r="1466">
      <c r="B1466" s="113" t="n"/>
      <c r="C1466" s="114" t="n"/>
      <c r="D1466" s="115" t="n"/>
      <c r="E1466" s="116" t="n"/>
      <c r="F1466" s="115" t="n"/>
      <c r="G1466" s="117">
        <f>IF(COUNTA(B1466:E1466)=0,"",IF(COUNTA(B1466:E1466)&lt;4,"⚠ กรอกไม่ครบ",IF(NOT(ISNUMBER(B1466)),"⚠ วันที่ไม่ถูกต้อง",IF(COUNTIFS(Setup!$L$6:$L$60,D1466,Setup!$M$6:$M$60,C1466)=0,"⚠ หมวดไม่ตรงประเภท","✓"))))</f>
        <v/>
      </c>
    </row>
    <row r="1467">
      <c r="B1467" s="113" t="n"/>
      <c r="C1467" s="114" t="n"/>
      <c r="D1467" s="115" t="n"/>
      <c r="E1467" s="116" t="n"/>
      <c r="F1467" s="115" t="n"/>
      <c r="G1467" s="117">
        <f>IF(COUNTA(B1467:E1467)=0,"",IF(COUNTA(B1467:E1467)&lt;4,"⚠ กรอกไม่ครบ",IF(NOT(ISNUMBER(B1467)),"⚠ วันที่ไม่ถูกต้อง",IF(COUNTIFS(Setup!$L$6:$L$60,D1467,Setup!$M$6:$M$60,C1467)=0,"⚠ หมวดไม่ตรงประเภท","✓"))))</f>
        <v/>
      </c>
    </row>
    <row r="1468">
      <c r="B1468" s="113" t="n"/>
      <c r="C1468" s="114" t="n"/>
      <c r="D1468" s="115" t="n"/>
      <c r="E1468" s="116" t="n"/>
      <c r="F1468" s="115" t="n"/>
      <c r="G1468" s="117">
        <f>IF(COUNTA(B1468:E1468)=0,"",IF(COUNTA(B1468:E1468)&lt;4,"⚠ กรอกไม่ครบ",IF(NOT(ISNUMBER(B1468)),"⚠ วันที่ไม่ถูกต้อง",IF(COUNTIFS(Setup!$L$6:$L$60,D1468,Setup!$M$6:$M$60,C1468)=0,"⚠ หมวดไม่ตรงประเภท","✓"))))</f>
        <v/>
      </c>
    </row>
    <row r="1469">
      <c r="B1469" s="113" t="n"/>
      <c r="C1469" s="114" t="n"/>
      <c r="D1469" s="115" t="n"/>
      <c r="E1469" s="116" t="n"/>
      <c r="F1469" s="115" t="n"/>
      <c r="G1469" s="117">
        <f>IF(COUNTA(B1469:E1469)=0,"",IF(COUNTA(B1469:E1469)&lt;4,"⚠ กรอกไม่ครบ",IF(NOT(ISNUMBER(B1469)),"⚠ วันที่ไม่ถูกต้อง",IF(COUNTIFS(Setup!$L$6:$L$60,D1469,Setup!$M$6:$M$60,C1469)=0,"⚠ หมวดไม่ตรงประเภท","✓"))))</f>
        <v/>
      </c>
    </row>
    <row r="1470">
      <c r="B1470" s="113" t="n"/>
      <c r="C1470" s="114" t="n"/>
      <c r="D1470" s="115" t="n"/>
      <c r="E1470" s="116" t="n"/>
      <c r="F1470" s="115" t="n"/>
      <c r="G1470" s="117">
        <f>IF(COUNTA(B1470:E1470)=0,"",IF(COUNTA(B1470:E1470)&lt;4,"⚠ กรอกไม่ครบ",IF(NOT(ISNUMBER(B1470)),"⚠ วันที่ไม่ถูกต้อง",IF(COUNTIFS(Setup!$L$6:$L$60,D1470,Setup!$M$6:$M$60,C1470)=0,"⚠ หมวดไม่ตรงประเภท","✓"))))</f>
        <v/>
      </c>
    </row>
    <row r="1471">
      <c r="B1471" s="113" t="n"/>
      <c r="C1471" s="114" t="n"/>
      <c r="D1471" s="115" t="n"/>
      <c r="E1471" s="116" t="n"/>
      <c r="F1471" s="115" t="n"/>
      <c r="G1471" s="117">
        <f>IF(COUNTA(B1471:E1471)=0,"",IF(COUNTA(B1471:E1471)&lt;4,"⚠ กรอกไม่ครบ",IF(NOT(ISNUMBER(B1471)),"⚠ วันที่ไม่ถูกต้อง",IF(COUNTIFS(Setup!$L$6:$L$60,D1471,Setup!$M$6:$M$60,C1471)=0,"⚠ หมวดไม่ตรงประเภท","✓"))))</f>
        <v/>
      </c>
    </row>
    <row r="1472">
      <c r="B1472" s="113" t="n"/>
      <c r="C1472" s="114" t="n"/>
      <c r="D1472" s="115" t="n"/>
      <c r="E1472" s="116" t="n"/>
      <c r="F1472" s="115" t="n"/>
      <c r="G1472" s="117">
        <f>IF(COUNTA(B1472:E1472)=0,"",IF(COUNTA(B1472:E1472)&lt;4,"⚠ กรอกไม่ครบ",IF(NOT(ISNUMBER(B1472)),"⚠ วันที่ไม่ถูกต้อง",IF(COUNTIFS(Setup!$L$6:$L$60,D1472,Setup!$M$6:$M$60,C1472)=0,"⚠ หมวดไม่ตรงประเภท","✓"))))</f>
        <v/>
      </c>
    </row>
    <row r="1473">
      <c r="B1473" s="113" t="n"/>
      <c r="C1473" s="114" t="n"/>
      <c r="D1473" s="115" t="n"/>
      <c r="E1473" s="116" t="n"/>
      <c r="F1473" s="115" t="n"/>
      <c r="G1473" s="117">
        <f>IF(COUNTA(B1473:E1473)=0,"",IF(COUNTA(B1473:E1473)&lt;4,"⚠ กรอกไม่ครบ",IF(NOT(ISNUMBER(B1473)),"⚠ วันที่ไม่ถูกต้อง",IF(COUNTIFS(Setup!$L$6:$L$60,D1473,Setup!$M$6:$M$60,C1473)=0,"⚠ หมวดไม่ตรงประเภท","✓"))))</f>
        <v/>
      </c>
    </row>
    <row r="1474">
      <c r="B1474" s="113" t="n"/>
      <c r="C1474" s="114" t="n"/>
      <c r="D1474" s="115" t="n"/>
      <c r="E1474" s="116" t="n"/>
      <c r="F1474" s="115" t="n"/>
      <c r="G1474" s="117">
        <f>IF(COUNTA(B1474:E1474)=0,"",IF(COUNTA(B1474:E1474)&lt;4,"⚠ กรอกไม่ครบ",IF(NOT(ISNUMBER(B1474)),"⚠ วันที่ไม่ถูกต้อง",IF(COUNTIFS(Setup!$L$6:$L$60,D1474,Setup!$M$6:$M$60,C1474)=0,"⚠ หมวดไม่ตรงประเภท","✓"))))</f>
        <v/>
      </c>
    </row>
    <row r="1475">
      <c r="B1475" s="113" t="n"/>
      <c r="C1475" s="114" t="n"/>
      <c r="D1475" s="115" t="n"/>
      <c r="E1475" s="116" t="n"/>
      <c r="F1475" s="115" t="n"/>
      <c r="G1475" s="117">
        <f>IF(COUNTA(B1475:E1475)=0,"",IF(COUNTA(B1475:E1475)&lt;4,"⚠ กรอกไม่ครบ",IF(NOT(ISNUMBER(B1475)),"⚠ วันที่ไม่ถูกต้อง",IF(COUNTIFS(Setup!$L$6:$L$60,D1475,Setup!$M$6:$M$60,C1475)=0,"⚠ หมวดไม่ตรงประเภท","✓"))))</f>
        <v/>
      </c>
    </row>
    <row r="1476">
      <c r="B1476" s="113" t="n"/>
      <c r="C1476" s="114" t="n"/>
      <c r="D1476" s="115" t="n"/>
      <c r="E1476" s="116" t="n"/>
      <c r="F1476" s="115" t="n"/>
      <c r="G1476" s="117">
        <f>IF(COUNTA(B1476:E1476)=0,"",IF(COUNTA(B1476:E1476)&lt;4,"⚠ กรอกไม่ครบ",IF(NOT(ISNUMBER(B1476)),"⚠ วันที่ไม่ถูกต้อง",IF(COUNTIFS(Setup!$L$6:$L$60,D1476,Setup!$M$6:$M$60,C1476)=0,"⚠ หมวดไม่ตรงประเภท","✓"))))</f>
        <v/>
      </c>
    </row>
    <row r="1477">
      <c r="B1477" s="113" t="n"/>
      <c r="C1477" s="114" t="n"/>
      <c r="D1477" s="115" t="n"/>
      <c r="E1477" s="116" t="n"/>
      <c r="F1477" s="115" t="n"/>
      <c r="G1477" s="117">
        <f>IF(COUNTA(B1477:E1477)=0,"",IF(COUNTA(B1477:E1477)&lt;4,"⚠ กรอกไม่ครบ",IF(NOT(ISNUMBER(B1477)),"⚠ วันที่ไม่ถูกต้อง",IF(COUNTIFS(Setup!$L$6:$L$60,D1477,Setup!$M$6:$M$60,C1477)=0,"⚠ หมวดไม่ตรงประเภท","✓"))))</f>
        <v/>
      </c>
    </row>
    <row r="1478">
      <c r="B1478" s="113" t="n"/>
      <c r="C1478" s="114" t="n"/>
      <c r="D1478" s="115" t="n"/>
      <c r="E1478" s="116" t="n"/>
      <c r="F1478" s="115" t="n"/>
      <c r="G1478" s="117">
        <f>IF(COUNTA(B1478:E1478)=0,"",IF(COUNTA(B1478:E1478)&lt;4,"⚠ กรอกไม่ครบ",IF(NOT(ISNUMBER(B1478)),"⚠ วันที่ไม่ถูกต้อง",IF(COUNTIFS(Setup!$L$6:$L$60,D1478,Setup!$M$6:$M$60,C1478)=0,"⚠ หมวดไม่ตรงประเภท","✓"))))</f>
        <v/>
      </c>
    </row>
    <row r="1479">
      <c r="B1479" s="113" t="n"/>
      <c r="C1479" s="114" t="n"/>
      <c r="D1479" s="115" t="n"/>
      <c r="E1479" s="116" t="n"/>
      <c r="F1479" s="115" t="n"/>
      <c r="G1479" s="117">
        <f>IF(COUNTA(B1479:E1479)=0,"",IF(COUNTA(B1479:E1479)&lt;4,"⚠ กรอกไม่ครบ",IF(NOT(ISNUMBER(B1479)),"⚠ วันที่ไม่ถูกต้อง",IF(COUNTIFS(Setup!$L$6:$L$60,D1479,Setup!$M$6:$M$60,C1479)=0,"⚠ หมวดไม่ตรงประเภท","✓"))))</f>
        <v/>
      </c>
    </row>
    <row r="1480">
      <c r="B1480" s="113" t="n"/>
      <c r="C1480" s="114" t="n"/>
      <c r="D1480" s="115" t="n"/>
      <c r="E1480" s="116" t="n"/>
      <c r="F1480" s="115" t="n"/>
      <c r="G1480" s="117">
        <f>IF(COUNTA(B1480:E1480)=0,"",IF(COUNTA(B1480:E1480)&lt;4,"⚠ กรอกไม่ครบ",IF(NOT(ISNUMBER(B1480)),"⚠ วันที่ไม่ถูกต้อง",IF(COUNTIFS(Setup!$L$6:$L$60,D1480,Setup!$M$6:$M$60,C1480)=0,"⚠ หมวดไม่ตรงประเภท","✓"))))</f>
        <v/>
      </c>
    </row>
    <row r="1481">
      <c r="B1481" s="113" t="n"/>
      <c r="C1481" s="114" t="n"/>
      <c r="D1481" s="115" t="n"/>
      <c r="E1481" s="116" t="n"/>
      <c r="F1481" s="115" t="n"/>
      <c r="G1481" s="117">
        <f>IF(COUNTA(B1481:E1481)=0,"",IF(COUNTA(B1481:E1481)&lt;4,"⚠ กรอกไม่ครบ",IF(NOT(ISNUMBER(B1481)),"⚠ วันที่ไม่ถูกต้อง",IF(COUNTIFS(Setup!$L$6:$L$60,D1481,Setup!$M$6:$M$60,C1481)=0,"⚠ หมวดไม่ตรงประเภท","✓"))))</f>
        <v/>
      </c>
    </row>
    <row r="1482">
      <c r="B1482" s="113" t="n"/>
      <c r="C1482" s="114" t="n"/>
      <c r="D1482" s="115" t="n"/>
      <c r="E1482" s="116" t="n"/>
      <c r="F1482" s="115" t="n"/>
      <c r="G1482" s="117">
        <f>IF(COUNTA(B1482:E1482)=0,"",IF(COUNTA(B1482:E1482)&lt;4,"⚠ กรอกไม่ครบ",IF(NOT(ISNUMBER(B1482)),"⚠ วันที่ไม่ถูกต้อง",IF(COUNTIFS(Setup!$L$6:$L$60,D1482,Setup!$M$6:$M$60,C1482)=0,"⚠ หมวดไม่ตรงประเภท","✓"))))</f>
        <v/>
      </c>
    </row>
    <row r="1483">
      <c r="B1483" s="113" t="n"/>
      <c r="C1483" s="114" t="n"/>
      <c r="D1483" s="115" t="n"/>
      <c r="E1483" s="116" t="n"/>
      <c r="F1483" s="115" t="n"/>
      <c r="G1483" s="117">
        <f>IF(COUNTA(B1483:E1483)=0,"",IF(COUNTA(B1483:E1483)&lt;4,"⚠ กรอกไม่ครบ",IF(NOT(ISNUMBER(B1483)),"⚠ วันที่ไม่ถูกต้อง",IF(COUNTIFS(Setup!$L$6:$L$60,D1483,Setup!$M$6:$M$60,C1483)=0,"⚠ หมวดไม่ตรงประเภท","✓"))))</f>
        <v/>
      </c>
    </row>
    <row r="1484">
      <c r="B1484" s="113" t="n"/>
      <c r="C1484" s="114" t="n"/>
      <c r="D1484" s="115" t="n"/>
      <c r="E1484" s="116" t="n"/>
      <c r="F1484" s="115" t="n"/>
      <c r="G1484" s="117">
        <f>IF(COUNTA(B1484:E1484)=0,"",IF(COUNTA(B1484:E1484)&lt;4,"⚠ กรอกไม่ครบ",IF(NOT(ISNUMBER(B1484)),"⚠ วันที่ไม่ถูกต้อง",IF(COUNTIFS(Setup!$L$6:$L$60,D1484,Setup!$M$6:$M$60,C1484)=0,"⚠ หมวดไม่ตรงประเภท","✓"))))</f>
        <v/>
      </c>
    </row>
    <row r="1485">
      <c r="B1485" s="113" t="n"/>
      <c r="C1485" s="114" t="n"/>
      <c r="D1485" s="115" t="n"/>
      <c r="E1485" s="116" t="n"/>
      <c r="F1485" s="115" t="n"/>
      <c r="G1485" s="117">
        <f>IF(COUNTA(B1485:E1485)=0,"",IF(COUNTA(B1485:E1485)&lt;4,"⚠ กรอกไม่ครบ",IF(NOT(ISNUMBER(B1485)),"⚠ วันที่ไม่ถูกต้อง",IF(COUNTIFS(Setup!$L$6:$L$60,D1485,Setup!$M$6:$M$60,C1485)=0,"⚠ หมวดไม่ตรงประเภท","✓"))))</f>
        <v/>
      </c>
    </row>
    <row r="1486">
      <c r="B1486" s="113" t="n"/>
      <c r="C1486" s="114" t="n"/>
      <c r="D1486" s="115" t="n"/>
      <c r="E1486" s="116" t="n"/>
      <c r="F1486" s="115" t="n"/>
      <c r="G1486" s="117">
        <f>IF(COUNTA(B1486:E1486)=0,"",IF(COUNTA(B1486:E1486)&lt;4,"⚠ กรอกไม่ครบ",IF(NOT(ISNUMBER(B1486)),"⚠ วันที่ไม่ถูกต้อง",IF(COUNTIFS(Setup!$L$6:$L$60,D1486,Setup!$M$6:$M$60,C1486)=0,"⚠ หมวดไม่ตรงประเภท","✓"))))</f>
        <v/>
      </c>
    </row>
    <row r="1487">
      <c r="B1487" s="113" t="n"/>
      <c r="C1487" s="114" t="n"/>
      <c r="D1487" s="115" t="n"/>
      <c r="E1487" s="116" t="n"/>
      <c r="F1487" s="115" t="n"/>
      <c r="G1487" s="117">
        <f>IF(COUNTA(B1487:E1487)=0,"",IF(COUNTA(B1487:E1487)&lt;4,"⚠ กรอกไม่ครบ",IF(NOT(ISNUMBER(B1487)),"⚠ วันที่ไม่ถูกต้อง",IF(COUNTIFS(Setup!$L$6:$L$60,D1487,Setup!$M$6:$M$60,C1487)=0,"⚠ หมวดไม่ตรงประเภท","✓"))))</f>
        <v/>
      </c>
    </row>
    <row r="1488">
      <c r="B1488" s="113" t="n"/>
      <c r="C1488" s="114" t="n"/>
      <c r="D1488" s="115" t="n"/>
      <c r="E1488" s="116" t="n"/>
      <c r="F1488" s="115" t="n"/>
      <c r="G1488" s="117">
        <f>IF(COUNTA(B1488:E1488)=0,"",IF(COUNTA(B1488:E1488)&lt;4,"⚠ กรอกไม่ครบ",IF(NOT(ISNUMBER(B1488)),"⚠ วันที่ไม่ถูกต้อง",IF(COUNTIFS(Setup!$L$6:$L$60,D1488,Setup!$M$6:$M$60,C1488)=0,"⚠ หมวดไม่ตรงประเภท","✓"))))</f>
        <v/>
      </c>
    </row>
    <row r="1489">
      <c r="B1489" s="113" t="n"/>
      <c r="C1489" s="114" t="n"/>
      <c r="D1489" s="115" t="n"/>
      <c r="E1489" s="116" t="n"/>
      <c r="F1489" s="115" t="n"/>
      <c r="G1489" s="117">
        <f>IF(COUNTA(B1489:E1489)=0,"",IF(COUNTA(B1489:E1489)&lt;4,"⚠ กรอกไม่ครบ",IF(NOT(ISNUMBER(B1489)),"⚠ วันที่ไม่ถูกต้อง",IF(COUNTIFS(Setup!$L$6:$L$60,D1489,Setup!$M$6:$M$60,C1489)=0,"⚠ หมวดไม่ตรงประเภท","✓"))))</f>
        <v/>
      </c>
    </row>
    <row r="1490">
      <c r="B1490" s="113" t="n"/>
      <c r="C1490" s="114" t="n"/>
      <c r="D1490" s="115" t="n"/>
      <c r="E1490" s="116" t="n"/>
      <c r="F1490" s="115" t="n"/>
      <c r="G1490" s="117">
        <f>IF(COUNTA(B1490:E1490)=0,"",IF(COUNTA(B1490:E1490)&lt;4,"⚠ กรอกไม่ครบ",IF(NOT(ISNUMBER(B1490)),"⚠ วันที่ไม่ถูกต้อง",IF(COUNTIFS(Setup!$L$6:$L$60,D1490,Setup!$M$6:$M$60,C1490)=0,"⚠ หมวดไม่ตรงประเภท","✓"))))</f>
        <v/>
      </c>
    </row>
    <row r="1491">
      <c r="B1491" s="113" t="n"/>
      <c r="C1491" s="114" t="n"/>
      <c r="D1491" s="115" t="n"/>
      <c r="E1491" s="116" t="n"/>
      <c r="F1491" s="115" t="n"/>
      <c r="G1491" s="117">
        <f>IF(COUNTA(B1491:E1491)=0,"",IF(COUNTA(B1491:E1491)&lt;4,"⚠ กรอกไม่ครบ",IF(NOT(ISNUMBER(B1491)),"⚠ วันที่ไม่ถูกต้อง",IF(COUNTIFS(Setup!$L$6:$L$60,D1491,Setup!$M$6:$M$60,C1491)=0,"⚠ หมวดไม่ตรงประเภท","✓"))))</f>
        <v/>
      </c>
    </row>
    <row r="1492">
      <c r="B1492" s="113" t="n"/>
      <c r="C1492" s="114" t="n"/>
      <c r="D1492" s="115" t="n"/>
      <c r="E1492" s="116" t="n"/>
      <c r="F1492" s="115" t="n"/>
      <c r="G1492" s="117">
        <f>IF(COUNTA(B1492:E1492)=0,"",IF(COUNTA(B1492:E1492)&lt;4,"⚠ กรอกไม่ครบ",IF(NOT(ISNUMBER(B1492)),"⚠ วันที่ไม่ถูกต้อง",IF(COUNTIFS(Setup!$L$6:$L$60,D1492,Setup!$M$6:$M$60,C1492)=0,"⚠ หมวดไม่ตรงประเภท","✓"))))</f>
        <v/>
      </c>
    </row>
    <row r="1493">
      <c r="B1493" s="113" t="n"/>
      <c r="C1493" s="114" t="n"/>
      <c r="D1493" s="115" t="n"/>
      <c r="E1493" s="116" t="n"/>
      <c r="F1493" s="115" t="n"/>
      <c r="G1493" s="117">
        <f>IF(COUNTA(B1493:E1493)=0,"",IF(COUNTA(B1493:E1493)&lt;4,"⚠ กรอกไม่ครบ",IF(NOT(ISNUMBER(B1493)),"⚠ วันที่ไม่ถูกต้อง",IF(COUNTIFS(Setup!$L$6:$L$60,D1493,Setup!$M$6:$M$60,C1493)=0,"⚠ หมวดไม่ตรงประเภท","✓"))))</f>
        <v/>
      </c>
    </row>
    <row r="1494">
      <c r="B1494" s="113" t="n"/>
      <c r="C1494" s="114" t="n"/>
      <c r="D1494" s="115" t="n"/>
      <c r="E1494" s="116" t="n"/>
      <c r="F1494" s="115" t="n"/>
      <c r="G1494" s="117">
        <f>IF(COUNTA(B1494:E1494)=0,"",IF(COUNTA(B1494:E1494)&lt;4,"⚠ กรอกไม่ครบ",IF(NOT(ISNUMBER(B1494)),"⚠ วันที่ไม่ถูกต้อง",IF(COUNTIFS(Setup!$L$6:$L$60,D1494,Setup!$M$6:$M$60,C1494)=0,"⚠ หมวดไม่ตรงประเภท","✓"))))</f>
        <v/>
      </c>
    </row>
    <row r="1495">
      <c r="B1495" s="113" t="n"/>
      <c r="C1495" s="114" t="n"/>
      <c r="D1495" s="115" t="n"/>
      <c r="E1495" s="116" t="n"/>
      <c r="F1495" s="115" t="n"/>
      <c r="G1495" s="117">
        <f>IF(COUNTA(B1495:E1495)=0,"",IF(COUNTA(B1495:E1495)&lt;4,"⚠ กรอกไม่ครบ",IF(NOT(ISNUMBER(B1495)),"⚠ วันที่ไม่ถูกต้อง",IF(COUNTIFS(Setup!$L$6:$L$60,D1495,Setup!$M$6:$M$60,C1495)=0,"⚠ หมวดไม่ตรงประเภท","✓"))))</f>
        <v/>
      </c>
    </row>
    <row r="1496">
      <c r="B1496" s="113" t="n"/>
      <c r="C1496" s="114" t="n"/>
      <c r="D1496" s="115" t="n"/>
      <c r="E1496" s="116" t="n"/>
      <c r="F1496" s="115" t="n"/>
      <c r="G1496" s="117">
        <f>IF(COUNTA(B1496:E1496)=0,"",IF(COUNTA(B1496:E1496)&lt;4,"⚠ กรอกไม่ครบ",IF(NOT(ISNUMBER(B1496)),"⚠ วันที่ไม่ถูกต้อง",IF(COUNTIFS(Setup!$L$6:$L$60,D1496,Setup!$M$6:$M$60,C1496)=0,"⚠ หมวดไม่ตรงประเภท","✓"))))</f>
        <v/>
      </c>
    </row>
    <row r="1497">
      <c r="B1497" s="113" t="n"/>
      <c r="C1497" s="114" t="n"/>
      <c r="D1497" s="115" t="n"/>
      <c r="E1497" s="116" t="n"/>
      <c r="F1497" s="115" t="n"/>
      <c r="G1497" s="117">
        <f>IF(COUNTA(B1497:E1497)=0,"",IF(COUNTA(B1497:E1497)&lt;4,"⚠ กรอกไม่ครบ",IF(NOT(ISNUMBER(B1497)),"⚠ วันที่ไม่ถูกต้อง",IF(COUNTIFS(Setup!$L$6:$L$60,D1497,Setup!$M$6:$M$60,C1497)=0,"⚠ หมวดไม่ตรงประเภท","✓"))))</f>
        <v/>
      </c>
    </row>
    <row r="1498">
      <c r="B1498" s="113" t="n"/>
      <c r="C1498" s="114" t="n"/>
      <c r="D1498" s="115" t="n"/>
      <c r="E1498" s="116" t="n"/>
      <c r="F1498" s="115" t="n"/>
      <c r="G1498" s="117">
        <f>IF(COUNTA(B1498:E1498)=0,"",IF(COUNTA(B1498:E1498)&lt;4,"⚠ กรอกไม่ครบ",IF(NOT(ISNUMBER(B1498)),"⚠ วันที่ไม่ถูกต้อง",IF(COUNTIFS(Setup!$L$6:$L$60,D1498,Setup!$M$6:$M$60,C1498)=0,"⚠ หมวดไม่ตรงประเภท","✓"))))</f>
        <v/>
      </c>
    </row>
    <row r="1499">
      <c r="B1499" s="113" t="n"/>
      <c r="C1499" s="114" t="n"/>
      <c r="D1499" s="115" t="n"/>
      <c r="E1499" s="116" t="n"/>
      <c r="F1499" s="115" t="n"/>
      <c r="G1499" s="117">
        <f>IF(COUNTA(B1499:E1499)=0,"",IF(COUNTA(B1499:E1499)&lt;4,"⚠ กรอกไม่ครบ",IF(NOT(ISNUMBER(B1499)),"⚠ วันที่ไม่ถูกต้อง",IF(COUNTIFS(Setup!$L$6:$L$60,D1499,Setup!$M$6:$M$60,C1499)=0,"⚠ หมวดไม่ตรงประเภท","✓"))))</f>
        <v/>
      </c>
    </row>
    <row r="1500">
      <c r="B1500" s="113" t="n"/>
      <c r="C1500" s="114" t="n"/>
      <c r="D1500" s="115" t="n"/>
      <c r="E1500" s="116" t="n"/>
      <c r="F1500" s="115" t="n"/>
      <c r="G1500" s="117">
        <f>IF(COUNTA(B1500:E1500)=0,"",IF(COUNTA(B1500:E1500)&lt;4,"⚠ กรอกไม่ครบ",IF(NOT(ISNUMBER(B1500)),"⚠ วันที่ไม่ถูกต้อง",IF(COUNTIFS(Setup!$L$6:$L$60,D1500,Setup!$M$6:$M$60,C1500)=0,"⚠ หมวดไม่ตรงประเภท","✓"))))</f>
        <v/>
      </c>
    </row>
    <row r="1501">
      <c r="B1501" s="113" t="n"/>
      <c r="C1501" s="114" t="n"/>
      <c r="D1501" s="115" t="n"/>
      <c r="E1501" s="116" t="n"/>
      <c r="F1501" s="115" t="n"/>
      <c r="G1501" s="117">
        <f>IF(COUNTA(B1501:E1501)=0,"",IF(COUNTA(B1501:E1501)&lt;4,"⚠ กรอกไม่ครบ",IF(NOT(ISNUMBER(B1501)),"⚠ วันที่ไม่ถูกต้อง",IF(COUNTIFS(Setup!$L$6:$L$60,D1501,Setup!$M$6:$M$60,C1501)=0,"⚠ หมวดไม่ตรงประเภท","✓"))))</f>
        <v/>
      </c>
    </row>
    <row r="1502">
      <c r="B1502" s="113" t="n"/>
      <c r="C1502" s="114" t="n"/>
      <c r="D1502" s="115" t="n"/>
      <c r="E1502" s="116" t="n"/>
      <c r="F1502" s="115" t="n"/>
      <c r="G1502" s="117">
        <f>IF(COUNTA(B1502:E1502)=0,"",IF(COUNTA(B1502:E1502)&lt;4,"⚠ กรอกไม่ครบ",IF(NOT(ISNUMBER(B1502)),"⚠ วันที่ไม่ถูกต้อง",IF(COUNTIFS(Setup!$L$6:$L$60,D1502,Setup!$M$6:$M$60,C1502)=0,"⚠ หมวดไม่ตรงประเภท","✓"))))</f>
        <v/>
      </c>
    </row>
    <row r="1503">
      <c r="B1503" s="113" t="n"/>
      <c r="C1503" s="114" t="n"/>
      <c r="D1503" s="115" t="n"/>
      <c r="E1503" s="116" t="n"/>
      <c r="F1503" s="115" t="n"/>
      <c r="G1503" s="117">
        <f>IF(COUNTA(B1503:E1503)=0,"",IF(COUNTA(B1503:E1503)&lt;4,"⚠ กรอกไม่ครบ",IF(NOT(ISNUMBER(B1503)),"⚠ วันที่ไม่ถูกต้อง",IF(COUNTIFS(Setup!$L$6:$L$60,D1503,Setup!$M$6:$M$60,C1503)=0,"⚠ หมวดไม่ตรงประเภท","✓"))))</f>
        <v/>
      </c>
    </row>
    <row r="1504">
      <c r="B1504" s="113" t="n"/>
      <c r="C1504" s="114" t="n"/>
      <c r="D1504" s="115" t="n"/>
      <c r="E1504" s="116" t="n"/>
      <c r="F1504" s="115" t="n"/>
      <c r="G1504" s="117">
        <f>IF(COUNTA(B1504:E1504)=0,"",IF(COUNTA(B1504:E1504)&lt;4,"⚠ กรอกไม่ครบ",IF(NOT(ISNUMBER(B1504)),"⚠ วันที่ไม่ถูกต้อง",IF(COUNTIFS(Setup!$L$6:$L$60,D1504,Setup!$M$6:$M$60,C1504)=0,"⚠ หมวดไม่ตรงประเภท","✓"))))</f>
        <v/>
      </c>
    </row>
    <row r="1505">
      <c r="B1505" s="113" t="n"/>
      <c r="C1505" s="114" t="n"/>
      <c r="D1505" s="115" t="n"/>
      <c r="E1505" s="116" t="n"/>
      <c r="F1505" s="115" t="n"/>
      <c r="G1505" s="117">
        <f>IF(COUNTA(B1505:E1505)=0,"",IF(COUNTA(B1505:E1505)&lt;4,"⚠ กรอกไม่ครบ",IF(NOT(ISNUMBER(B1505)),"⚠ วันที่ไม่ถูกต้อง",IF(COUNTIFS(Setup!$L$6:$L$60,D1505,Setup!$M$6:$M$60,C1505)=0,"⚠ หมวดไม่ตรงประเภท","✓"))))</f>
        <v/>
      </c>
    </row>
    <row r="1506">
      <c r="B1506" s="113" t="n"/>
      <c r="C1506" s="114" t="n"/>
      <c r="D1506" s="115" t="n"/>
      <c r="E1506" s="116" t="n"/>
      <c r="F1506" s="115" t="n"/>
      <c r="G1506" s="117">
        <f>IF(COUNTA(B1506:E1506)=0,"",IF(COUNTA(B1506:E1506)&lt;4,"⚠ กรอกไม่ครบ",IF(NOT(ISNUMBER(B1506)),"⚠ วันที่ไม่ถูกต้อง",IF(COUNTIFS(Setup!$L$6:$L$60,D1506,Setup!$M$6:$M$60,C1506)=0,"⚠ หมวดไม่ตรงประเภท","✓"))))</f>
        <v/>
      </c>
    </row>
    <row r="1507">
      <c r="B1507" s="113" t="n"/>
      <c r="C1507" s="114" t="n"/>
      <c r="D1507" s="115" t="n"/>
      <c r="E1507" s="116" t="n"/>
      <c r="F1507" s="115" t="n"/>
      <c r="G1507" s="117">
        <f>IF(COUNTA(B1507:E1507)=0,"",IF(COUNTA(B1507:E1507)&lt;4,"⚠ กรอกไม่ครบ",IF(NOT(ISNUMBER(B1507)),"⚠ วันที่ไม่ถูกต้อง",IF(COUNTIFS(Setup!$L$6:$L$60,D1507,Setup!$M$6:$M$60,C1507)=0,"⚠ หมวดไม่ตรงประเภท","✓"))))</f>
        <v/>
      </c>
    </row>
    <row r="1508">
      <c r="B1508" s="113" t="n"/>
      <c r="C1508" s="114" t="n"/>
      <c r="D1508" s="115" t="n"/>
      <c r="E1508" s="116" t="n"/>
      <c r="F1508" s="115" t="n"/>
      <c r="G1508" s="117">
        <f>IF(COUNTA(B1508:E1508)=0,"",IF(COUNTA(B1508:E1508)&lt;4,"⚠ กรอกไม่ครบ",IF(NOT(ISNUMBER(B1508)),"⚠ วันที่ไม่ถูกต้อง",IF(COUNTIFS(Setup!$L$6:$L$60,D1508,Setup!$M$6:$M$60,C1508)=0,"⚠ หมวดไม่ตรงประเภท","✓"))))</f>
        <v/>
      </c>
    </row>
    <row r="1509">
      <c r="B1509" s="113" t="n"/>
      <c r="C1509" s="114" t="n"/>
      <c r="D1509" s="115" t="n"/>
      <c r="E1509" s="116" t="n"/>
      <c r="F1509" s="115" t="n"/>
      <c r="G1509" s="117">
        <f>IF(COUNTA(B1509:E1509)=0,"",IF(COUNTA(B1509:E1509)&lt;4,"⚠ กรอกไม่ครบ",IF(NOT(ISNUMBER(B1509)),"⚠ วันที่ไม่ถูกต้อง",IF(COUNTIFS(Setup!$L$6:$L$60,D1509,Setup!$M$6:$M$60,C1509)=0,"⚠ หมวดไม่ตรงประเภท","✓"))))</f>
        <v/>
      </c>
    </row>
    <row r="1510">
      <c r="B1510" s="113" t="n"/>
      <c r="C1510" s="114" t="n"/>
      <c r="D1510" s="115" t="n"/>
      <c r="E1510" s="116" t="n"/>
      <c r="F1510" s="115" t="n"/>
      <c r="G1510" s="117">
        <f>IF(COUNTA(B1510:E1510)=0,"",IF(COUNTA(B1510:E1510)&lt;4,"⚠ กรอกไม่ครบ",IF(NOT(ISNUMBER(B1510)),"⚠ วันที่ไม่ถูกต้อง",IF(COUNTIFS(Setup!$L$6:$L$60,D1510,Setup!$M$6:$M$60,C1510)=0,"⚠ หมวดไม่ตรงประเภท","✓"))))</f>
        <v/>
      </c>
    </row>
    <row r="1511">
      <c r="B1511" s="113" t="n"/>
      <c r="C1511" s="114" t="n"/>
      <c r="D1511" s="115" t="n"/>
      <c r="E1511" s="116" t="n"/>
      <c r="F1511" s="115" t="n"/>
      <c r="G1511" s="117">
        <f>IF(COUNTA(B1511:E1511)=0,"",IF(COUNTA(B1511:E1511)&lt;4,"⚠ กรอกไม่ครบ",IF(NOT(ISNUMBER(B1511)),"⚠ วันที่ไม่ถูกต้อง",IF(COUNTIFS(Setup!$L$6:$L$60,D1511,Setup!$M$6:$M$60,C1511)=0,"⚠ หมวดไม่ตรงประเภท","✓"))))</f>
        <v/>
      </c>
    </row>
    <row r="1512">
      <c r="B1512" s="113" t="n"/>
      <c r="C1512" s="114" t="n"/>
      <c r="D1512" s="115" t="n"/>
      <c r="E1512" s="116" t="n"/>
      <c r="F1512" s="115" t="n"/>
      <c r="G1512" s="117">
        <f>IF(COUNTA(B1512:E1512)=0,"",IF(COUNTA(B1512:E1512)&lt;4,"⚠ กรอกไม่ครบ",IF(NOT(ISNUMBER(B1512)),"⚠ วันที่ไม่ถูกต้อง",IF(COUNTIFS(Setup!$L$6:$L$60,D1512,Setup!$M$6:$M$60,C1512)=0,"⚠ หมวดไม่ตรงประเภท","✓"))))</f>
        <v/>
      </c>
    </row>
    <row r="1513">
      <c r="B1513" s="113" t="n"/>
      <c r="C1513" s="114" t="n"/>
      <c r="D1513" s="115" t="n"/>
      <c r="E1513" s="116" t="n"/>
      <c r="F1513" s="115" t="n"/>
      <c r="G1513" s="117">
        <f>IF(COUNTA(B1513:E1513)=0,"",IF(COUNTA(B1513:E1513)&lt;4,"⚠ กรอกไม่ครบ",IF(NOT(ISNUMBER(B1513)),"⚠ วันที่ไม่ถูกต้อง",IF(COUNTIFS(Setup!$L$6:$L$60,D1513,Setup!$M$6:$M$60,C1513)=0,"⚠ หมวดไม่ตรงประเภท","✓"))))</f>
        <v/>
      </c>
    </row>
    <row r="1514">
      <c r="B1514" s="113" t="n"/>
      <c r="C1514" s="114" t="n"/>
      <c r="D1514" s="115" t="n"/>
      <c r="E1514" s="116" t="n"/>
      <c r="F1514" s="115" t="n"/>
      <c r="G1514" s="117">
        <f>IF(COUNTA(B1514:E1514)=0,"",IF(COUNTA(B1514:E1514)&lt;4,"⚠ กรอกไม่ครบ",IF(NOT(ISNUMBER(B1514)),"⚠ วันที่ไม่ถูกต้อง",IF(COUNTIFS(Setup!$L$6:$L$60,D1514,Setup!$M$6:$M$60,C1514)=0,"⚠ หมวดไม่ตรงประเภท","✓"))))</f>
        <v/>
      </c>
    </row>
    <row r="1515">
      <c r="B1515" s="113" t="n"/>
      <c r="C1515" s="114" t="n"/>
      <c r="D1515" s="115" t="n"/>
      <c r="E1515" s="116" t="n"/>
      <c r="F1515" s="115" t="n"/>
      <c r="G1515" s="117">
        <f>IF(COUNTA(B1515:E1515)=0,"",IF(COUNTA(B1515:E1515)&lt;4,"⚠ กรอกไม่ครบ",IF(NOT(ISNUMBER(B1515)),"⚠ วันที่ไม่ถูกต้อง",IF(COUNTIFS(Setup!$L$6:$L$60,D1515,Setup!$M$6:$M$60,C1515)=0,"⚠ หมวดไม่ตรงประเภท","✓"))))</f>
        <v/>
      </c>
    </row>
    <row r="1516">
      <c r="B1516" s="113" t="n"/>
      <c r="C1516" s="114" t="n"/>
      <c r="D1516" s="115" t="n"/>
      <c r="E1516" s="116" t="n"/>
      <c r="F1516" s="115" t="n"/>
      <c r="G1516" s="117">
        <f>IF(COUNTA(B1516:E1516)=0,"",IF(COUNTA(B1516:E1516)&lt;4,"⚠ กรอกไม่ครบ",IF(NOT(ISNUMBER(B1516)),"⚠ วันที่ไม่ถูกต้อง",IF(COUNTIFS(Setup!$L$6:$L$60,D1516,Setup!$M$6:$M$60,C1516)=0,"⚠ หมวดไม่ตรงประเภท","✓"))))</f>
        <v/>
      </c>
    </row>
    <row r="1517">
      <c r="B1517" s="113" t="n"/>
      <c r="C1517" s="114" t="n"/>
      <c r="D1517" s="115" t="n"/>
      <c r="E1517" s="116" t="n"/>
      <c r="F1517" s="115" t="n"/>
      <c r="G1517" s="117">
        <f>IF(COUNTA(B1517:E1517)=0,"",IF(COUNTA(B1517:E1517)&lt;4,"⚠ กรอกไม่ครบ",IF(NOT(ISNUMBER(B1517)),"⚠ วันที่ไม่ถูกต้อง",IF(COUNTIFS(Setup!$L$6:$L$60,D1517,Setup!$M$6:$M$60,C1517)=0,"⚠ หมวดไม่ตรงประเภท","✓"))))</f>
        <v/>
      </c>
    </row>
    <row r="1518">
      <c r="B1518" s="113" t="n"/>
      <c r="C1518" s="114" t="n"/>
      <c r="D1518" s="115" t="n"/>
      <c r="E1518" s="116" t="n"/>
      <c r="F1518" s="115" t="n"/>
      <c r="G1518" s="117">
        <f>IF(COUNTA(B1518:E1518)=0,"",IF(COUNTA(B1518:E1518)&lt;4,"⚠ กรอกไม่ครบ",IF(NOT(ISNUMBER(B1518)),"⚠ วันที่ไม่ถูกต้อง",IF(COUNTIFS(Setup!$L$6:$L$60,D1518,Setup!$M$6:$M$60,C1518)=0,"⚠ หมวดไม่ตรงประเภท","✓"))))</f>
        <v/>
      </c>
    </row>
    <row r="1519">
      <c r="B1519" s="113" t="n"/>
      <c r="C1519" s="114" t="n"/>
      <c r="D1519" s="115" t="n"/>
      <c r="E1519" s="116" t="n"/>
      <c r="F1519" s="115" t="n"/>
      <c r="G1519" s="117">
        <f>IF(COUNTA(B1519:E1519)=0,"",IF(COUNTA(B1519:E1519)&lt;4,"⚠ กรอกไม่ครบ",IF(NOT(ISNUMBER(B1519)),"⚠ วันที่ไม่ถูกต้อง",IF(COUNTIFS(Setup!$L$6:$L$60,D1519,Setup!$M$6:$M$60,C1519)=0,"⚠ หมวดไม่ตรงประเภท","✓"))))</f>
        <v/>
      </c>
    </row>
    <row r="1520">
      <c r="B1520" s="113" t="n"/>
      <c r="C1520" s="114" t="n"/>
      <c r="D1520" s="115" t="n"/>
      <c r="E1520" s="116" t="n"/>
      <c r="F1520" s="115" t="n"/>
      <c r="G1520" s="117">
        <f>IF(COUNTA(B1520:E1520)=0,"",IF(COUNTA(B1520:E1520)&lt;4,"⚠ กรอกไม่ครบ",IF(NOT(ISNUMBER(B1520)),"⚠ วันที่ไม่ถูกต้อง",IF(COUNTIFS(Setup!$L$6:$L$60,D1520,Setup!$M$6:$M$60,C1520)=0,"⚠ หมวดไม่ตรงประเภท","✓"))))</f>
        <v/>
      </c>
    </row>
    <row r="1521">
      <c r="B1521" s="113" t="n"/>
      <c r="C1521" s="114" t="n"/>
      <c r="D1521" s="115" t="n"/>
      <c r="E1521" s="116" t="n"/>
      <c r="F1521" s="115" t="n"/>
      <c r="G1521" s="117">
        <f>IF(COUNTA(B1521:E1521)=0,"",IF(COUNTA(B1521:E1521)&lt;4,"⚠ กรอกไม่ครบ",IF(NOT(ISNUMBER(B1521)),"⚠ วันที่ไม่ถูกต้อง",IF(COUNTIFS(Setup!$L$6:$L$60,D1521,Setup!$M$6:$M$60,C1521)=0,"⚠ หมวดไม่ตรงประเภท","✓"))))</f>
        <v/>
      </c>
    </row>
    <row r="1522">
      <c r="B1522" s="113" t="n"/>
      <c r="C1522" s="114" t="n"/>
      <c r="D1522" s="115" t="n"/>
      <c r="E1522" s="116" t="n"/>
      <c r="F1522" s="115" t="n"/>
      <c r="G1522" s="117">
        <f>IF(COUNTA(B1522:E1522)=0,"",IF(COUNTA(B1522:E1522)&lt;4,"⚠ กรอกไม่ครบ",IF(NOT(ISNUMBER(B1522)),"⚠ วันที่ไม่ถูกต้อง",IF(COUNTIFS(Setup!$L$6:$L$60,D1522,Setup!$M$6:$M$60,C1522)=0,"⚠ หมวดไม่ตรงประเภท","✓"))))</f>
        <v/>
      </c>
    </row>
    <row r="1523">
      <c r="B1523" s="113" t="n"/>
      <c r="C1523" s="114" t="n"/>
      <c r="D1523" s="115" t="n"/>
      <c r="E1523" s="116" t="n"/>
      <c r="F1523" s="115" t="n"/>
      <c r="G1523" s="117">
        <f>IF(COUNTA(B1523:E1523)=0,"",IF(COUNTA(B1523:E1523)&lt;4,"⚠ กรอกไม่ครบ",IF(NOT(ISNUMBER(B1523)),"⚠ วันที่ไม่ถูกต้อง",IF(COUNTIFS(Setup!$L$6:$L$60,D1523,Setup!$M$6:$M$60,C1523)=0,"⚠ หมวดไม่ตรงประเภท","✓"))))</f>
        <v/>
      </c>
    </row>
    <row r="1524">
      <c r="B1524" s="113" t="n"/>
      <c r="C1524" s="114" t="n"/>
      <c r="D1524" s="115" t="n"/>
      <c r="E1524" s="116" t="n"/>
      <c r="F1524" s="115" t="n"/>
      <c r="G1524" s="117">
        <f>IF(COUNTA(B1524:E1524)=0,"",IF(COUNTA(B1524:E1524)&lt;4,"⚠ กรอกไม่ครบ",IF(NOT(ISNUMBER(B1524)),"⚠ วันที่ไม่ถูกต้อง",IF(COUNTIFS(Setup!$L$6:$L$60,D1524,Setup!$M$6:$M$60,C1524)=0,"⚠ หมวดไม่ตรงประเภท","✓"))))</f>
        <v/>
      </c>
    </row>
    <row r="1525">
      <c r="B1525" s="113" t="n"/>
      <c r="C1525" s="114" t="n"/>
      <c r="D1525" s="115" t="n"/>
      <c r="E1525" s="116" t="n"/>
      <c r="F1525" s="115" t="n"/>
      <c r="G1525" s="117">
        <f>IF(COUNTA(B1525:E1525)=0,"",IF(COUNTA(B1525:E1525)&lt;4,"⚠ กรอกไม่ครบ",IF(NOT(ISNUMBER(B1525)),"⚠ วันที่ไม่ถูกต้อง",IF(COUNTIFS(Setup!$L$6:$L$60,D1525,Setup!$M$6:$M$60,C1525)=0,"⚠ หมวดไม่ตรงประเภท","✓"))))</f>
        <v/>
      </c>
    </row>
    <row r="1526">
      <c r="B1526" s="113" t="n"/>
      <c r="C1526" s="114" t="n"/>
      <c r="D1526" s="115" t="n"/>
      <c r="E1526" s="116" t="n"/>
      <c r="F1526" s="115" t="n"/>
      <c r="G1526" s="117">
        <f>IF(COUNTA(B1526:E1526)=0,"",IF(COUNTA(B1526:E1526)&lt;4,"⚠ กรอกไม่ครบ",IF(NOT(ISNUMBER(B1526)),"⚠ วันที่ไม่ถูกต้อง",IF(COUNTIFS(Setup!$L$6:$L$60,D1526,Setup!$M$6:$M$60,C1526)=0,"⚠ หมวดไม่ตรงประเภท","✓"))))</f>
        <v/>
      </c>
    </row>
    <row r="1527">
      <c r="B1527" s="113" t="n"/>
      <c r="C1527" s="114" t="n"/>
      <c r="D1527" s="115" t="n"/>
      <c r="E1527" s="116" t="n"/>
      <c r="F1527" s="115" t="n"/>
      <c r="G1527" s="117">
        <f>IF(COUNTA(B1527:E1527)=0,"",IF(COUNTA(B1527:E1527)&lt;4,"⚠ กรอกไม่ครบ",IF(NOT(ISNUMBER(B1527)),"⚠ วันที่ไม่ถูกต้อง",IF(COUNTIFS(Setup!$L$6:$L$60,D1527,Setup!$M$6:$M$60,C1527)=0,"⚠ หมวดไม่ตรงประเภท","✓"))))</f>
        <v/>
      </c>
    </row>
    <row r="1528">
      <c r="B1528" s="113" t="n"/>
      <c r="C1528" s="114" t="n"/>
      <c r="D1528" s="115" t="n"/>
      <c r="E1528" s="116" t="n"/>
      <c r="F1528" s="115" t="n"/>
      <c r="G1528" s="117">
        <f>IF(COUNTA(B1528:E1528)=0,"",IF(COUNTA(B1528:E1528)&lt;4,"⚠ กรอกไม่ครบ",IF(NOT(ISNUMBER(B1528)),"⚠ วันที่ไม่ถูกต้อง",IF(COUNTIFS(Setup!$L$6:$L$60,D1528,Setup!$M$6:$M$60,C1528)=0,"⚠ หมวดไม่ตรงประเภท","✓"))))</f>
        <v/>
      </c>
    </row>
    <row r="1529">
      <c r="B1529" s="113" t="n"/>
      <c r="C1529" s="114" t="n"/>
      <c r="D1529" s="115" t="n"/>
      <c r="E1529" s="116" t="n"/>
      <c r="F1529" s="115" t="n"/>
      <c r="G1529" s="117">
        <f>IF(COUNTA(B1529:E1529)=0,"",IF(COUNTA(B1529:E1529)&lt;4,"⚠ กรอกไม่ครบ",IF(NOT(ISNUMBER(B1529)),"⚠ วันที่ไม่ถูกต้อง",IF(COUNTIFS(Setup!$L$6:$L$60,D1529,Setup!$M$6:$M$60,C1529)=0,"⚠ หมวดไม่ตรงประเภท","✓"))))</f>
        <v/>
      </c>
    </row>
    <row r="1530">
      <c r="B1530" s="113" t="n"/>
      <c r="C1530" s="114" t="n"/>
      <c r="D1530" s="115" t="n"/>
      <c r="E1530" s="116" t="n"/>
      <c r="F1530" s="115" t="n"/>
      <c r="G1530" s="117">
        <f>IF(COUNTA(B1530:E1530)=0,"",IF(COUNTA(B1530:E1530)&lt;4,"⚠ กรอกไม่ครบ",IF(NOT(ISNUMBER(B1530)),"⚠ วันที่ไม่ถูกต้อง",IF(COUNTIFS(Setup!$L$6:$L$60,D1530,Setup!$M$6:$M$60,C1530)=0,"⚠ หมวดไม่ตรงประเภท","✓"))))</f>
        <v/>
      </c>
    </row>
    <row r="1531">
      <c r="B1531" s="113" t="n"/>
      <c r="C1531" s="114" t="n"/>
      <c r="D1531" s="115" t="n"/>
      <c r="E1531" s="116" t="n"/>
      <c r="F1531" s="115" t="n"/>
      <c r="G1531" s="117">
        <f>IF(COUNTA(B1531:E1531)=0,"",IF(COUNTA(B1531:E1531)&lt;4,"⚠ กรอกไม่ครบ",IF(NOT(ISNUMBER(B1531)),"⚠ วันที่ไม่ถูกต้อง",IF(COUNTIFS(Setup!$L$6:$L$60,D1531,Setup!$M$6:$M$60,C1531)=0,"⚠ หมวดไม่ตรงประเภท","✓"))))</f>
        <v/>
      </c>
    </row>
    <row r="1532">
      <c r="B1532" s="113" t="n"/>
      <c r="C1532" s="114" t="n"/>
      <c r="D1532" s="115" t="n"/>
      <c r="E1532" s="116" t="n"/>
      <c r="F1532" s="115" t="n"/>
      <c r="G1532" s="117">
        <f>IF(COUNTA(B1532:E1532)=0,"",IF(COUNTA(B1532:E1532)&lt;4,"⚠ กรอกไม่ครบ",IF(NOT(ISNUMBER(B1532)),"⚠ วันที่ไม่ถูกต้อง",IF(COUNTIFS(Setup!$L$6:$L$60,D1532,Setup!$M$6:$M$60,C1532)=0,"⚠ หมวดไม่ตรงประเภท","✓"))))</f>
        <v/>
      </c>
    </row>
    <row r="1533">
      <c r="B1533" s="113" t="n"/>
      <c r="C1533" s="114" t="n"/>
      <c r="D1533" s="115" t="n"/>
      <c r="E1533" s="116" t="n"/>
      <c r="F1533" s="115" t="n"/>
      <c r="G1533" s="117">
        <f>IF(COUNTA(B1533:E1533)=0,"",IF(COUNTA(B1533:E1533)&lt;4,"⚠ กรอกไม่ครบ",IF(NOT(ISNUMBER(B1533)),"⚠ วันที่ไม่ถูกต้อง",IF(COUNTIFS(Setup!$L$6:$L$60,D1533,Setup!$M$6:$M$60,C1533)=0,"⚠ หมวดไม่ตรงประเภท","✓"))))</f>
        <v/>
      </c>
    </row>
    <row r="1534">
      <c r="B1534" s="113" t="n"/>
      <c r="C1534" s="114" t="n"/>
      <c r="D1534" s="115" t="n"/>
      <c r="E1534" s="116" t="n"/>
      <c r="F1534" s="115" t="n"/>
      <c r="G1534" s="117">
        <f>IF(COUNTA(B1534:E1534)=0,"",IF(COUNTA(B1534:E1534)&lt;4,"⚠ กรอกไม่ครบ",IF(NOT(ISNUMBER(B1534)),"⚠ วันที่ไม่ถูกต้อง",IF(COUNTIFS(Setup!$L$6:$L$60,D1534,Setup!$M$6:$M$60,C1534)=0,"⚠ หมวดไม่ตรงประเภท","✓"))))</f>
        <v/>
      </c>
    </row>
    <row r="1535">
      <c r="B1535" s="113" t="n"/>
      <c r="C1535" s="114" t="n"/>
      <c r="D1535" s="115" t="n"/>
      <c r="E1535" s="116" t="n"/>
      <c r="F1535" s="115" t="n"/>
      <c r="G1535" s="117">
        <f>IF(COUNTA(B1535:E1535)=0,"",IF(COUNTA(B1535:E1535)&lt;4,"⚠ กรอกไม่ครบ",IF(NOT(ISNUMBER(B1535)),"⚠ วันที่ไม่ถูกต้อง",IF(COUNTIFS(Setup!$L$6:$L$60,D1535,Setup!$M$6:$M$60,C1535)=0,"⚠ หมวดไม่ตรงประเภท","✓"))))</f>
        <v/>
      </c>
    </row>
    <row r="1536">
      <c r="B1536" s="113" t="n"/>
      <c r="C1536" s="114" t="n"/>
      <c r="D1536" s="115" t="n"/>
      <c r="E1536" s="116" t="n"/>
      <c r="F1536" s="115" t="n"/>
      <c r="G1536" s="117">
        <f>IF(COUNTA(B1536:E1536)=0,"",IF(COUNTA(B1536:E1536)&lt;4,"⚠ กรอกไม่ครบ",IF(NOT(ISNUMBER(B1536)),"⚠ วันที่ไม่ถูกต้อง",IF(COUNTIFS(Setup!$L$6:$L$60,D1536,Setup!$M$6:$M$60,C1536)=0,"⚠ หมวดไม่ตรงประเภท","✓"))))</f>
        <v/>
      </c>
    </row>
    <row r="1537">
      <c r="B1537" s="113" t="n"/>
      <c r="C1537" s="114" t="n"/>
      <c r="D1537" s="115" t="n"/>
      <c r="E1537" s="116" t="n"/>
      <c r="F1537" s="115" t="n"/>
      <c r="G1537" s="117">
        <f>IF(COUNTA(B1537:E1537)=0,"",IF(COUNTA(B1537:E1537)&lt;4,"⚠ กรอกไม่ครบ",IF(NOT(ISNUMBER(B1537)),"⚠ วันที่ไม่ถูกต้อง",IF(COUNTIFS(Setup!$L$6:$L$60,D1537,Setup!$M$6:$M$60,C1537)=0,"⚠ หมวดไม่ตรงประเภท","✓"))))</f>
        <v/>
      </c>
    </row>
    <row r="1538">
      <c r="B1538" s="113" t="n"/>
      <c r="C1538" s="114" t="n"/>
      <c r="D1538" s="115" t="n"/>
      <c r="E1538" s="116" t="n"/>
      <c r="F1538" s="115" t="n"/>
      <c r="G1538" s="117">
        <f>IF(COUNTA(B1538:E1538)=0,"",IF(COUNTA(B1538:E1538)&lt;4,"⚠ กรอกไม่ครบ",IF(NOT(ISNUMBER(B1538)),"⚠ วันที่ไม่ถูกต้อง",IF(COUNTIFS(Setup!$L$6:$L$60,D1538,Setup!$M$6:$M$60,C1538)=0,"⚠ หมวดไม่ตรงประเภท","✓"))))</f>
        <v/>
      </c>
    </row>
    <row r="1539">
      <c r="B1539" s="113" t="n"/>
      <c r="C1539" s="114" t="n"/>
      <c r="D1539" s="115" t="n"/>
      <c r="E1539" s="116" t="n"/>
      <c r="F1539" s="115" t="n"/>
      <c r="G1539" s="117">
        <f>IF(COUNTA(B1539:E1539)=0,"",IF(COUNTA(B1539:E1539)&lt;4,"⚠ กรอกไม่ครบ",IF(NOT(ISNUMBER(B1539)),"⚠ วันที่ไม่ถูกต้อง",IF(COUNTIFS(Setup!$L$6:$L$60,D1539,Setup!$M$6:$M$60,C1539)=0,"⚠ หมวดไม่ตรงประเภท","✓"))))</f>
        <v/>
      </c>
    </row>
    <row r="1540">
      <c r="B1540" s="113" t="n"/>
      <c r="C1540" s="114" t="n"/>
      <c r="D1540" s="115" t="n"/>
      <c r="E1540" s="116" t="n"/>
      <c r="F1540" s="115" t="n"/>
      <c r="G1540" s="117">
        <f>IF(COUNTA(B1540:E1540)=0,"",IF(COUNTA(B1540:E1540)&lt;4,"⚠ กรอกไม่ครบ",IF(NOT(ISNUMBER(B1540)),"⚠ วันที่ไม่ถูกต้อง",IF(COUNTIFS(Setup!$L$6:$L$60,D1540,Setup!$M$6:$M$60,C1540)=0,"⚠ หมวดไม่ตรงประเภท","✓"))))</f>
        <v/>
      </c>
    </row>
    <row r="1541">
      <c r="B1541" s="113" t="n"/>
      <c r="C1541" s="114" t="n"/>
      <c r="D1541" s="115" t="n"/>
      <c r="E1541" s="116" t="n"/>
      <c r="F1541" s="115" t="n"/>
      <c r="G1541" s="117">
        <f>IF(COUNTA(B1541:E1541)=0,"",IF(COUNTA(B1541:E1541)&lt;4,"⚠ กรอกไม่ครบ",IF(NOT(ISNUMBER(B1541)),"⚠ วันที่ไม่ถูกต้อง",IF(COUNTIFS(Setup!$L$6:$L$60,D1541,Setup!$M$6:$M$60,C1541)=0,"⚠ หมวดไม่ตรงประเภท","✓"))))</f>
        <v/>
      </c>
    </row>
    <row r="1542">
      <c r="B1542" s="113" t="n"/>
      <c r="C1542" s="114" t="n"/>
      <c r="D1542" s="115" t="n"/>
      <c r="E1542" s="116" t="n"/>
      <c r="F1542" s="115" t="n"/>
      <c r="G1542" s="117">
        <f>IF(COUNTA(B1542:E1542)=0,"",IF(COUNTA(B1542:E1542)&lt;4,"⚠ กรอกไม่ครบ",IF(NOT(ISNUMBER(B1542)),"⚠ วันที่ไม่ถูกต้อง",IF(COUNTIFS(Setup!$L$6:$L$60,D1542,Setup!$M$6:$M$60,C1542)=0,"⚠ หมวดไม่ตรงประเภท","✓"))))</f>
        <v/>
      </c>
    </row>
    <row r="1543">
      <c r="B1543" s="113" t="n"/>
      <c r="C1543" s="114" t="n"/>
      <c r="D1543" s="115" t="n"/>
      <c r="E1543" s="116" t="n"/>
      <c r="F1543" s="115" t="n"/>
      <c r="G1543" s="117">
        <f>IF(COUNTA(B1543:E1543)=0,"",IF(COUNTA(B1543:E1543)&lt;4,"⚠ กรอกไม่ครบ",IF(NOT(ISNUMBER(B1543)),"⚠ วันที่ไม่ถูกต้อง",IF(COUNTIFS(Setup!$L$6:$L$60,D1543,Setup!$M$6:$M$60,C1543)=0,"⚠ หมวดไม่ตรงประเภท","✓"))))</f>
        <v/>
      </c>
    </row>
    <row r="1544">
      <c r="B1544" s="113" t="n"/>
      <c r="C1544" s="114" t="n"/>
      <c r="D1544" s="115" t="n"/>
      <c r="E1544" s="116" t="n"/>
      <c r="F1544" s="115" t="n"/>
      <c r="G1544" s="117">
        <f>IF(COUNTA(B1544:E1544)=0,"",IF(COUNTA(B1544:E1544)&lt;4,"⚠ กรอกไม่ครบ",IF(NOT(ISNUMBER(B1544)),"⚠ วันที่ไม่ถูกต้อง",IF(COUNTIFS(Setup!$L$6:$L$60,D1544,Setup!$M$6:$M$60,C1544)=0,"⚠ หมวดไม่ตรงประเภท","✓"))))</f>
        <v/>
      </c>
    </row>
    <row r="1545">
      <c r="B1545" s="113" t="n"/>
      <c r="C1545" s="114" t="n"/>
      <c r="D1545" s="115" t="n"/>
      <c r="E1545" s="116" t="n"/>
      <c r="F1545" s="115" t="n"/>
      <c r="G1545" s="117">
        <f>IF(COUNTA(B1545:E1545)=0,"",IF(COUNTA(B1545:E1545)&lt;4,"⚠ กรอกไม่ครบ",IF(NOT(ISNUMBER(B1545)),"⚠ วันที่ไม่ถูกต้อง",IF(COUNTIFS(Setup!$L$6:$L$60,D1545,Setup!$M$6:$M$60,C1545)=0,"⚠ หมวดไม่ตรงประเภท","✓"))))</f>
        <v/>
      </c>
    </row>
    <row r="1546">
      <c r="B1546" s="113" t="n"/>
      <c r="C1546" s="114" t="n"/>
      <c r="D1546" s="115" t="n"/>
      <c r="E1546" s="116" t="n"/>
      <c r="F1546" s="115" t="n"/>
      <c r="G1546" s="117">
        <f>IF(COUNTA(B1546:E1546)=0,"",IF(COUNTA(B1546:E1546)&lt;4,"⚠ กรอกไม่ครบ",IF(NOT(ISNUMBER(B1546)),"⚠ วันที่ไม่ถูกต้อง",IF(COUNTIFS(Setup!$L$6:$L$60,D1546,Setup!$M$6:$M$60,C1546)=0,"⚠ หมวดไม่ตรงประเภท","✓"))))</f>
        <v/>
      </c>
    </row>
    <row r="1547">
      <c r="B1547" s="113" t="n"/>
      <c r="C1547" s="114" t="n"/>
      <c r="D1547" s="115" t="n"/>
      <c r="E1547" s="116" t="n"/>
      <c r="F1547" s="115" t="n"/>
      <c r="G1547" s="117">
        <f>IF(COUNTA(B1547:E1547)=0,"",IF(COUNTA(B1547:E1547)&lt;4,"⚠ กรอกไม่ครบ",IF(NOT(ISNUMBER(B1547)),"⚠ วันที่ไม่ถูกต้อง",IF(COUNTIFS(Setup!$L$6:$L$60,D1547,Setup!$M$6:$M$60,C1547)=0,"⚠ หมวดไม่ตรงประเภท","✓"))))</f>
        <v/>
      </c>
    </row>
    <row r="1548">
      <c r="B1548" s="113" t="n"/>
      <c r="C1548" s="114" t="n"/>
      <c r="D1548" s="115" t="n"/>
      <c r="E1548" s="116" t="n"/>
      <c r="F1548" s="115" t="n"/>
      <c r="G1548" s="117">
        <f>IF(COUNTA(B1548:E1548)=0,"",IF(COUNTA(B1548:E1548)&lt;4,"⚠ กรอกไม่ครบ",IF(NOT(ISNUMBER(B1548)),"⚠ วันที่ไม่ถูกต้อง",IF(COUNTIFS(Setup!$L$6:$L$60,D1548,Setup!$M$6:$M$60,C1548)=0,"⚠ หมวดไม่ตรงประเภท","✓"))))</f>
        <v/>
      </c>
    </row>
    <row r="1549">
      <c r="B1549" s="113" t="n"/>
      <c r="C1549" s="114" t="n"/>
      <c r="D1549" s="115" t="n"/>
      <c r="E1549" s="116" t="n"/>
      <c r="F1549" s="115" t="n"/>
      <c r="G1549" s="117">
        <f>IF(COUNTA(B1549:E1549)=0,"",IF(COUNTA(B1549:E1549)&lt;4,"⚠ กรอกไม่ครบ",IF(NOT(ISNUMBER(B1549)),"⚠ วันที่ไม่ถูกต้อง",IF(COUNTIFS(Setup!$L$6:$L$60,D1549,Setup!$M$6:$M$60,C1549)=0,"⚠ หมวดไม่ตรงประเภท","✓"))))</f>
        <v/>
      </c>
    </row>
    <row r="1550">
      <c r="B1550" s="113" t="n"/>
      <c r="C1550" s="114" t="n"/>
      <c r="D1550" s="115" t="n"/>
      <c r="E1550" s="116" t="n"/>
      <c r="F1550" s="115" t="n"/>
      <c r="G1550" s="117">
        <f>IF(COUNTA(B1550:E1550)=0,"",IF(COUNTA(B1550:E1550)&lt;4,"⚠ กรอกไม่ครบ",IF(NOT(ISNUMBER(B1550)),"⚠ วันที่ไม่ถูกต้อง",IF(COUNTIFS(Setup!$L$6:$L$60,D1550,Setup!$M$6:$M$60,C1550)=0,"⚠ หมวดไม่ตรงประเภท","✓"))))</f>
        <v/>
      </c>
    </row>
    <row r="1551">
      <c r="B1551" s="113" t="n"/>
      <c r="C1551" s="114" t="n"/>
      <c r="D1551" s="115" t="n"/>
      <c r="E1551" s="116" t="n"/>
      <c r="F1551" s="115" t="n"/>
      <c r="G1551" s="117">
        <f>IF(COUNTA(B1551:E1551)=0,"",IF(COUNTA(B1551:E1551)&lt;4,"⚠ กรอกไม่ครบ",IF(NOT(ISNUMBER(B1551)),"⚠ วันที่ไม่ถูกต้อง",IF(COUNTIFS(Setup!$L$6:$L$60,D1551,Setup!$M$6:$M$60,C1551)=0,"⚠ หมวดไม่ตรงประเภท","✓"))))</f>
        <v/>
      </c>
    </row>
    <row r="1552">
      <c r="B1552" s="113" t="n"/>
      <c r="C1552" s="114" t="n"/>
      <c r="D1552" s="115" t="n"/>
      <c r="E1552" s="116" t="n"/>
      <c r="F1552" s="115" t="n"/>
      <c r="G1552" s="117">
        <f>IF(COUNTA(B1552:E1552)=0,"",IF(COUNTA(B1552:E1552)&lt;4,"⚠ กรอกไม่ครบ",IF(NOT(ISNUMBER(B1552)),"⚠ วันที่ไม่ถูกต้อง",IF(COUNTIFS(Setup!$L$6:$L$60,D1552,Setup!$M$6:$M$60,C1552)=0,"⚠ หมวดไม่ตรงประเภท","✓"))))</f>
        <v/>
      </c>
    </row>
    <row r="1553">
      <c r="B1553" s="113" t="n"/>
      <c r="C1553" s="114" t="n"/>
      <c r="D1553" s="115" t="n"/>
      <c r="E1553" s="116" t="n"/>
      <c r="F1553" s="115" t="n"/>
      <c r="G1553" s="117">
        <f>IF(COUNTA(B1553:E1553)=0,"",IF(COUNTA(B1553:E1553)&lt;4,"⚠ กรอกไม่ครบ",IF(NOT(ISNUMBER(B1553)),"⚠ วันที่ไม่ถูกต้อง",IF(COUNTIFS(Setup!$L$6:$L$60,D1553,Setup!$M$6:$M$60,C1553)=0,"⚠ หมวดไม่ตรงประเภท","✓"))))</f>
        <v/>
      </c>
    </row>
    <row r="1554">
      <c r="B1554" s="113" t="n"/>
      <c r="C1554" s="114" t="n"/>
      <c r="D1554" s="115" t="n"/>
      <c r="E1554" s="116" t="n"/>
      <c r="F1554" s="115" t="n"/>
      <c r="G1554" s="117">
        <f>IF(COUNTA(B1554:E1554)=0,"",IF(COUNTA(B1554:E1554)&lt;4,"⚠ กรอกไม่ครบ",IF(NOT(ISNUMBER(B1554)),"⚠ วันที่ไม่ถูกต้อง",IF(COUNTIFS(Setup!$L$6:$L$60,D1554,Setup!$M$6:$M$60,C1554)=0,"⚠ หมวดไม่ตรงประเภท","✓"))))</f>
        <v/>
      </c>
    </row>
    <row r="1555">
      <c r="B1555" s="113" t="n"/>
      <c r="C1555" s="114" t="n"/>
      <c r="D1555" s="115" t="n"/>
      <c r="E1555" s="116" t="n"/>
      <c r="F1555" s="115" t="n"/>
      <c r="G1555" s="117">
        <f>IF(COUNTA(B1555:E1555)=0,"",IF(COUNTA(B1555:E1555)&lt;4,"⚠ กรอกไม่ครบ",IF(NOT(ISNUMBER(B1555)),"⚠ วันที่ไม่ถูกต้อง",IF(COUNTIFS(Setup!$L$6:$L$60,D1555,Setup!$M$6:$M$60,C1555)=0,"⚠ หมวดไม่ตรงประเภท","✓"))))</f>
        <v/>
      </c>
    </row>
    <row r="1556">
      <c r="B1556" s="113" t="n"/>
      <c r="C1556" s="114" t="n"/>
      <c r="D1556" s="115" t="n"/>
      <c r="E1556" s="116" t="n"/>
      <c r="F1556" s="115" t="n"/>
      <c r="G1556" s="117">
        <f>IF(COUNTA(B1556:E1556)=0,"",IF(COUNTA(B1556:E1556)&lt;4,"⚠ กรอกไม่ครบ",IF(NOT(ISNUMBER(B1556)),"⚠ วันที่ไม่ถูกต้อง",IF(COUNTIFS(Setup!$L$6:$L$60,D1556,Setup!$M$6:$M$60,C1556)=0,"⚠ หมวดไม่ตรงประเภท","✓"))))</f>
        <v/>
      </c>
    </row>
    <row r="1557">
      <c r="B1557" s="113" t="n"/>
      <c r="C1557" s="114" t="n"/>
      <c r="D1557" s="115" t="n"/>
      <c r="E1557" s="116" t="n"/>
      <c r="F1557" s="115" t="n"/>
      <c r="G1557" s="117">
        <f>IF(COUNTA(B1557:E1557)=0,"",IF(COUNTA(B1557:E1557)&lt;4,"⚠ กรอกไม่ครบ",IF(NOT(ISNUMBER(B1557)),"⚠ วันที่ไม่ถูกต้อง",IF(COUNTIFS(Setup!$L$6:$L$60,D1557,Setup!$M$6:$M$60,C1557)=0,"⚠ หมวดไม่ตรงประเภท","✓"))))</f>
        <v/>
      </c>
    </row>
    <row r="1558">
      <c r="B1558" s="113" t="n"/>
      <c r="C1558" s="114" t="n"/>
      <c r="D1558" s="115" t="n"/>
      <c r="E1558" s="116" t="n"/>
      <c r="F1558" s="115" t="n"/>
      <c r="G1558" s="117">
        <f>IF(COUNTA(B1558:E1558)=0,"",IF(COUNTA(B1558:E1558)&lt;4,"⚠ กรอกไม่ครบ",IF(NOT(ISNUMBER(B1558)),"⚠ วันที่ไม่ถูกต้อง",IF(COUNTIFS(Setup!$L$6:$L$60,D1558,Setup!$M$6:$M$60,C1558)=0,"⚠ หมวดไม่ตรงประเภท","✓"))))</f>
        <v/>
      </c>
    </row>
    <row r="1559">
      <c r="B1559" s="113" t="n"/>
      <c r="C1559" s="114" t="n"/>
      <c r="D1559" s="115" t="n"/>
      <c r="E1559" s="116" t="n"/>
      <c r="F1559" s="115" t="n"/>
      <c r="G1559" s="117">
        <f>IF(COUNTA(B1559:E1559)=0,"",IF(COUNTA(B1559:E1559)&lt;4,"⚠ กรอกไม่ครบ",IF(NOT(ISNUMBER(B1559)),"⚠ วันที่ไม่ถูกต้อง",IF(COUNTIFS(Setup!$L$6:$L$60,D1559,Setup!$M$6:$M$60,C1559)=0,"⚠ หมวดไม่ตรงประเภท","✓"))))</f>
        <v/>
      </c>
    </row>
    <row r="1560">
      <c r="B1560" s="113" t="n"/>
      <c r="C1560" s="114" t="n"/>
      <c r="D1560" s="115" t="n"/>
      <c r="E1560" s="116" t="n"/>
      <c r="F1560" s="115" t="n"/>
      <c r="G1560" s="117">
        <f>IF(COUNTA(B1560:E1560)=0,"",IF(COUNTA(B1560:E1560)&lt;4,"⚠ กรอกไม่ครบ",IF(NOT(ISNUMBER(B1560)),"⚠ วันที่ไม่ถูกต้อง",IF(COUNTIFS(Setup!$L$6:$L$60,D1560,Setup!$M$6:$M$60,C1560)=0,"⚠ หมวดไม่ตรงประเภท","✓"))))</f>
        <v/>
      </c>
    </row>
    <row r="1561">
      <c r="B1561" s="113" t="n"/>
      <c r="C1561" s="114" t="n"/>
      <c r="D1561" s="115" t="n"/>
      <c r="E1561" s="116" t="n"/>
      <c r="F1561" s="115" t="n"/>
      <c r="G1561" s="117">
        <f>IF(COUNTA(B1561:E1561)=0,"",IF(COUNTA(B1561:E1561)&lt;4,"⚠ กรอกไม่ครบ",IF(NOT(ISNUMBER(B1561)),"⚠ วันที่ไม่ถูกต้อง",IF(COUNTIFS(Setup!$L$6:$L$60,D1561,Setup!$M$6:$M$60,C1561)=0,"⚠ หมวดไม่ตรงประเภท","✓"))))</f>
        <v/>
      </c>
    </row>
    <row r="1562">
      <c r="B1562" s="113" t="n"/>
      <c r="C1562" s="114" t="n"/>
      <c r="D1562" s="115" t="n"/>
      <c r="E1562" s="116" t="n"/>
      <c r="F1562" s="115" t="n"/>
      <c r="G1562" s="117">
        <f>IF(COUNTA(B1562:E1562)=0,"",IF(COUNTA(B1562:E1562)&lt;4,"⚠ กรอกไม่ครบ",IF(NOT(ISNUMBER(B1562)),"⚠ วันที่ไม่ถูกต้อง",IF(COUNTIFS(Setup!$L$6:$L$60,D1562,Setup!$M$6:$M$60,C1562)=0,"⚠ หมวดไม่ตรงประเภท","✓"))))</f>
        <v/>
      </c>
    </row>
    <row r="1563">
      <c r="B1563" s="113" t="n"/>
      <c r="C1563" s="114" t="n"/>
      <c r="D1563" s="115" t="n"/>
      <c r="E1563" s="116" t="n"/>
      <c r="F1563" s="115" t="n"/>
      <c r="G1563" s="117">
        <f>IF(COUNTA(B1563:E1563)=0,"",IF(COUNTA(B1563:E1563)&lt;4,"⚠ กรอกไม่ครบ",IF(NOT(ISNUMBER(B1563)),"⚠ วันที่ไม่ถูกต้อง",IF(COUNTIFS(Setup!$L$6:$L$60,D1563,Setup!$M$6:$M$60,C1563)=0,"⚠ หมวดไม่ตรงประเภท","✓"))))</f>
        <v/>
      </c>
    </row>
    <row r="1564">
      <c r="B1564" s="113" t="n"/>
      <c r="C1564" s="114" t="n"/>
      <c r="D1564" s="115" t="n"/>
      <c r="E1564" s="116" t="n"/>
      <c r="F1564" s="115" t="n"/>
      <c r="G1564" s="117">
        <f>IF(COUNTA(B1564:E1564)=0,"",IF(COUNTA(B1564:E1564)&lt;4,"⚠ กรอกไม่ครบ",IF(NOT(ISNUMBER(B1564)),"⚠ วันที่ไม่ถูกต้อง",IF(COUNTIFS(Setup!$L$6:$L$60,D1564,Setup!$M$6:$M$60,C1564)=0,"⚠ หมวดไม่ตรงประเภท","✓"))))</f>
        <v/>
      </c>
    </row>
    <row r="1565">
      <c r="B1565" s="113" t="n"/>
      <c r="C1565" s="114" t="n"/>
      <c r="D1565" s="115" t="n"/>
      <c r="E1565" s="116" t="n"/>
      <c r="F1565" s="115" t="n"/>
      <c r="G1565" s="117">
        <f>IF(COUNTA(B1565:E1565)=0,"",IF(COUNTA(B1565:E1565)&lt;4,"⚠ กรอกไม่ครบ",IF(NOT(ISNUMBER(B1565)),"⚠ วันที่ไม่ถูกต้อง",IF(COUNTIFS(Setup!$L$6:$L$60,D1565,Setup!$M$6:$M$60,C1565)=0,"⚠ หมวดไม่ตรงประเภท","✓"))))</f>
        <v/>
      </c>
    </row>
    <row r="1566">
      <c r="B1566" s="113" t="n"/>
      <c r="C1566" s="114" t="n"/>
      <c r="D1566" s="115" t="n"/>
      <c r="E1566" s="116" t="n"/>
      <c r="F1566" s="115" t="n"/>
      <c r="G1566" s="117">
        <f>IF(COUNTA(B1566:E1566)=0,"",IF(COUNTA(B1566:E1566)&lt;4,"⚠ กรอกไม่ครบ",IF(NOT(ISNUMBER(B1566)),"⚠ วันที่ไม่ถูกต้อง",IF(COUNTIFS(Setup!$L$6:$L$60,D1566,Setup!$M$6:$M$60,C1566)=0,"⚠ หมวดไม่ตรงประเภท","✓"))))</f>
        <v/>
      </c>
    </row>
    <row r="1567">
      <c r="B1567" s="113" t="n"/>
      <c r="C1567" s="114" t="n"/>
      <c r="D1567" s="115" t="n"/>
      <c r="E1567" s="116" t="n"/>
      <c r="F1567" s="115" t="n"/>
      <c r="G1567" s="117">
        <f>IF(COUNTA(B1567:E1567)=0,"",IF(COUNTA(B1567:E1567)&lt;4,"⚠ กรอกไม่ครบ",IF(NOT(ISNUMBER(B1567)),"⚠ วันที่ไม่ถูกต้อง",IF(COUNTIFS(Setup!$L$6:$L$60,D1567,Setup!$M$6:$M$60,C1567)=0,"⚠ หมวดไม่ตรงประเภท","✓"))))</f>
        <v/>
      </c>
    </row>
    <row r="1568">
      <c r="B1568" s="113" t="n"/>
      <c r="C1568" s="114" t="n"/>
      <c r="D1568" s="115" t="n"/>
      <c r="E1568" s="116" t="n"/>
      <c r="F1568" s="115" t="n"/>
      <c r="G1568" s="117">
        <f>IF(COUNTA(B1568:E1568)=0,"",IF(COUNTA(B1568:E1568)&lt;4,"⚠ กรอกไม่ครบ",IF(NOT(ISNUMBER(B1568)),"⚠ วันที่ไม่ถูกต้อง",IF(COUNTIFS(Setup!$L$6:$L$60,D1568,Setup!$M$6:$M$60,C1568)=0,"⚠ หมวดไม่ตรงประเภท","✓"))))</f>
        <v/>
      </c>
    </row>
    <row r="1569">
      <c r="B1569" s="113" t="n"/>
      <c r="C1569" s="114" t="n"/>
      <c r="D1569" s="115" t="n"/>
      <c r="E1569" s="116" t="n"/>
      <c r="F1569" s="115" t="n"/>
      <c r="G1569" s="117">
        <f>IF(COUNTA(B1569:E1569)=0,"",IF(COUNTA(B1569:E1569)&lt;4,"⚠ กรอกไม่ครบ",IF(NOT(ISNUMBER(B1569)),"⚠ วันที่ไม่ถูกต้อง",IF(COUNTIFS(Setup!$L$6:$L$60,D1569,Setup!$M$6:$M$60,C1569)=0,"⚠ หมวดไม่ตรงประเภท","✓"))))</f>
        <v/>
      </c>
    </row>
    <row r="1570">
      <c r="B1570" s="113" t="n"/>
      <c r="C1570" s="114" t="n"/>
      <c r="D1570" s="115" t="n"/>
      <c r="E1570" s="116" t="n"/>
      <c r="F1570" s="115" t="n"/>
      <c r="G1570" s="117">
        <f>IF(COUNTA(B1570:E1570)=0,"",IF(COUNTA(B1570:E1570)&lt;4,"⚠ กรอกไม่ครบ",IF(NOT(ISNUMBER(B1570)),"⚠ วันที่ไม่ถูกต้อง",IF(COUNTIFS(Setup!$L$6:$L$60,D1570,Setup!$M$6:$M$60,C1570)=0,"⚠ หมวดไม่ตรงประเภท","✓"))))</f>
        <v/>
      </c>
    </row>
    <row r="1571">
      <c r="B1571" s="113" t="n"/>
      <c r="C1571" s="114" t="n"/>
      <c r="D1571" s="115" t="n"/>
      <c r="E1571" s="116" t="n"/>
      <c r="F1571" s="115" t="n"/>
      <c r="G1571" s="117">
        <f>IF(COUNTA(B1571:E1571)=0,"",IF(COUNTA(B1571:E1571)&lt;4,"⚠ กรอกไม่ครบ",IF(NOT(ISNUMBER(B1571)),"⚠ วันที่ไม่ถูกต้อง",IF(COUNTIFS(Setup!$L$6:$L$60,D1571,Setup!$M$6:$M$60,C1571)=0,"⚠ หมวดไม่ตรงประเภท","✓"))))</f>
        <v/>
      </c>
    </row>
    <row r="1572">
      <c r="B1572" s="113" t="n"/>
      <c r="C1572" s="114" t="n"/>
      <c r="D1572" s="115" t="n"/>
      <c r="E1572" s="116" t="n"/>
      <c r="F1572" s="115" t="n"/>
      <c r="G1572" s="117">
        <f>IF(COUNTA(B1572:E1572)=0,"",IF(COUNTA(B1572:E1572)&lt;4,"⚠ กรอกไม่ครบ",IF(NOT(ISNUMBER(B1572)),"⚠ วันที่ไม่ถูกต้อง",IF(COUNTIFS(Setup!$L$6:$L$60,D1572,Setup!$M$6:$M$60,C1572)=0,"⚠ หมวดไม่ตรงประเภท","✓"))))</f>
        <v/>
      </c>
    </row>
    <row r="1573">
      <c r="B1573" s="113" t="n"/>
      <c r="C1573" s="114" t="n"/>
      <c r="D1573" s="115" t="n"/>
      <c r="E1573" s="116" t="n"/>
      <c r="F1573" s="115" t="n"/>
      <c r="G1573" s="117">
        <f>IF(COUNTA(B1573:E1573)=0,"",IF(COUNTA(B1573:E1573)&lt;4,"⚠ กรอกไม่ครบ",IF(NOT(ISNUMBER(B1573)),"⚠ วันที่ไม่ถูกต้อง",IF(COUNTIFS(Setup!$L$6:$L$60,D1573,Setup!$M$6:$M$60,C1573)=0,"⚠ หมวดไม่ตรงประเภท","✓"))))</f>
        <v/>
      </c>
    </row>
    <row r="1574">
      <c r="B1574" s="113" t="n"/>
      <c r="C1574" s="114" t="n"/>
      <c r="D1574" s="115" t="n"/>
      <c r="E1574" s="116" t="n"/>
      <c r="F1574" s="115" t="n"/>
      <c r="G1574" s="117">
        <f>IF(COUNTA(B1574:E1574)=0,"",IF(COUNTA(B1574:E1574)&lt;4,"⚠ กรอกไม่ครบ",IF(NOT(ISNUMBER(B1574)),"⚠ วันที่ไม่ถูกต้อง",IF(COUNTIFS(Setup!$L$6:$L$60,D1574,Setup!$M$6:$M$60,C1574)=0,"⚠ หมวดไม่ตรงประเภท","✓"))))</f>
        <v/>
      </c>
    </row>
    <row r="1575">
      <c r="B1575" s="113" t="n"/>
      <c r="C1575" s="114" t="n"/>
      <c r="D1575" s="115" t="n"/>
      <c r="E1575" s="116" t="n"/>
      <c r="F1575" s="115" t="n"/>
      <c r="G1575" s="117">
        <f>IF(COUNTA(B1575:E1575)=0,"",IF(COUNTA(B1575:E1575)&lt;4,"⚠ กรอกไม่ครบ",IF(NOT(ISNUMBER(B1575)),"⚠ วันที่ไม่ถูกต้อง",IF(COUNTIFS(Setup!$L$6:$L$60,D1575,Setup!$M$6:$M$60,C1575)=0,"⚠ หมวดไม่ตรงประเภท","✓"))))</f>
        <v/>
      </c>
    </row>
    <row r="1576">
      <c r="B1576" s="113" t="n"/>
      <c r="C1576" s="114" t="n"/>
      <c r="D1576" s="115" t="n"/>
      <c r="E1576" s="116" t="n"/>
      <c r="F1576" s="115" t="n"/>
      <c r="G1576" s="117">
        <f>IF(COUNTA(B1576:E1576)=0,"",IF(COUNTA(B1576:E1576)&lt;4,"⚠ กรอกไม่ครบ",IF(NOT(ISNUMBER(B1576)),"⚠ วันที่ไม่ถูกต้อง",IF(COUNTIFS(Setup!$L$6:$L$60,D1576,Setup!$M$6:$M$60,C1576)=0,"⚠ หมวดไม่ตรงประเภท","✓"))))</f>
        <v/>
      </c>
    </row>
    <row r="1577">
      <c r="B1577" s="113" t="n"/>
      <c r="C1577" s="114" t="n"/>
      <c r="D1577" s="115" t="n"/>
      <c r="E1577" s="116" t="n"/>
      <c r="F1577" s="115" t="n"/>
      <c r="G1577" s="117">
        <f>IF(COUNTA(B1577:E1577)=0,"",IF(COUNTA(B1577:E1577)&lt;4,"⚠ กรอกไม่ครบ",IF(NOT(ISNUMBER(B1577)),"⚠ วันที่ไม่ถูกต้อง",IF(COUNTIFS(Setup!$L$6:$L$60,D1577,Setup!$M$6:$M$60,C1577)=0,"⚠ หมวดไม่ตรงประเภท","✓"))))</f>
        <v/>
      </c>
    </row>
    <row r="1578">
      <c r="B1578" s="113" t="n"/>
      <c r="C1578" s="114" t="n"/>
      <c r="D1578" s="115" t="n"/>
      <c r="E1578" s="116" t="n"/>
      <c r="F1578" s="115" t="n"/>
      <c r="G1578" s="117">
        <f>IF(COUNTA(B1578:E1578)=0,"",IF(COUNTA(B1578:E1578)&lt;4,"⚠ กรอกไม่ครบ",IF(NOT(ISNUMBER(B1578)),"⚠ วันที่ไม่ถูกต้อง",IF(COUNTIFS(Setup!$L$6:$L$60,D1578,Setup!$M$6:$M$60,C1578)=0,"⚠ หมวดไม่ตรงประเภท","✓"))))</f>
        <v/>
      </c>
    </row>
    <row r="1579">
      <c r="B1579" s="113" t="n"/>
      <c r="C1579" s="114" t="n"/>
      <c r="D1579" s="115" t="n"/>
      <c r="E1579" s="116" t="n"/>
      <c r="F1579" s="115" t="n"/>
      <c r="G1579" s="117">
        <f>IF(COUNTA(B1579:E1579)=0,"",IF(COUNTA(B1579:E1579)&lt;4,"⚠ กรอกไม่ครบ",IF(NOT(ISNUMBER(B1579)),"⚠ วันที่ไม่ถูกต้อง",IF(COUNTIFS(Setup!$L$6:$L$60,D1579,Setup!$M$6:$M$60,C1579)=0,"⚠ หมวดไม่ตรงประเภท","✓"))))</f>
        <v/>
      </c>
    </row>
    <row r="1580">
      <c r="B1580" s="113" t="n"/>
      <c r="C1580" s="114" t="n"/>
      <c r="D1580" s="115" t="n"/>
      <c r="E1580" s="116" t="n"/>
      <c r="F1580" s="115" t="n"/>
      <c r="G1580" s="117">
        <f>IF(COUNTA(B1580:E1580)=0,"",IF(COUNTA(B1580:E1580)&lt;4,"⚠ กรอกไม่ครบ",IF(NOT(ISNUMBER(B1580)),"⚠ วันที่ไม่ถูกต้อง",IF(COUNTIFS(Setup!$L$6:$L$60,D1580,Setup!$M$6:$M$60,C1580)=0,"⚠ หมวดไม่ตรงประเภท","✓"))))</f>
        <v/>
      </c>
    </row>
    <row r="1581">
      <c r="B1581" s="113" t="n"/>
      <c r="C1581" s="114" t="n"/>
      <c r="D1581" s="115" t="n"/>
      <c r="E1581" s="116" t="n"/>
      <c r="F1581" s="115" t="n"/>
      <c r="G1581" s="117">
        <f>IF(COUNTA(B1581:E1581)=0,"",IF(COUNTA(B1581:E1581)&lt;4,"⚠ กรอกไม่ครบ",IF(NOT(ISNUMBER(B1581)),"⚠ วันที่ไม่ถูกต้อง",IF(COUNTIFS(Setup!$L$6:$L$60,D1581,Setup!$M$6:$M$60,C1581)=0,"⚠ หมวดไม่ตรงประเภท","✓"))))</f>
        <v/>
      </c>
    </row>
    <row r="1582">
      <c r="B1582" s="113" t="n"/>
      <c r="C1582" s="114" t="n"/>
      <c r="D1582" s="115" t="n"/>
      <c r="E1582" s="116" t="n"/>
      <c r="F1582" s="115" t="n"/>
      <c r="G1582" s="117">
        <f>IF(COUNTA(B1582:E1582)=0,"",IF(COUNTA(B1582:E1582)&lt;4,"⚠ กรอกไม่ครบ",IF(NOT(ISNUMBER(B1582)),"⚠ วันที่ไม่ถูกต้อง",IF(COUNTIFS(Setup!$L$6:$L$60,D1582,Setup!$M$6:$M$60,C1582)=0,"⚠ หมวดไม่ตรงประเภท","✓"))))</f>
        <v/>
      </c>
    </row>
    <row r="1583">
      <c r="B1583" s="113" t="n"/>
      <c r="C1583" s="114" t="n"/>
      <c r="D1583" s="115" t="n"/>
      <c r="E1583" s="116" t="n"/>
      <c r="F1583" s="115" t="n"/>
      <c r="G1583" s="117">
        <f>IF(COUNTA(B1583:E1583)=0,"",IF(COUNTA(B1583:E1583)&lt;4,"⚠ กรอกไม่ครบ",IF(NOT(ISNUMBER(B1583)),"⚠ วันที่ไม่ถูกต้อง",IF(COUNTIFS(Setup!$L$6:$L$60,D1583,Setup!$M$6:$M$60,C1583)=0,"⚠ หมวดไม่ตรงประเภท","✓"))))</f>
        <v/>
      </c>
    </row>
    <row r="1584">
      <c r="B1584" s="113" t="n"/>
      <c r="C1584" s="114" t="n"/>
      <c r="D1584" s="115" t="n"/>
      <c r="E1584" s="116" t="n"/>
      <c r="F1584" s="115" t="n"/>
      <c r="G1584" s="117">
        <f>IF(COUNTA(B1584:E1584)=0,"",IF(COUNTA(B1584:E1584)&lt;4,"⚠ กรอกไม่ครบ",IF(NOT(ISNUMBER(B1584)),"⚠ วันที่ไม่ถูกต้อง",IF(COUNTIFS(Setup!$L$6:$L$60,D1584,Setup!$M$6:$M$60,C1584)=0,"⚠ หมวดไม่ตรงประเภท","✓"))))</f>
        <v/>
      </c>
    </row>
    <row r="1585">
      <c r="B1585" s="113" t="n"/>
      <c r="C1585" s="114" t="n"/>
      <c r="D1585" s="115" t="n"/>
      <c r="E1585" s="116" t="n"/>
      <c r="F1585" s="115" t="n"/>
      <c r="G1585" s="117">
        <f>IF(COUNTA(B1585:E1585)=0,"",IF(COUNTA(B1585:E1585)&lt;4,"⚠ กรอกไม่ครบ",IF(NOT(ISNUMBER(B1585)),"⚠ วันที่ไม่ถูกต้อง",IF(COUNTIFS(Setup!$L$6:$L$60,D1585,Setup!$M$6:$M$60,C1585)=0,"⚠ หมวดไม่ตรงประเภท","✓"))))</f>
        <v/>
      </c>
    </row>
    <row r="1586">
      <c r="B1586" s="113" t="n"/>
      <c r="C1586" s="114" t="n"/>
      <c r="D1586" s="115" t="n"/>
      <c r="E1586" s="116" t="n"/>
      <c r="F1586" s="115" t="n"/>
      <c r="G1586" s="117">
        <f>IF(COUNTA(B1586:E1586)=0,"",IF(COUNTA(B1586:E1586)&lt;4,"⚠ กรอกไม่ครบ",IF(NOT(ISNUMBER(B1586)),"⚠ วันที่ไม่ถูกต้อง",IF(COUNTIFS(Setup!$L$6:$L$60,D1586,Setup!$M$6:$M$60,C1586)=0,"⚠ หมวดไม่ตรงประเภท","✓"))))</f>
        <v/>
      </c>
    </row>
    <row r="1587">
      <c r="B1587" s="113" t="n"/>
      <c r="C1587" s="114" t="n"/>
      <c r="D1587" s="115" t="n"/>
      <c r="E1587" s="116" t="n"/>
      <c r="F1587" s="115" t="n"/>
      <c r="G1587" s="117">
        <f>IF(COUNTA(B1587:E1587)=0,"",IF(COUNTA(B1587:E1587)&lt;4,"⚠ กรอกไม่ครบ",IF(NOT(ISNUMBER(B1587)),"⚠ วันที่ไม่ถูกต้อง",IF(COUNTIFS(Setup!$L$6:$L$60,D1587,Setup!$M$6:$M$60,C1587)=0,"⚠ หมวดไม่ตรงประเภท","✓"))))</f>
        <v/>
      </c>
    </row>
    <row r="1588">
      <c r="B1588" s="113" t="n"/>
      <c r="C1588" s="114" t="n"/>
      <c r="D1588" s="115" t="n"/>
      <c r="E1588" s="116" t="n"/>
      <c r="F1588" s="115" t="n"/>
      <c r="G1588" s="117">
        <f>IF(COUNTA(B1588:E1588)=0,"",IF(COUNTA(B1588:E1588)&lt;4,"⚠ กรอกไม่ครบ",IF(NOT(ISNUMBER(B1588)),"⚠ วันที่ไม่ถูกต้อง",IF(COUNTIFS(Setup!$L$6:$L$60,D1588,Setup!$M$6:$M$60,C1588)=0,"⚠ หมวดไม่ตรงประเภท","✓"))))</f>
        <v/>
      </c>
    </row>
    <row r="1589">
      <c r="B1589" s="113" t="n"/>
      <c r="C1589" s="114" t="n"/>
      <c r="D1589" s="115" t="n"/>
      <c r="E1589" s="116" t="n"/>
      <c r="F1589" s="115" t="n"/>
      <c r="G1589" s="117">
        <f>IF(COUNTA(B1589:E1589)=0,"",IF(COUNTA(B1589:E1589)&lt;4,"⚠ กรอกไม่ครบ",IF(NOT(ISNUMBER(B1589)),"⚠ วันที่ไม่ถูกต้อง",IF(COUNTIFS(Setup!$L$6:$L$60,D1589,Setup!$M$6:$M$60,C1589)=0,"⚠ หมวดไม่ตรงประเภท","✓"))))</f>
        <v/>
      </c>
    </row>
    <row r="1590">
      <c r="B1590" s="113" t="n"/>
      <c r="C1590" s="114" t="n"/>
      <c r="D1590" s="115" t="n"/>
      <c r="E1590" s="116" t="n"/>
      <c r="F1590" s="115" t="n"/>
      <c r="G1590" s="117">
        <f>IF(COUNTA(B1590:E1590)=0,"",IF(COUNTA(B1590:E1590)&lt;4,"⚠ กรอกไม่ครบ",IF(NOT(ISNUMBER(B1590)),"⚠ วันที่ไม่ถูกต้อง",IF(COUNTIFS(Setup!$L$6:$L$60,D1590,Setup!$M$6:$M$60,C1590)=0,"⚠ หมวดไม่ตรงประเภท","✓"))))</f>
        <v/>
      </c>
    </row>
    <row r="1591">
      <c r="B1591" s="113" t="n"/>
      <c r="C1591" s="114" t="n"/>
      <c r="D1591" s="115" t="n"/>
      <c r="E1591" s="116" t="n"/>
      <c r="F1591" s="115" t="n"/>
      <c r="G1591" s="117">
        <f>IF(COUNTA(B1591:E1591)=0,"",IF(COUNTA(B1591:E1591)&lt;4,"⚠ กรอกไม่ครบ",IF(NOT(ISNUMBER(B1591)),"⚠ วันที่ไม่ถูกต้อง",IF(COUNTIFS(Setup!$L$6:$L$60,D1591,Setup!$M$6:$M$60,C1591)=0,"⚠ หมวดไม่ตรงประเภท","✓"))))</f>
        <v/>
      </c>
    </row>
    <row r="1592">
      <c r="B1592" s="113" t="n"/>
      <c r="C1592" s="114" t="n"/>
      <c r="D1592" s="115" t="n"/>
      <c r="E1592" s="116" t="n"/>
      <c r="F1592" s="115" t="n"/>
      <c r="G1592" s="117">
        <f>IF(COUNTA(B1592:E1592)=0,"",IF(COUNTA(B1592:E1592)&lt;4,"⚠ กรอกไม่ครบ",IF(NOT(ISNUMBER(B1592)),"⚠ วันที่ไม่ถูกต้อง",IF(COUNTIFS(Setup!$L$6:$L$60,D1592,Setup!$M$6:$M$60,C1592)=0,"⚠ หมวดไม่ตรงประเภท","✓"))))</f>
        <v/>
      </c>
    </row>
    <row r="1593">
      <c r="B1593" s="113" t="n"/>
      <c r="C1593" s="114" t="n"/>
      <c r="D1593" s="115" t="n"/>
      <c r="E1593" s="116" t="n"/>
      <c r="F1593" s="115" t="n"/>
      <c r="G1593" s="117">
        <f>IF(COUNTA(B1593:E1593)=0,"",IF(COUNTA(B1593:E1593)&lt;4,"⚠ กรอกไม่ครบ",IF(NOT(ISNUMBER(B1593)),"⚠ วันที่ไม่ถูกต้อง",IF(COUNTIFS(Setup!$L$6:$L$60,D1593,Setup!$M$6:$M$60,C1593)=0,"⚠ หมวดไม่ตรงประเภท","✓"))))</f>
        <v/>
      </c>
    </row>
    <row r="1594">
      <c r="B1594" s="113" t="n"/>
      <c r="C1594" s="114" t="n"/>
      <c r="D1594" s="115" t="n"/>
      <c r="E1594" s="116" t="n"/>
      <c r="F1594" s="115" t="n"/>
      <c r="G1594" s="117">
        <f>IF(COUNTA(B1594:E1594)=0,"",IF(COUNTA(B1594:E1594)&lt;4,"⚠ กรอกไม่ครบ",IF(NOT(ISNUMBER(B1594)),"⚠ วันที่ไม่ถูกต้อง",IF(COUNTIFS(Setup!$L$6:$L$60,D1594,Setup!$M$6:$M$60,C1594)=0,"⚠ หมวดไม่ตรงประเภท","✓"))))</f>
        <v/>
      </c>
    </row>
    <row r="1595">
      <c r="B1595" s="113" t="n"/>
      <c r="C1595" s="114" t="n"/>
      <c r="D1595" s="115" t="n"/>
      <c r="E1595" s="116" t="n"/>
      <c r="F1595" s="115" t="n"/>
      <c r="G1595" s="117">
        <f>IF(COUNTA(B1595:E1595)=0,"",IF(COUNTA(B1595:E1595)&lt;4,"⚠ กรอกไม่ครบ",IF(NOT(ISNUMBER(B1595)),"⚠ วันที่ไม่ถูกต้อง",IF(COUNTIFS(Setup!$L$6:$L$60,D1595,Setup!$M$6:$M$60,C1595)=0,"⚠ หมวดไม่ตรงประเภท","✓"))))</f>
        <v/>
      </c>
    </row>
    <row r="1596">
      <c r="B1596" s="113" t="n"/>
      <c r="C1596" s="114" t="n"/>
      <c r="D1596" s="115" t="n"/>
      <c r="E1596" s="116" t="n"/>
      <c r="F1596" s="115" t="n"/>
      <c r="G1596" s="117">
        <f>IF(COUNTA(B1596:E1596)=0,"",IF(COUNTA(B1596:E1596)&lt;4,"⚠ กรอกไม่ครบ",IF(NOT(ISNUMBER(B1596)),"⚠ วันที่ไม่ถูกต้อง",IF(COUNTIFS(Setup!$L$6:$L$60,D1596,Setup!$M$6:$M$60,C1596)=0,"⚠ หมวดไม่ตรงประเภท","✓"))))</f>
        <v/>
      </c>
    </row>
    <row r="1597">
      <c r="B1597" s="113" t="n"/>
      <c r="C1597" s="114" t="n"/>
      <c r="D1597" s="115" t="n"/>
      <c r="E1597" s="116" t="n"/>
      <c r="F1597" s="115" t="n"/>
      <c r="G1597" s="117">
        <f>IF(COUNTA(B1597:E1597)=0,"",IF(COUNTA(B1597:E1597)&lt;4,"⚠ กรอกไม่ครบ",IF(NOT(ISNUMBER(B1597)),"⚠ วันที่ไม่ถูกต้อง",IF(COUNTIFS(Setup!$L$6:$L$60,D1597,Setup!$M$6:$M$60,C1597)=0,"⚠ หมวดไม่ตรงประเภท","✓"))))</f>
        <v/>
      </c>
    </row>
    <row r="1598">
      <c r="B1598" s="113" t="n"/>
      <c r="C1598" s="114" t="n"/>
      <c r="D1598" s="115" t="n"/>
      <c r="E1598" s="116" t="n"/>
      <c r="F1598" s="115" t="n"/>
      <c r="G1598" s="117">
        <f>IF(COUNTA(B1598:E1598)=0,"",IF(COUNTA(B1598:E1598)&lt;4,"⚠ กรอกไม่ครบ",IF(NOT(ISNUMBER(B1598)),"⚠ วันที่ไม่ถูกต้อง",IF(COUNTIFS(Setup!$L$6:$L$60,D1598,Setup!$M$6:$M$60,C1598)=0,"⚠ หมวดไม่ตรงประเภท","✓"))))</f>
        <v/>
      </c>
    </row>
    <row r="1599">
      <c r="B1599" s="113" t="n"/>
      <c r="C1599" s="114" t="n"/>
      <c r="D1599" s="115" t="n"/>
      <c r="E1599" s="116" t="n"/>
      <c r="F1599" s="115" t="n"/>
      <c r="G1599" s="117">
        <f>IF(COUNTA(B1599:E1599)=0,"",IF(COUNTA(B1599:E1599)&lt;4,"⚠ กรอกไม่ครบ",IF(NOT(ISNUMBER(B1599)),"⚠ วันที่ไม่ถูกต้อง",IF(COUNTIFS(Setup!$L$6:$L$60,D1599,Setup!$M$6:$M$60,C1599)=0,"⚠ หมวดไม่ตรงประเภท","✓"))))</f>
        <v/>
      </c>
    </row>
    <row r="1600">
      <c r="B1600" s="113" t="n"/>
      <c r="C1600" s="114" t="n"/>
      <c r="D1600" s="115" t="n"/>
      <c r="E1600" s="116" t="n"/>
      <c r="F1600" s="115" t="n"/>
      <c r="G1600" s="117">
        <f>IF(COUNTA(B1600:E1600)=0,"",IF(COUNTA(B1600:E1600)&lt;4,"⚠ กรอกไม่ครบ",IF(NOT(ISNUMBER(B1600)),"⚠ วันที่ไม่ถูกต้อง",IF(COUNTIFS(Setup!$L$6:$L$60,D1600,Setup!$M$6:$M$60,C1600)=0,"⚠ หมวดไม่ตรงประเภท","✓"))))</f>
        <v/>
      </c>
    </row>
    <row r="1601">
      <c r="B1601" s="113" t="n"/>
      <c r="C1601" s="114" t="n"/>
      <c r="D1601" s="115" t="n"/>
      <c r="E1601" s="116" t="n"/>
      <c r="F1601" s="115" t="n"/>
      <c r="G1601" s="117">
        <f>IF(COUNTA(B1601:E1601)=0,"",IF(COUNTA(B1601:E1601)&lt;4,"⚠ กรอกไม่ครบ",IF(NOT(ISNUMBER(B1601)),"⚠ วันที่ไม่ถูกต้อง",IF(COUNTIFS(Setup!$L$6:$L$60,D1601,Setup!$M$6:$M$60,C1601)=0,"⚠ หมวดไม่ตรงประเภท","✓"))))</f>
        <v/>
      </c>
    </row>
    <row r="1602">
      <c r="B1602" s="113" t="n"/>
      <c r="C1602" s="114" t="n"/>
      <c r="D1602" s="115" t="n"/>
      <c r="E1602" s="116" t="n"/>
      <c r="F1602" s="115" t="n"/>
      <c r="G1602" s="117">
        <f>IF(COUNTA(B1602:E1602)=0,"",IF(COUNTA(B1602:E1602)&lt;4,"⚠ กรอกไม่ครบ",IF(NOT(ISNUMBER(B1602)),"⚠ วันที่ไม่ถูกต้อง",IF(COUNTIFS(Setup!$L$6:$L$60,D1602,Setup!$M$6:$M$60,C1602)=0,"⚠ หมวดไม่ตรงประเภท","✓"))))</f>
        <v/>
      </c>
    </row>
    <row r="1603">
      <c r="B1603" s="113" t="n"/>
      <c r="C1603" s="114" t="n"/>
      <c r="D1603" s="115" t="n"/>
      <c r="E1603" s="116" t="n"/>
      <c r="F1603" s="115" t="n"/>
      <c r="G1603" s="117">
        <f>IF(COUNTA(B1603:E1603)=0,"",IF(COUNTA(B1603:E1603)&lt;4,"⚠ กรอกไม่ครบ",IF(NOT(ISNUMBER(B1603)),"⚠ วันที่ไม่ถูกต้อง",IF(COUNTIFS(Setup!$L$6:$L$60,D1603,Setup!$M$6:$M$60,C1603)=0,"⚠ หมวดไม่ตรงประเภท","✓"))))</f>
        <v/>
      </c>
    </row>
    <row r="1604">
      <c r="B1604" s="113" t="n"/>
      <c r="C1604" s="114" t="n"/>
      <c r="D1604" s="115" t="n"/>
      <c r="E1604" s="116" t="n"/>
      <c r="F1604" s="115" t="n"/>
      <c r="G1604" s="117">
        <f>IF(COUNTA(B1604:E1604)=0,"",IF(COUNTA(B1604:E1604)&lt;4,"⚠ กรอกไม่ครบ",IF(NOT(ISNUMBER(B1604)),"⚠ วันที่ไม่ถูกต้อง",IF(COUNTIFS(Setup!$L$6:$L$60,D1604,Setup!$M$6:$M$60,C1604)=0,"⚠ หมวดไม่ตรงประเภท","✓"))))</f>
        <v/>
      </c>
    </row>
    <row r="1605">
      <c r="B1605" s="113" t="n"/>
      <c r="C1605" s="114" t="n"/>
      <c r="D1605" s="115" t="n"/>
      <c r="E1605" s="116" t="n"/>
      <c r="F1605" s="115" t="n"/>
      <c r="G1605" s="117">
        <f>IF(COUNTA(B1605:E1605)=0,"",IF(COUNTA(B1605:E1605)&lt;4,"⚠ กรอกไม่ครบ",IF(NOT(ISNUMBER(B1605)),"⚠ วันที่ไม่ถูกต้อง",IF(COUNTIFS(Setup!$L$6:$L$60,D1605,Setup!$M$6:$M$60,C1605)=0,"⚠ หมวดไม่ตรงประเภท","✓"))))</f>
        <v/>
      </c>
    </row>
    <row r="1606">
      <c r="B1606" s="113" t="n"/>
      <c r="C1606" s="114" t="n"/>
      <c r="D1606" s="115" t="n"/>
      <c r="E1606" s="116" t="n"/>
      <c r="F1606" s="115" t="n"/>
      <c r="G1606" s="117">
        <f>IF(COUNTA(B1606:E1606)=0,"",IF(COUNTA(B1606:E1606)&lt;4,"⚠ กรอกไม่ครบ",IF(NOT(ISNUMBER(B1606)),"⚠ วันที่ไม่ถูกต้อง",IF(COUNTIFS(Setup!$L$6:$L$60,D1606,Setup!$M$6:$M$60,C1606)=0,"⚠ หมวดไม่ตรงประเภท","✓"))))</f>
        <v/>
      </c>
    </row>
    <row r="1607">
      <c r="B1607" s="113" t="n"/>
      <c r="C1607" s="114" t="n"/>
      <c r="D1607" s="115" t="n"/>
      <c r="E1607" s="116" t="n"/>
      <c r="F1607" s="115" t="n"/>
      <c r="G1607" s="117">
        <f>IF(COUNTA(B1607:E1607)=0,"",IF(COUNTA(B1607:E1607)&lt;4,"⚠ กรอกไม่ครบ",IF(NOT(ISNUMBER(B1607)),"⚠ วันที่ไม่ถูกต้อง",IF(COUNTIFS(Setup!$L$6:$L$60,D1607,Setup!$M$6:$M$60,C1607)=0,"⚠ หมวดไม่ตรงประเภท","✓"))))</f>
        <v/>
      </c>
    </row>
    <row r="1608">
      <c r="B1608" s="113" t="n"/>
      <c r="C1608" s="114" t="n"/>
      <c r="D1608" s="115" t="n"/>
      <c r="E1608" s="116" t="n"/>
      <c r="F1608" s="115" t="n"/>
      <c r="G1608" s="117">
        <f>IF(COUNTA(B1608:E1608)=0,"",IF(COUNTA(B1608:E1608)&lt;4,"⚠ กรอกไม่ครบ",IF(NOT(ISNUMBER(B1608)),"⚠ วันที่ไม่ถูกต้อง",IF(COUNTIFS(Setup!$L$6:$L$60,D1608,Setup!$M$6:$M$60,C1608)=0,"⚠ หมวดไม่ตรงประเภท","✓"))))</f>
        <v/>
      </c>
    </row>
    <row r="1609">
      <c r="B1609" s="113" t="n"/>
      <c r="C1609" s="114" t="n"/>
      <c r="D1609" s="115" t="n"/>
      <c r="E1609" s="116" t="n"/>
      <c r="F1609" s="115" t="n"/>
      <c r="G1609" s="117">
        <f>IF(COUNTA(B1609:E1609)=0,"",IF(COUNTA(B1609:E1609)&lt;4,"⚠ กรอกไม่ครบ",IF(NOT(ISNUMBER(B1609)),"⚠ วันที่ไม่ถูกต้อง",IF(COUNTIFS(Setup!$L$6:$L$60,D1609,Setup!$M$6:$M$60,C1609)=0,"⚠ หมวดไม่ตรงประเภท","✓"))))</f>
        <v/>
      </c>
    </row>
    <row r="1610">
      <c r="B1610" s="113" t="n"/>
      <c r="C1610" s="114" t="n"/>
      <c r="D1610" s="115" t="n"/>
      <c r="E1610" s="116" t="n"/>
      <c r="F1610" s="115" t="n"/>
      <c r="G1610" s="117">
        <f>IF(COUNTA(B1610:E1610)=0,"",IF(COUNTA(B1610:E1610)&lt;4,"⚠ กรอกไม่ครบ",IF(NOT(ISNUMBER(B1610)),"⚠ วันที่ไม่ถูกต้อง",IF(COUNTIFS(Setup!$L$6:$L$60,D1610,Setup!$M$6:$M$60,C1610)=0,"⚠ หมวดไม่ตรงประเภท","✓"))))</f>
        <v/>
      </c>
    </row>
    <row r="1611">
      <c r="B1611" s="113" t="n"/>
      <c r="C1611" s="114" t="n"/>
      <c r="D1611" s="115" t="n"/>
      <c r="E1611" s="116" t="n"/>
      <c r="F1611" s="115" t="n"/>
      <c r="G1611" s="117">
        <f>IF(COUNTA(B1611:E1611)=0,"",IF(COUNTA(B1611:E1611)&lt;4,"⚠ กรอกไม่ครบ",IF(NOT(ISNUMBER(B1611)),"⚠ วันที่ไม่ถูกต้อง",IF(COUNTIFS(Setup!$L$6:$L$60,D1611,Setup!$M$6:$M$60,C1611)=0,"⚠ หมวดไม่ตรงประเภท","✓"))))</f>
        <v/>
      </c>
    </row>
    <row r="1612">
      <c r="B1612" s="113" t="n"/>
      <c r="C1612" s="114" t="n"/>
      <c r="D1612" s="115" t="n"/>
      <c r="E1612" s="116" t="n"/>
      <c r="F1612" s="115" t="n"/>
      <c r="G1612" s="117">
        <f>IF(COUNTA(B1612:E1612)=0,"",IF(COUNTA(B1612:E1612)&lt;4,"⚠ กรอกไม่ครบ",IF(NOT(ISNUMBER(B1612)),"⚠ วันที่ไม่ถูกต้อง",IF(COUNTIFS(Setup!$L$6:$L$60,D1612,Setup!$M$6:$M$60,C1612)=0,"⚠ หมวดไม่ตรงประเภท","✓"))))</f>
        <v/>
      </c>
    </row>
    <row r="1613">
      <c r="B1613" s="113" t="n"/>
      <c r="C1613" s="114" t="n"/>
      <c r="D1613" s="115" t="n"/>
      <c r="E1613" s="116" t="n"/>
      <c r="F1613" s="115" t="n"/>
      <c r="G1613" s="117">
        <f>IF(COUNTA(B1613:E1613)=0,"",IF(COUNTA(B1613:E1613)&lt;4,"⚠ กรอกไม่ครบ",IF(NOT(ISNUMBER(B1613)),"⚠ วันที่ไม่ถูกต้อง",IF(COUNTIFS(Setup!$L$6:$L$60,D1613,Setup!$M$6:$M$60,C1613)=0,"⚠ หมวดไม่ตรงประเภท","✓"))))</f>
        <v/>
      </c>
    </row>
    <row r="1614">
      <c r="B1614" s="113" t="n"/>
      <c r="C1614" s="114" t="n"/>
      <c r="D1614" s="115" t="n"/>
      <c r="E1614" s="116" t="n"/>
      <c r="F1614" s="115" t="n"/>
      <c r="G1614" s="117">
        <f>IF(COUNTA(B1614:E1614)=0,"",IF(COUNTA(B1614:E1614)&lt;4,"⚠ กรอกไม่ครบ",IF(NOT(ISNUMBER(B1614)),"⚠ วันที่ไม่ถูกต้อง",IF(COUNTIFS(Setup!$L$6:$L$60,D1614,Setup!$M$6:$M$60,C1614)=0,"⚠ หมวดไม่ตรงประเภท","✓"))))</f>
        <v/>
      </c>
    </row>
    <row r="1615">
      <c r="B1615" s="113" t="n"/>
      <c r="C1615" s="114" t="n"/>
      <c r="D1615" s="115" t="n"/>
      <c r="E1615" s="116" t="n"/>
      <c r="F1615" s="115" t="n"/>
      <c r="G1615" s="117">
        <f>IF(COUNTA(B1615:E1615)=0,"",IF(COUNTA(B1615:E1615)&lt;4,"⚠ กรอกไม่ครบ",IF(NOT(ISNUMBER(B1615)),"⚠ วันที่ไม่ถูกต้อง",IF(COUNTIFS(Setup!$L$6:$L$60,D1615,Setup!$M$6:$M$60,C1615)=0,"⚠ หมวดไม่ตรงประเภท","✓"))))</f>
        <v/>
      </c>
    </row>
    <row r="1616">
      <c r="B1616" s="113" t="n"/>
      <c r="C1616" s="114" t="n"/>
      <c r="D1616" s="115" t="n"/>
      <c r="E1616" s="116" t="n"/>
      <c r="F1616" s="115" t="n"/>
      <c r="G1616" s="117">
        <f>IF(COUNTA(B1616:E1616)=0,"",IF(COUNTA(B1616:E1616)&lt;4,"⚠ กรอกไม่ครบ",IF(NOT(ISNUMBER(B1616)),"⚠ วันที่ไม่ถูกต้อง",IF(COUNTIFS(Setup!$L$6:$L$60,D1616,Setup!$M$6:$M$60,C1616)=0,"⚠ หมวดไม่ตรงประเภท","✓"))))</f>
        <v/>
      </c>
    </row>
    <row r="1617">
      <c r="B1617" s="113" t="n"/>
      <c r="C1617" s="114" t="n"/>
      <c r="D1617" s="115" t="n"/>
      <c r="E1617" s="116" t="n"/>
      <c r="F1617" s="115" t="n"/>
      <c r="G1617" s="117">
        <f>IF(COUNTA(B1617:E1617)=0,"",IF(COUNTA(B1617:E1617)&lt;4,"⚠ กรอกไม่ครบ",IF(NOT(ISNUMBER(B1617)),"⚠ วันที่ไม่ถูกต้อง",IF(COUNTIFS(Setup!$L$6:$L$60,D1617,Setup!$M$6:$M$60,C1617)=0,"⚠ หมวดไม่ตรงประเภท","✓"))))</f>
        <v/>
      </c>
    </row>
    <row r="1618">
      <c r="B1618" s="113" t="n"/>
      <c r="C1618" s="114" t="n"/>
      <c r="D1618" s="115" t="n"/>
      <c r="E1618" s="116" t="n"/>
      <c r="F1618" s="115" t="n"/>
      <c r="G1618" s="117">
        <f>IF(COUNTA(B1618:E1618)=0,"",IF(COUNTA(B1618:E1618)&lt;4,"⚠ กรอกไม่ครบ",IF(NOT(ISNUMBER(B1618)),"⚠ วันที่ไม่ถูกต้อง",IF(COUNTIFS(Setup!$L$6:$L$60,D1618,Setup!$M$6:$M$60,C1618)=0,"⚠ หมวดไม่ตรงประเภท","✓"))))</f>
        <v/>
      </c>
    </row>
    <row r="1619">
      <c r="B1619" s="113" t="n"/>
      <c r="C1619" s="114" t="n"/>
      <c r="D1619" s="115" t="n"/>
      <c r="E1619" s="116" t="n"/>
      <c r="F1619" s="115" t="n"/>
      <c r="G1619" s="117">
        <f>IF(COUNTA(B1619:E1619)=0,"",IF(COUNTA(B1619:E1619)&lt;4,"⚠ กรอกไม่ครบ",IF(NOT(ISNUMBER(B1619)),"⚠ วันที่ไม่ถูกต้อง",IF(COUNTIFS(Setup!$L$6:$L$60,D1619,Setup!$M$6:$M$60,C1619)=0,"⚠ หมวดไม่ตรงประเภท","✓"))))</f>
        <v/>
      </c>
    </row>
    <row r="1620">
      <c r="B1620" s="113" t="n"/>
      <c r="C1620" s="114" t="n"/>
      <c r="D1620" s="115" t="n"/>
      <c r="E1620" s="116" t="n"/>
      <c r="F1620" s="115" t="n"/>
      <c r="G1620" s="117">
        <f>IF(COUNTA(B1620:E1620)=0,"",IF(COUNTA(B1620:E1620)&lt;4,"⚠ กรอกไม่ครบ",IF(NOT(ISNUMBER(B1620)),"⚠ วันที่ไม่ถูกต้อง",IF(COUNTIFS(Setup!$L$6:$L$60,D1620,Setup!$M$6:$M$60,C1620)=0,"⚠ หมวดไม่ตรงประเภท","✓"))))</f>
        <v/>
      </c>
    </row>
    <row r="1621">
      <c r="B1621" s="113" t="n"/>
      <c r="C1621" s="114" t="n"/>
      <c r="D1621" s="115" t="n"/>
      <c r="E1621" s="116" t="n"/>
      <c r="F1621" s="115" t="n"/>
      <c r="G1621" s="117">
        <f>IF(COUNTA(B1621:E1621)=0,"",IF(COUNTA(B1621:E1621)&lt;4,"⚠ กรอกไม่ครบ",IF(NOT(ISNUMBER(B1621)),"⚠ วันที่ไม่ถูกต้อง",IF(COUNTIFS(Setup!$L$6:$L$60,D1621,Setup!$M$6:$M$60,C1621)=0,"⚠ หมวดไม่ตรงประเภท","✓"))))</f>
        <v/>
      </c>
    </row>
    <row r="1622">
      <c r="B1622" s="113" t="n"/>
      <c r="C1622" s="114" t="n"/>
      <c r="D1622" s="115" t="n"/>
      <c r="E1622" s="116" t="n"/>
      <c r="F1622" s="115" t="n"/>
      <c r="G1622" s="117">
        <f>IF(COUNTA(B1622:E1622)=0,"",IF(COUNTA(B1622:E1622)&lt;4,"⚠ กรอกไม่ครบ",IF(NOT(ISNUMBER(B1622)),"⚠ วันที่ไม่ถูกต้อง",IF(COUNTIFS(Setup!$L$6:$L$60,D1622,Setup!$M$6:$M$60,C1622)=0,"⚠ หมวดไม่ตรงประเภท","✓"))))</f>
        <v/>
      </c>
    </row>
    <row r="1623">
      <c r="B1623" s="113" t="n"/>
      <c r="C1623" s="114" t="n"/>
      <c r="D1623" s="115" t="n"/>
      <c r="E1623" s="116" t="n"/>
      <c r="F1623" s="115" t="n"/>
      <c r="G1623" s="117">
        <f>IF(COUNTA(B1623:E1623)=0,"",IF(COUNTA(B1623:E1623)&lt;4,"⚠ กรอกไม่ครบ",IF(NOT(ISNUMBER(B1623)),"⚠ วันที่ไม่ถูกต้อง",IF(COUNTIFS(Setup!$L$6:$L$60,D1623,Setup!$M$6:$M$60,C1623)=0,"⚠ หมวดไม่ตรงประเภท","✓"))))</f>
        <v/>
      </c>
    </row>
    <row r="1624">
      <c r="B1624" s="113" t="n"/>
      <c r="C1624" s="114" t="n"/>
      <c r="D1624" s="115" t="n"/>
      <c r="E1624" s="116" t="n"/>
      <c r="F1624" s="115" t="n"/>
      <c r="G1624" s="117">
        <f>IF(COUNTA(B1624:E1624)=0,"",IF(COUNTA(B1624:E1624)&lt;4,"⚠ กรอกไม่ครบ",IF(NOT(ISNUMBER(B1624)),"⚠ วันที่ไม่ถูกต้อง",IF(COUNTIFS(Setup!$L$6:$L$60,D1624,Setup!$M$6:$M$60,C1624)=0,"⚠ หมวดไม่ตรงประเภท","✓"))))</f>
        <v/>
      </c>
    </row>
    <row r="1625">
      <c r="B1625" s="113" t="n"/>
      <c r="C1625" s="114" t="n"/>
      <c r="D1625" s="115" t="n"/>
      <c r="E1625" s="116" t="n"/>
      <c r="F1625" s="115" t="n"/>
      <c r="G1625" s="117">
        <f>IF(COUNTA(B1625:E1625)=0,"",IF(COUNTA(B1625:E1625)&lt;4,"⚠ กรอกไม่ครบ",IF(NOT(ISNUMBER(B1625)),"⚠ วันที่ไม่ถูกต้อง",IF(COUNTIFS(Setup!$L$6:$L$60,D1625,Setup!$M$6:$M$60,C1625)=0,"⚠ หมวดไม่ตรงประเภท","✓"))))</f>
        <v/>
      </c>
    </row>
    <row r="1626">
      <c r="B1626" s="113" t="n"/>
      <c r="C1626" s="114" t="n"/>
      <c r="D1626" s="115" t="n"/>
      <c r="E1626" s="116" t="n"/>
      <c r="F1626" s="115" t="n"/>
      <c r="G1626" s="117">
        <f>IF(COUNTA(B1626:E1626)=0,"",IF(COUNTA(B1626:E1626)&lt;4,"⚠ กรอกไม่ครบ",IF(NOT(ISNUMBER(B1626)),"⚠ วันที่ไม่ถูกต้อง",IF(COUNTIFS(Setup!$L$6:$L$60,D1626,Setup!$M$6:$M$60,C1626)=0,"⚠ หมวดไม่ตรงประเภท","✓"))))</f>
        <v/>
      </c>
    </row>
    <row r="1627">
      <c r="B1627" s="113" t="n"/>
      <c r="C1627" s="114" t="n"/>
      <c r="D1627" s="115" t="n"/>
      <c r="E1627" s="116" t="n"/>
      <c r="F1627" s="115" t="n"/>
      <c r="G1627" s="117">
        <f>IF(COUNTA(B1627:E1627)=0,"",IF(COUNTA(B1627:E1627)&lt;4,"⚠ กรอกไม่ครบ",IF(NOT(ISNUMBER(B1627)),"⚠ วันที่ไม่ถูกต้อง",IF(COUNTIFS(Setup!$L$6:$L$60,D1627,Setup!$M$6:$M$60,C1627)=0,"⚠ หมวดไม่ตรงประเภท","✓"))))</f>
        <v/>
      </c>
    </row>
    <row r="1628">
      <c r="B1628" s="113" t="n"/>
      <c r="C1628" s="114" t="n"/>
      <c r="D1628" s="115" t="n"/>
      <c r="E1628" s="116" t="n"/>
      <c r="F1628" s="115" t="n"/>
      <c r="G1628" s="117">
        <f>IF(COUNTA(B1628:E1628)=0,"",IF(COUNTA(B1628:E1628)&lt;4,"⚠ กรอกไม่ครบ",IF(NOT(ISNUMBER(B1628)),"⚠ วันที่ไม่ถูกต้อง",IF(COUNTIFS(Setup!$L$6:$L$60,D1628,Setup!$M$6:$M$60,C1628)=0,"⚠ หมวดไม่ตรงประเภท","✓"))))</f>
        <v/>
      </c>
    </row>
    <row r="1629">
      <c r="B1629" s="113" t="n"/>
      <c r="C1629" s="114" t="n"/>
      <c r="D1629" s="115" t="n"/>
      <c r="E1629" s="116" t="n"/>
      <c r="F1629" s="115" t="n"/>
      <c r="G1629" s="117">
        <f>IF(COUNTA(B1629:E1629)=0,"",IF(COUNTA(B1629:E1629)&lt;4,"⚠ กรอกไม่ครบ",IF(NOT(ISNUMBER(B1629)),"⚠ วันที่ไม่ถูกต้อง",IF(COUNTIFS(Setup!$L$6:$L$60,D1629,Setup!$M$6:$M$60,C1629)=0,"⚠ หมวดไม่ตรงประเภท","✓"))))</f>
        <v/>
      </c>
    </row>
    <row r="1630">
      <c r="B1630" s="113" t="n"/>
      <c r="C1630" s="114" t="n"/>
      <c r="D1630" s="115" t="n"/>
      <c r="E1630" s="116" t="n"/>
      <c r="F1630" s="115" t="n"/>
      <c r="G1630" s="117">
        <f>IF(COUNTA(B1630:E1630)=0,"",IF(COUNTA(B1630:E1630)&lt;4,"⚠ กรอกไม่ครบ",IF(NOT(ISNUMBER(B1630)),"⚠ วันที่ไม่ถูกต้อง",IF(COUNTIFS(Setup!$L$6:$L$60,D1630,Setup!$M$6:$M$60,C1630)=0,"⚠ หมวดไม่ตรงประเภท","✓"))))</f>
        <v/>
      </c>
    </row>
    <row r="1631">
      <c r="B1631" s="113" t="n"/>
      <c r="C1631" s="114" t="n"/>
      <c r="D1631" s="115" t="n"/>
      <c r="E1631" s="116" t="n"/>
      <c r="F1631" s="115" t="n"/>
      <c r="G1631" s="117">
        <f>IF(COUNTA(B1631:E1631)=0,"",IF(COUNTA(B1631:E1631)&lt;4,"⚠ กรอกไม่ครบ",IF(NOT(ISNUMBER(B1631)),"⚠ วันที่ไม่ถูกต้อง",IF(COUNTIFS(Setup!$L$6:$L$60,D1631,Setup!$M$6:$M$60,C1631)=0,"⚠ หมวดไม่ตรงประเภท","✓"))))</f>
        <v/>
      </c>
    </row>
    <row r="1632">
      <c r="B1632" s="113" t="n"/>
      <c r="C1632" s="114" t="n"/>
      <c r="D1632" s="115" t="n"/>
      <c r="E1632" s="116" t="n"/>
      <c r="F1632" s="115" t="n"/>
      <c r="G1632" s="117">
        <f>IF(COUNTA(B1632:E1632)=0,"",IF(COUNTA(B1632:E1632)&lt;4,"⚠ กรอกไม่ครบ",IF(NOT(ISNUMBER(B1632)),"⚠ วันที่ไม่ถูกต้อง",IF(COUNTIFS(Setup!$L$6:$L$60,D1632,Setup!$M$6:$M$60,C1632)=0,"⚠ หมวดไม่ตรงประเภท","✓"))))</f>
        <v/>
      </c>
    </row>
    <row r="1633">
      <c r="B1633" s="113" t="n"/>
      <c r="C1633" s="114" t="n"/>
      <c r="D1633" s="115" t="n"/>
      <c r="E1633" s="116" t="n"/>
      <c r="F1633" s="115" t="n"/>
      <c r="G1633" s="117">
        <f>IF(COUNTA(B1633:E1633)=0,"",IF(COUNTA(B1633:E1633)&lt;4,"⚠ กรอกไม่ครบ",IF(NOT(ISNUMBER(B1633)),"⚠ วันที่ไม่ถูกต้อง",IF(COUNTIFS(Setup!$L$6:$L$60,D1633,Setup!$M$6:$M$60,C1633)=0,"⚠ หมวดไม่ตรงประเภท","✓"))))</f>
        <v/>
      </c>
    </row>
    <row r="1634">
      <c r="B1634" s="113" t="n"/>
      <c r="C1634" s="114" t="n"/>
      <c r="D1634" s="115" t="n"/>
      <c r="E1634" s="116" t="n"/>
      <c r="F1634" s="115" t="n"/>
      <c r="G1634" s="117">
        <f>IF(COUNTA(B1634:E1634)=0,"",IF(COUNTA(B1634:E1634)&lt;4,"⚠ กรอกไม่ครบ",IF(NOT(ISNUMBER(B1634)),"⚠ วันที่ไม่ถูกต้อง",IF(COUNTIFS(Setup!$L$6:$L$60,D1634,Setup!$M$6:$M$60,C1634)=0,"⚠ หมวดไม่ตรงประเภท","✓"))))</f>
        <v/>
      </c>
    </row>
    <row r="1635">
      <c r="B1635" s="113" t="n"/>
      <c r="C1635" s="114" t="n"/>
      <c r="D1635" s="115" t="n"/>
      <c r="E1635" s="116" t="n"/>
      <c r="F1635" s="115" t="n"/>
      <c r="G1635" s="117">
        <f>IF(COUNTA(B1635:E1635)=0,"",IF(COUNTA(B1635:E1635)&lt;4,"⚠ กรอกไม่ครบ",IF(NOT(ISNUMBER(B1635)),"⚠ วันที่ไม่ถูกต้อง",IF(COUNTIFS(Setup!$L$6:$L$60,D1635,Setup!$M$6:$M$60,C1635)=0,"⚠ หมวดไม่ตรงประเภท","✓"))))</f>
        <v/>
      </c>
    </row>
    <row r="1636">
      <c r="B1636" s="113" t="n"/>
      <c r="C1636" s="114" t="n"/>
      <c r="D1636" s="115" t="n"/>
      <c r="E1636" s="116" t="n"/>
      <c r="F1636" s="115" t="n"/>
      <c r="G1636" s="117">
        <f>IF(COUNTA(B1636:E1636)=0,"",IF(COUNTA(B1636:E1636)&lt;4,"⚠ กรอกไม่ครบ",IF(NOT(ISNUMBER(B1636)),"⚠ วันที่ไม่ถูกต้อง",IF(COUNTIFS(Setup!$L$6:$L$60,D1636,Setup!$M$6:$M$60,C1636)=0,"⚠ หมวดไม่ตรงประเภท","✓"))))</f>
        <v/>
      </c>
    </row>
    <row r="1637">
      <c r="B1637" s="113" t="n"/>
      <c r="C1637" s="114" t="n"/>
      <c r="D1637" s="115" t="n"/>
      <c r="E1637" s="116" t="n"/>
      <c r="F1637" s="115" t="n"/>
      <c r="G1637" s="117">
        <f>IF(COUNTA(B1637:E1637)=0,"",IF(COUNTA(B1637:E1637)&lt;4,"⚠ กรอกไม่ครบ",IF(NOT(ISNUMBER(B1637)),"⚠ วันที่ไม่ถูกต้อง",IF(COUNTIFS(Setup!$L$6:$L$60,D1637,Setup!$M$6:$M$60,C1637)=0,"⚠ หมวดไม่ตรงประเภท","✓"))))</f>
        <v/>
      </c>
    </row>
    <row r="1638">
      <c r="B1638" s="113" t="n"/>
      <c r="C1638" s="114" t="n"/>
      <c r="D1638" s="115" t="n"/>
      <c r="E1638" s="116" t="n"/>
      <c r="F1638" s="115" t="n"/>
      <c r="G1638" s="117">
        <f>IF(COUNTA(B1638:E1638)=0,"",IF(COUNTA(B1638:E1638)&lt;4,"⚠ กรอกไม่ครบ",IF(NOT(ISNUMBER(B1638)),"⚠ วันที่ไม่ถูกต้อง",IF(COUNTIFS(Setup!$L$6:$L$60,D1638,Setup!$M$6:$M$60,C1638)=0,"⚠ หมวดไม่ตรงประเภท","✓"))))</f>
        <v/>
      </c>
    </row>
    <row r="1639">
      <c r="B1639" s="113" t="n"/>
      <c r="C1639" s="114" t="n"/>
      <c r="D1639" s="115" t="n"/>
      <c r="E1639" s="116" t="n"/>
      <c r="F1639" s="115" t="n"/>
      <c r="G1639" s="117">
        <f>IF(COUNTA(B1639:E1639)=0,"",IF(COUNTA(B1639:E1639)&lt;4,"⚠ กรอกไม่ครบ",IF(NOT(ISNUMBER(B1639)),"⚠ วันที่ไม่ถูกต้อง",IF(COUNTIFS(Setup!$L$6:$L$60,D1639,Setup!$M$6:$M$60,C1639)=0,"⚠ หมวดไม่ตรงประเภท","✓"))))</f>
        <v/>
      </c>
    </row>
    <row r="1640">
      <c r="B1640" s="113" t="n"/>
      <c r="C1640" s="114" t="n"/>
      <c r="D1640" s="115" t="n"/>
      <c r="E1640" s="116" t="n"/>
      <c r="F1640" s="115" t="n"/>
      <c r="G1640" s="117">
        <f>IF(COUNTA(B1640:E1640)=0,"",IF(COUNTA(B1640:E1640)&lt;4,"⚠ กรอกไม่ครบ",IF(NOT(ISNUMBER(B1640)),"⚠ วันที่ไม่ถูกต้อง",IF(COUNTIFS(Setup!$L$6:$L$60,D1640,Setup!$M$6:$M$60,C1640)=0,"⚠ หมวดไม่ตรงประเภท","✓"))))</f>
        <v/>
      </c>
    </row>
    <row r="1641">
      <c r="B1641" s="113" t="n"/>
      <c r="C1641" s="114" t="n"/>
      <c r="D1641" s="115" t="n"/>
      <c r="E1641" s="116" t="n"/>
      <c r="F1641" s="115" t="n"/>
      <c r="G1641" s="117">
        <f>IF(COUNTA(B1641:E1641)=0,"",IF(COUNTA(B1641:E1641)&lt;4,"⚠ กรอกไม่ครบ",IF(NOT(ISNUMBER(B1641)),"⚠ วันที่ไม่ถูกต้อง",IF(COUNTIFS(Setup!$L$6:$L$60,D1641,Setup!$M$6:$M$60,C1641)=0,"⚠ หมวดไม่ตรงประเภท","✓"))))</f>
        <v/>
      </c>
    </row>
    <row r="1642">
      <c r="B1642" s="113" t="n"/>
      <c r="C1642" s="114" t="n"/>
      <c r="D1642" s="115" t="n"/>
      <c r="E1642" s="116" t="n"/>
      <c r="F1642" s="115" t="n"/>
      <c r="G1642" s="117">
        <f>IF(COUNTA(B1642:E1642)=0,"",IF(COUNTA(B1642:E1642)&lt;4,"⚠ กรอกไม่ครบ",IF(NOT(ISNUMBER(B1642)),"⚠ วันที่ไม่ถูกต้อง",IF(COUNTIFS(Setup!$L$6:$L$60,D1642,Setup!$M$6:$M$60,C1642)=0,"⚠ หมวดไม่ตรงประเภท","✓"))))</f>
        <v/>
      </c>
    </row>
    <row r="1643">
      <c r="B1643" s="113" t="n"/>
      <c r="C1643" s="114" t="n"/>
      <c r="D1643" s="115" t="n"/>
      <c r="E1643" s="116" t="n"/>
      <c r="F1643" s="115" t="n"/>
      <c r="G1643" s="117">
        <f>IF(COUNTA(B1643:E1643)=0,"",IF(COUNTA(B1643:E1643)&lt;4,"⚠ กรอกไม่ครบ",IF(NOT(ISNUMBER(B1643)),"⚠ วันที่ไม่ถูกต้อง",IF(COUNTIFS(Setup!$L$6:$L$60,D1643,Setup!$M$6:$M$60,C1643)=0,"⚠ หมวดไม่ตรงประเภท","✓"))))</f>
        <v/>
      </c>
    </row>
    <row r="1644">
      <c r="B1644" s="113" t="n"/>
      <c r="C1644" s="114" t="n"/>
      <c r="D1644" s="115" t="n"/>
      <c r="E1644" s="116" t="n"/>
      <c r="F1644" s="115" t="n"/>
      <c r="G1644" s="117">
        <f>IF(COUNTA(B1644:E1644)=0,"",IF(COUNTA(B1644:E1644)&lt;4,"⚠ กรอกไม่ครบ",IF(NOT(ISNUMBER(B1644)),"⚠ วันที่ไม่ถูกต้อง",IF(COUNTIFS(Setup!$L$6:$L$60,D1644,Setup!$M$6:$M$60,C1644)=0,"⚠ หมวดไม่ตรงประเภท","✓"))))</f>
        <v/>
      </c>
    </row>
    <row r="1645">
      <c r="B1645" s="113" t="n"/>
      <c r="C1645" s="114" t="n"/>
      <c r="D1645" s="115" t="n"/>
      <c r="E1645" s="116" t="n"/>
      <c r="F1645" s="115" t="n"/>
      <c r="G1645" s="117">
        <f>IF(COUNTA(B1645:E1645)=0,"",IF(COUNTA(B1645:E1645)&lt;4,"⚠ กรอกไม่ครบ",IF(NOT(ISNUMBER(B1645)),"⚠ วันที่ไม่ถูกต้อง",IF(COUNTIFS(Setup!$L$6:$L$60,D1645,Setup!$M$6:$M$60,C1645)=0,"⚠ หมวดไม่ตรงประเภท","✓"))))</f>
        <v/>
      </c>
    </row>
    <row r="1646">
      <c r="B1646" s="113" t="n"/>
      <c r="C1646" s="114" t="n"/>
      <c r="D1646" s="115" t="n"/>
      <c r="E1646" s="116" t="n"/>
      <c r="F1646" s="115" t="n"/>
      <c r="G1646" s="117">
        <f>IF(COUNTA(B1646:E1646)=0,"",IF(COUNTA(B1646:E1646)&lt;4,"⚠ กรอกไม่ครบ",IF(NOT(ISNUMBER(B1646)),"⚠ วันที่ไม่ถูกต้อง",IF(COUNTIFS(Setup!$L$6:$L$60,D1646,Setup!$M$6:$M$60,C1646)=0,"⚠ หมวดไม่ตรงประเภท","✓"))))</f>
        <v/>
      </c>
    </row>
    <row r="1647">
      <c r="B1647" s="113" t="n"/>
      <c r="C1647" s="114" t="n"/>
      <c r="D1647" s="115" t="n"/>
      <c r="E1647" s="116" t="n"/>
      <c r="F1647" s="115" t="n"/>
      <c r="G1647" s="117">
        <f>IF(COUNTA(B1647:E1647)=0,"",IF(COUNTA(B1647:E1647)&lt;4,"⚠ กรอกไม่ครบ",IF(NOT(ISNUMBER(B1647)),"⚠ วันที่ไม่ถูกต้อง",IF(COUNTIFS(Setup!$L$6:$L$60,D1647,Setup!$M$6:$M$60,C1647)=0,"⚠ หมวดไม่ตรงประเภท","✓"))))</f>
        <v/>
      </c>
    </row>
    <row r="1648">
      <c r="B1648" s="113" t="n"/>
      <c r="C1648" s="114" t="n"/>
      <c r="D1648" s="115" t="n"/>
      <c r="E1648" s="116" t="n"/>
      <c r="F1648" s="115" t="n"/>
      <c r="G1648" s="117">
        <f>IF(COUNTA(B1648:E1648)=0,"",IF(COUNTA(B1648:E1648)&lt;4,"⚠ กรอกไม่ครบ",IF(NOT(ISNUMBER(B1648)),"⚠ วันที่ไม่ถูกต้อง",IF(COUNTIFS(Setup!$L$6:$L$60,D1648,Setup!$M$6:$M$60,C1648)=0,"⚠ หมวดไม่ตรงประเภท","✓"))))</f>
        <v/>
      </c>
    </row>
    <row r="1649">
      <c r="B1649" s="113" t="n"/>
      <c r="C1649" s="114" t="n"/>
      <c r="D1649" s="115" t="n"/>
      <c r="E1649" s="116" t="n"/>
      <c r="F1649" s="115" t="n"/>
      <c r="G1649" s="117">
        <f>IF(COUNTA(B1649:E1649)=0,"",IF(COUNTA(B1649:E1649)&lt;4,"⚠ กรอกไม่ครบ",IF(NOT(ISNUMBER(B1649)),"⚠ วันที่ไม่ถูกต้อง",IF(COUNTIFS(Setup!$L$6:$L$60,D1649,Setup!$M$6:$M$60,C1649)=0,"⚠ หมวดไม่ตรงประเภท","✓"))))</f>
        <v/>
      </c>
    </row>
    <row r="1650">
      <c r="B1650" s="113" t="n"/>
      <c r="C1650" s="114" t="n"/>
      <c r="D1650" s="115" t="n"/>
      <c r="E1650" s="116" t="n"/>
      <c r="F1650" s="115" t="n"/>
      <c r="G1650" s="117">
        <f>IF(COUNTA(B1650:E1650)=0,"",IF(COUNTA(B1650:E1650)&lt;4,"⚠ กรอกไม่ครบ",IF(NOT(ISNUMBER(B1650)),"⚠ วันที่ไม่ถูกต้อง",IF(COUNTIFS(Setup!$L$6:$L$60,D1650,Setup!$M$6:$M$60,C1650)=0,"⚠ หมวดไม่ตรงประเภท","✓"))))</f>
        <v/>
      </c>
    </row>
    <row r="1651">
      <c r="B1651" s="113" t="n"/>
      <c r="C1651" s="114" t="n"/>
      <c r="D1651" s="115" t="n"/>
      <c r="E1651" s="116" t="n"/>
      <c r="F1651" s="115" t="n"/>
      <c r="G1651" s="117">
        <f>IF(COUNTA(B1651:E1651)=0,"",IF(COUNTA(B1651:E1651)&lt;4,"⚠ กรอกไม่ครบ",IF(NOT(ISNUMBER(B1651)),"⚠ วันที่ไม่ถูกต้อง",IF(COUNTIFS(Setup!$L$6:$L$60,D1651,Setup!$M$6:$M$60,C1651)=0,"⚠ หมวดไม่ตรงประเภท","✓"))))</f>
        <v/>
      </c>
    </row>
    <row r="1652">
      <c r="B1652" s="113" t="n"/>
      <c r="C1652" s="114" t="n"/>
      <c r="D1652" s="115" t="n"/>
      <c r="E1652" s="116" t="n"/>
      <c r="F1652" s="115" t="n"/>
      <c r="G1652" s="117">
        <f>IF(COUNTA(B1652:E1652)=0,"",IF(COUNTA(B1652:E1652)&lt;4,"⚠ กรอกไม่ครบ",IF(NOT(ISNUMBER(B1652)),"⚠ วันที่ไม่ถูกต้อง",IF(COUNTIFS(Setup!$L$6:$L$60,D1652,Setup!$M$6:$M$60,C1652)=0,"⚠ หมวดไม่ตรงประเภท","✓"))))</f>
        <v/>
      </c>
    </row>
    <row r="1653">
      <c r="B1653" s="113" t="n"/>
      <c r="C1653" s="114" t="n"/>
      <c r="D1653" s="115" t="n"/>
      <c r="E1653" s="116" t="n"/>
      <c r="F1653" s="115" t="n"/>
      <c r="G1653" s="117">
        <f>IF(COUNTA(B1653:E1653)=0,"",IF(COUNTA(B1653:E1653)&lt;4,"⚠ กรอกไม่ครบ",IF(NOT(ISNUMBER(B1653)),"⚠ วันที่ไม่ถูกต้อง",IF(COUNTIFS(Setup!$L$6:$L$60,D1653,Setup!$M$6:$M$60,C1653)=0,"⚠ หมวดไม่ตรงประเภท","✓"))))</f>
        <v/>
      </c>
    </row>
    <row r="1654">
      <c r="B1654" s="113" t="n"/>
      <c r="C1654" s="114" t="n"/>
      <c r="D1654" s="115" t="n"/>
      <c r="E1654" s="116" t="n"/>
      <c r="F1654" s="115" t="n"/>
      <c r="G1654" s="117">
        <f>IF(COUNTA(B1654:E1654)=0,"",IF(COUNTA(B1654:E1654)&lt;4,"⚠ กรอกไม่ครบ",IF(NOT(ISNUMBER(B1654)),"⚠ วันที่ไม่ถูกต้อง",IF(COUNTIFS(Setup!$L$6:$L$60,D1654,Setup!$M$6:$M$60,C1654)=0,"⚠ หมวดไม่ตรงประเภท","✓"))))</f>
        <v/>
      </c>
    </row>
    <row r="1655">
      <c r="B1655" s="113" t="n"/>
      <c r="C1655" s="114" t="n"/>
      <c r="D1655" s="115" t="n"/>
      <c r="E1655" s="116" t="n"/>
      <c r="F1655" s="115" t="n"/>
      <c r="G1655" s="117">
        <f>IF(COUNTA(B1655:E1655)=0,"",IF(COUNTA(B1655:E1655)&lt;4,"⚠ กรอกไม่ครบ",IF(NOT(ISNUMBER(B1655)),"⚠ วันที่ไม่ถูกต้อง",IF(COUNTIFS(Setup!$L$6:$L$60,D1655,Setup!$M$6:$M$60,C1655)=0,"⚠ หมวดไม่ตรงประเภท","✓"))))</f>
        <v/>
      </c>
    </row>
    <row r="1656">
      <c r="B1656" s="113" t="n"/>
      <c r="C1656" s="114" t="n"/>
      <c r="D1656" s="115" t="n"/>
      <c r="E1656" s="116" t="n"/>
      <c r="F1656" s="115" t="n"/>
      <c r="G1656" s="117">
        <f>IF(COUNTA(B1656:E1656)=0,"",IF(COUNTA(B1656:E1656)&lt;4,"⚠ กรอกไม่ครบ",IF(NOT(ISNUMBER(B1656)),"⚠ วันที่ไม่ถูกต้อง",IF(COUNTIFS(Setup!$L$6:$L$60,D1656,Setup!$M$6:$M$60,C1656)=0,"⚠ หมวดไม่ตรงประเภท","✓"))))</f>
        <v/>
      </c>
    </row>
    <row r="1657">
      <c r="B1657" s="113" t="n"/>
      <c r="C1657" s="114" t="n"/>
      <c r="D1657" s="115" t="n"/>
      <c r="E1657" s="116" t="n"/>
      <c r="F1657" s="115" t="n"/>
      <c r="G1657" s="117">
        <f>IF(COUNTA(B1657:E1657)=0,"",IF(COUNTA(B1657:E1657)&lt;4,"⚠ กรอกไม่ครบ",IF(NOT(ISNUMBER(B1657)),"⚠ วันที่ไม่ถูกต้อง",IF(COUNTIFS(Setup!$L$6:$L$60,D1657,Setup!$M$6:$M$60,C1657)=0,"⚠ หมวดไม่ตรงประเภท","✓"))))</f>
        <v/>
      </c>
    </row>
    <row r="1658">
      <c r="B1658" s="113" t="n"/>
      <c r="C1658" s="114" t="n"/>
      <c r="D1658" s="115" t="n"/>
      <c r="E1658" s="116" t="n"/>
      <c r="F1658" s="115" t="n"/>
      <c r="G1658" s="117">
        <f>IF(COUNTA(B1658:E1658)=0,"",IF(COUNTA(B1658:E1658)&lt;4,"⚠ กรอกไม่ครบ",IF(NOT(ISNUMBER(B1658)),"⚠ วันที่ไม่ถูกต้อง",IF(COUNTIFS(Setup!$L$6:$L$60,D1658,Setup!$M$6:$M$60,C1658)=0,"⚠ หมวดไม่ตรงประเภท","✓"))))</f>
        <v/>
      </c>
    </row>
    <row r="1659">
      <c r="B1659" s="113" t="n"/>
      <c r="C1659" s="114" t="n"/>
      <c r="D1659" s="115" t="n"/>
      <c r="E1659" s="116" t="n"/>
      <c r="F1659" s="115" t="n"/>
      <c r="G1659" s="117">
        <f>IF(COUNTA(B1659:E1659)=0,"",IF(COUNTA(B1659:E1659)&lt;4,"⚠ กรอกไม่ครบ",IF(NOT(ISNUMBER(B1659)),"⚠ วันที่ไม่ถูกต้อง",IF(COUNTIFS(Setup!$L$6:$L$60,D1659,Setup!$M$6:$M$60,C1659)=0,"⚠ หมวดไม่ตรงประเภท","✓"))))</f>
        <v/>
      </c>
    </row>
    <row r="1660">
      <c r="B1660" s="113" t="n"/>
      <c r="C1660" s="114" t="n"/>
      <c r="D1660" s="115" t="n"/>
      <c r="E1660" s="116" t="n"/>
      <c r="F1660" s="115" t="n"/>
      <c r="G1660" s="117">
        <f>IF(COUNTA(B1660:E1660)=0,"",IF(COUNTA(B1660:E1660)&lt;4,"⚠ กรอกไม่ครบ",IF(NOT(ISNUMBER(B1660)),"⚠ วันที่ไม่ถูกต้อง",IF(COUNTIFS(Setup!$L$6:$L$60,D1660,Setup!$M$6:$M$60,C1660)=0,"⚠ หมวดไม่ตรงประเภท","✓"))))</f>
        <v/>
      </c>
    </row>
    <row r="1661">
      <c r="B1661" s="113" t="n"/>
      <c r="C1661" s="114" t="n"/>
      <c r="D1661" s="115" t="n"/>
      <c r="E1661" s="116" t="n"/>
      <c r="F1661" s="115" t="n"/>
      <c r="G1661" s="117">
        <f>IF(COUNTA(B1661:E1661)=0,"",IF(COUNTA(B1661:E1661)&lt;4,"⚠ กรอกไม่ครบ",IF(NOT(ISNUMBER(B1661)),"⚠ วันที่ไม่ถูกต้อง",IF(COUNTIFS(Setup!$L$6:$L$60,D1661,Setup!$M$6:$M$60,C1661)=0,"⚠ หมวดไม่ตรงประเภท","✓"))))</f>
        <v/>
      </c>
    </row>
    <row r="1662">
      <c r="B1662" s="113" t="n"/>
      <c r="C1662" s="114" t="n"/>
      <c r="D1662" s="115" t="n"/>
      <c r="E1662" s="116" t="n"/>
      <c r="F1662" s="115" t="n"/>
      <c r="G1662" s="117">
        <f>IF(COUNTA(B1662:E1662)=0,"",IF(COUNTA(B1662:E1662)&lt;4,"⚠ กรอกไม่ครบ",IF(NOT(ISNUMBER(B1662)),"⚠ วันที่ไม่ถูกต้อง",IF(COUNTIFS(Setup!$L$6:$L$60,D1662,Setup!$M$6:$M$60,C1662)=0,"⚠ หมวดไม่ตรงประเภท","✓"))))</f>
        <v/>
      </c>
    </row>
    <row r="1663">
      <c r="B1663" s="113" t="n"/>
      <c r="C1663" s="114" t="n"/>
      <c r="D1663" s="115" t="n"/>
      <c r="E1663" s="116" t="n"/>
      <c r="F1663" s="115" t="n"/>
      <c r="G1663" s="117">
        <f>IF(COUNTA(B1663:E1663)=0,"",IF(COUNTA(B1663:E1663)&lt;4,"⚠ กรอกไม่ครบ",IF(NOT(ISNUMBER(B1663)),"⚠ วันที่ไม่ถูกต้อง",IF(COUNTIFS(Setup!$L$6:$L$60,D1663,Setup!$M$6:$M$60,C1663)=0,"⚠ หมวดไม่ตรงประเภท","✓"))))</f>
        <v/>
      </c>
    </row>
    <row r="1664">
      <c r="B1664" s="113" t="n"/>
      <c r="C1664" s="114" t="n"/>
      <c r="D1664" s="115" t="n"/>
      <c r="E1664" s="116" t="n"/>
      <c r="F1664" s="115" t="n"/>
      <c r="G1664" s="117">
        <f>IF(COUNTA(B1664:E1664)=0,"",IF(COUNTA(B1664:E1664)&lt;4,"⚠ กรอกไม่ครบ",IF(NOT(ISNUMBER(B1664)),"⚠ วันที่ไม่ถูกต้อง",IF(COUNTIFS(Setup!$L$6:$L$60,D1664,Setup!$M$6:$M$60,C1664)=0,"⚠ หมวดไม่ตรงประเภท","✓"))))</f>
        <v/>
      </c>
    </row>
    <row r="1665">
      <c r="B1665" s="113" t="n"/>
      <c r="C1665" s="114" t="n"/>
      <c r="D1665" s="115" t="n"/>
      <c r="E1665" s="116" t="n"/>
      <c r="F1665" s="115" t="n"/>
      <c r="G1665" s="117">
        <f>IF(COUNTA(B1665:E1665)=0,"",IF(COUNTA(B1665:E1665)&lt;4,"⚠ กรอกไม่ครบ",IF(NOT(ISNUMBER(B1665)),"⚠ วันที่ไม่ถูกต้อง",IF(COUNTIFS(Setup!$L$6:$L$60,D1665,Setup!$M$6:$M$60,C1665)=0,"⚠ หมวดไม่ตรงประเภท","✓"))))</f>
        <v/>
      </c>
    </row>
    <row r="1666">
      <c r="B1666" s="113" t="n"/>
      <c r="C1666" s="114" t="n"/>
      <c r="D1666" s="115" t="n"/>
      <c r="E1666" s="116" t="n"/>
      <c r="F1666" s="115" t="n"/>
      <c r="G1666" s="117">
        <f>IF(COUNTA(B1666:E1666)=0,"",IF(COUNTA(B1666:E1666)&lt;4,"⚠ กรอกไม่ครบ",IF(NOT(ISNUMBER(B1666)),"⚠ วันที่ไม่ถูกต้อง",IF(COUNTIFS(Setup!$L$6:$L$60,D1666,Setup!$M$6:$M$60,C1666)=0,"⚠ หมวดไม่ตรงประเภท","✓"))))</f>
        <v/>
      </c>
    </row>
    <row r="1667">
      <c r="B1667" s="113" t="n"/>
      <c r="C1667" s="114" t="n"/>
      <c r="D1667" s="115" t="n"/>
      <c r="E1667" s="116" t="n"/>
      <c r="F1667" s="115" t="n"/>
      <c r="G1667" s="117">
        <f>IF(COUNTA(B1667:E1667)=0,"",IF(COUNTA(B1667:E1667)&lt;4,"⚠ กรอกไม่ครบ",IF(NOT(ISNUMBER(B1667)),"⚠ วันที่ไม่ถูกต้อง",IF(COUNTIFS(Setup!$L$6:$L$60,D1667,Setup!$M$6:$M$60,C1667)=0,"⚠ หมวดไม่ตรงประเภท","✓"))))</f>
        <v/>
      </c>
    </row>
    <row r="1668">
      <c r="B1668" s="113" t="n"/>
      <c r="C1668" s="114" t="n"/>
      <c r="D1668" s="115" t="n"/>
      <c r="E1668" s="116" t="n"/>
      <c r="F1668" s="115" t="n"/>
      <c r="G1668" s="117">
        <f>IF(COUNTA(B1668:E1668)=0,"",IF(COUNTA(B1668:E1668)&lt;4,"⚠ กรอกไม่ครบ",IF(NOT(ISNUMBER(B1668)),"⚠ วันที่ไม่ถูกต้อง",IF(COUNTIFS(Setup!$L$6:$L$60,D1668,Setup!$M$6:$M$60,C1668)=0,"⚠ หมวดไม่ตรงประเภท","✓"))))</f>
        <v/>
      </c>
    </row>
    <row r="1669">
      <c r="B1669" s="113" t="n"/>
      <c r="C1669" s="114" t="n"/>
      <c r="D1669" s="115" t="n"/>
      <c r="E1669" s="116" t="n"/>
      <c r="F1669" s="115" t="n"/>
      <c r="G1669" s="117">
        <f>IF(COUNTA(B1669:E1669)=0,"",IF(COUNTA(B1669:E1669)&lt;4,"⚠ กรอกไม่ครบ",IF(NOT(ISNUMBER(B1669)),"⚠ วันที่ไม่ถูกต้อง",IF(COUNTIFS(Setup!$L$6:$L$60,D1669,Setup!$M$6:$M$60,C1669)=0,"⚠ หมวดไม่ตรงประเภท","✓"))))</f>
        <v/>
      </c>
    </row>
    <row r="1670">
      <c r="B1670" s="113" t="n"/>
      <c r="C1670" s="114" t="n"/>
      <c r="D1670" s="115" t="n"/>
      <c r="E1670" s="116" t="n"/>
      <c r="F1670" s="115" t="n"/>
      <c r="G1670" s="117">
        <f>IF(COUNTA(B1670:E1670)=0,"",IF(COUNTA(B1670:E1670)&lt;4,"⚠ กรอกไม่ครบ",IF(NOT(ISNUMBER(B1670)),"⚠ วันที่ไม่ถูกต้อง",IF(COUNTIFS(Setup!$L$6:$L$60,D1670,Setup!$M$6:$M$60,C1670)=0,"⚠ หมวดไม่ตรงประเภท","✓"))))</f>
        <v/>
      </c>
    </row>
    <row r="1671">
      <c r="B1671" s="113" t="n"/>
      <c r="C1671" s="114" t="n"/>
      <c r="D1671" s="115" t="n"/>
      <c r="E1671" s="116" t="n"/>
      <c r="F1671" s="115" t="n"/>
      <c r="G1671" s="117">
        <f>IF(COUNTA(B1671:E1671)=0,"",IF(COUNTA(B1671:E1671)&lt;4,"⚠ กรอกไม่ครบ",IF(NOT(ISNUMBER(B1671)),"⚠ วันที่ไม่ถูกต้อง",IF(COUNTIFS(Setup!$L$6:$L$60,D1671,Setup!$M$6:$M$60,C1671)=0,"⚠ หมวดไม่ตรงประเภท","✓"))))</f>
        <v/>
      </c>
    </row>
    <row r="1672">
      <c r="B1672" s="113" t="n"/>
      <c r="C1672" s="114" t="n"/>
      <c r="D1672" s="115" t="n"/>
      <c r="E1672" s="116" t="n"/>
      <c r="F1672" s="115" t="n"/>
      <c r="G1672" s="117">
        <f>IF(COUNTA(B1672:E1672)=0,"",IF(COUNTA(B1672:E1672)&lt;4,"⚠ กรอกไม่ครบ",IF(NOT(ISNUMBER(B1672)),"⚠ วันที่ไม่ถูกต้อง",IF(COUNTIFS(Setup!$L$6:$L$60,D1672,Setup!$M$6:$M$60,C1672)=0,"⚠ หมวดไม่ตรงประเภท","✓"))))</f>
        <v/>
      </c>
    </row>
    <row r="1673">
      <c r="B1673" s="113" t="n"/>
      <c r="C1673" s="114" t="n"/>
      <c r="D1673" s="115" t="n"/>
      <c r="E1673" s="116" t="n"/>
      <c r="F1673" s="115" t="n"/>
      <c r="G1673" s="117">
        <f>IF(COUNTA(B1673:E1673)=0,"",IF(COUNTA(B1673:E1673)&lt;4,"⚠ กรอกไม่ครบ",IF(NOT(ISNUMBER(B1673)),"⚠ วันที่ไม่ถูกต้อง",IF(COUNTIFS(Setup!$L$6:$L$60,D1673,Setup!$M$6:$M$60,C1673)=0,"⚠ หมวดไม่ตรงประเภท","✓"))))</f>
        <v/>
      </c>
    </row>
    <row r="1674">
      <c r="B1674" s="113" t="n"/>
      <c r="C1674" s="114" t="n"/>
      <c r="D1674" s="115" t="n"/>
      <c r="E1674" s="116" t="n"/>
      <c r="F1674" s="115" t="n"/>
      <c r="G1674" s="117">
        <f>IF(COUNTA(B1674:E1674)=0,"",IF(COUNTA(B1674:E1674)&lt;4,"⚠ กรอกไม่ครบ",IF(NOT(ISNUMBER(B1674)),"⚠ วันที่ไม่ถูกต้อง",IF(COUNTIFS(Setup!$L$6:$L$60,D1674,Setup!$M$6:$M$60,C1674)=0,"⚠ หมวดไม่ตรงประเภท","✓"))))</f>
        <v/>
      </c>
    </row>
    <row r="1675">
      <c r="B1675" s="113" t="n"/>
      <c r="C1675" s="114" t="n"/>
      <c r="D1675" s="115" t="n"/>
      <c r="E1675" s="116" t="n"/>
      <c r="F1675" s="115" t="n"/>
      <c r="G1675" s="117">
        <f>IF(COUNTA(B1675:E1675)=0,"",IF(COUNTA(B1675:E1675)&lt;4,"⚠ กรอกไม่ครบ",IF(NOT(ISNUMBER(B1675)),"⚠ วันที่ไม่ถูกต้อง",IF(COUNTIFS(Setup!$L$6:$L$60,D1675,Setup!$M$6:$M$60,C1675)=0,"⚠ หมวดไม่ตรงประเภท","✓"))))</f>
        <v/>
      </c>
    </row>
    <row r="1676">
      <c r="B1676" s="113" t="n"/>
      <c r="C1676" s="114" t="n"/>
      <c r="D1676" s="115" t="n"/>
      <c r="E1676" s="116" t="n"/>
      <c r="F1676" s="115" t="n"/>
      <c r="G1676" s="117">
        <f>IF(COUNTA(B1676:E1676)=0,"",IF(COUNTA(B1676:E1676)&lt;4,"⚠ กรอกไม่ครบ",IF(NOT(ISNUMBER(B1676)),"⚠ วันที่ไม่ถูกต้อง",IF(COUNTIFS(Setup!$L$6:$L$60,D1676,Setup!$M$6:$M$60,C1676)=0,"⚠ หมวดไม่ตรงประเภท","✓"))))</f>
        <v/>
      </c>
    </row>
    <row r="1677">
      <c r="B1677" s="113" t="n"/>
      <c r="C1677" s="114" t="n"/>
      <c r="D1677" s="115" t="n"/>
      <c r="E1677" s="116" t="n"/>
      <c r="F1677" s="115" t="n"/>
      <c r="G1677" s="117">
        <f>IF(COUNTA(B1677:E1677)=0,"",IF(COUNTA(B1677:E1677)&lt;4,"⚠ กรอกไม่ครบ",IF(NOT(ISNUMBER(B1677)),"⚠ วันที่ไม่ถูกต้อง",IF(COUNTIFS(Setup!$L$6:$L$60,D1677,Setup!$M$6:$M$60,C1677)=0,"⚠ หมวดไม่ตรงประเภท","✓"))))</f>
        <v/>
      </c>
    </row>
    <row r="1678">
      <c r="B1678" s="113" t="n"/>
      <c r="C1678" s="114" t="n"/>
      <c r="D1678" s="115" t="n"/>
      <c r="E1678" s="116" t="n"/>
      <c r="F1678" s="115" t="n"/>
      <c r="G1678" s="117">
        <f>IF(COUNTA(B1678:E1678)=0,"",IF(COUNTA(B1678:E1678)&lt;4,"⚠ กรอกไม่ครบ",IF(NOT(ISNUMBER(B1678)),"⚠ วันที่ไม่ถูกต้อง",IF(COUNTIFS(Setup!$L$6:$L$60,D1678,Setup!$M$6:$M$60,C1678)=0,"⚠ หมวดไม่ตรงประเภท","✓"))))</f>
        <v/>
      </c>
    </row>
    <row r="1679">
      <c r="B1679" s="113" t="n"/>
      <c r="C1679" s="114" t="n"/>
      <c r="D1679" s="115" t="n"/>
      <c r="E1679" s="116" t="n"/>
      <c r="F1679" s="115" t="n"/>
      <c r="G1679" s="117">
        <f>IF(COUNTA(B1679:E1679)=0,"",IF(COUNTA(B1679:E1679)&lt;4,"⚠ กรอกไม่ครบ",IF(NOT(ISNUMBER(B1679)),"⚠ วันที่ไม่ถูกต้อง",IF(COUNTIFS(Setup!$L$6:$L$60,D1679,Setup!$M$6:$M$60,C1679)=0,"⚠ หมวดไม่ตรงประเภท","✓"))))</f>
        <v/>
      </c>
    </row>
    <row r="1680">
      <c r="B1680" s="113" t="n"/>
      <c r="C1680" s="114" t="n"/>
      <c r="D1680" s="115" t="n"/>
      <c r="E1680" s="116" t="n"/>
      <c r="F1680" s="115" t="n"/>
      <c r="G1680" s="117">
        <f>IF(COUNTA(B1680:E1680)=0,"",IF(COUNTA(B1680:E1680)&lt;4,"⚠ กรอกไม่ครบ",IF(NOT(ISNUMBER(B1680)),"⚠ วันที่ไม่ถูกต้อง",IF(COUNTIFS(Setup!$L$6:$L$60,D1680,Setup!$M$6:$M$60,C1680)=0,"⚠ หมวดไม่ตรงประเภท","✓"))))</f>
        <v/>
      </c>
    </row>
    <row r="1681">
      <c r="B1681" s="113" t="n"/>
      <c r="C1681" s="114" t="n"/>
      <c r="D1681" s="115" t="n"/>
      <c r="E1681" s="116" t="n"/>
      <c r="F1681" s="115" t="n"/>
      <c r="G1681" s="117">
        <f>IF(COUNTA(B1681:E1681)=0,"",IF(COUNTA(B1681:E1681)&lt;4,"⚠ กรอกไม่ครบ",IF(NOT(ISNUMBER(B1681)),"⚠ วันที่ไม่ถูกต้อง",IF(COUNTIFS(Setup!$L$6:$L$60,D1681,Setup!$M$6:$M$60,C1681)=0,"⚠ หมวดไม่ตรงประเภท","✓"))))</f>
        <v/>
      </c>
    </row>
    <row r="1682">
      <c r="B1682" s="113" t="n"/>
      <c r="C1682" s="114" t="n"/>
      <c r="D1682" s="115" t="n"/>
      <c r="E1682" s="116" t="n"/>
      <c r="F1682" s="115" t="n"/>
      <c r="G1682" s="117">
        <f>IF(COUNTA(B1682:E1682)=0,"",IF(COUNTA(B1682:E1682)&lt;4,"⚠ กรอกไม่ครบ",IF(NOT(ISNUMBER(B1682)),"⚠ วันที่ไม่ถูกต้อง",IF(COUNTIFS(Setup!$L$6:$L$60,D1682,Setup!$M$6:$M$60,C1682)=0,"⚠ หมวดไม่ตรงประเภท","✓"))))</f>
        <v/>
      </c>
    </row>
    <row r="1683">
      <c r="B1683" s="113" t="n"/>
      <c r="C1683" s="114" t="n"/>
      <c r="D1683" s="115" t="n"/>
      <c r="E1683" s="116" t="n"/>
      <c r="F1683" s="115" t="n"/>
      <c r="G1683" s="117">
        <f>IF(COUNTA(B1683:E1683)=0,"",IF(COUNTA(B1683:E1683)&lt;4,"⚠ กรอกไม่ครบ",IF(NOT(ISNUMBER(B1683)),"⚠ วันที่ไม่ถูกต้อง",IF(COUNTIFS(Setup!$L$6:$L$60,D1683,Setup!$M$6:$M$60,C1683)=0,"⚠ หมวดไม่ตรงประเภท","✓"))))</f>
        <v/>
      </c>
    </row>
    <row r="1684">
      <c r="B1684" s="113" t="n"/>
      <c r="C1684" s="114" t="n"/>
      <c r="D1684" s="115" t="n"/>
      <c r="E1684" s="116" t="n"/>
      <c r="F1684" s="115" t="n"/>
      <c r="G1684" s="117">
        <f>IF(COUNTA(B1684:E1684)=0,"",IF(COUNTA(B1684:E1684)&lt;4,"⚠ กรอกไม่ครบ",IF(NOT(ISNUMBER(B1684)),"⚠ วันที่ไม่ถูกต้อง",IF(COUNTIFS(Setup!$L$6:$L$60,D1684,Setup!$M$6:$M$60,C1684)=0,"⚠ หมวดไม่ตรงประเภท","✓"))))</f>
        <v/>
      </c>
    </row>
    <row r="1685">
      <c r="B1685" s="113" t="n"/>
      <c r="C1685" s="114" t="n"/>
      <c r="D1685" s="115" t="n"/>
      <c r="E1685" s="116" t="n"/>
      <c r="F1685" s="115" t="n"/>
      <c r="G1685" s="117">
        <f>IF(COUNTA(B1685:E1685)=0,"",IF(COUNTA(B1685:E1685)&lt;4,"⚠ กรอกไม่ครบ",IF(NOT(ISNUMBER(B1685)),"⚠ วันที่ไม่ถูกต้อง",IF(COUNTIFS(Setup!$L$6:$L$60,D1685,Setup!$M$6:$M$60,C1685)=0,"⚠ หมวดไม่ตรงประเภท","✓"))))</f>
        <v/>
      </c>
    </row>
    <row r="1686">
      <c r="B1686" s="113" t="n"/>
      <c r="C1686" s="114" t="n"/>
      <c r="D1686" s="115" t="n"/>
      <c r="E1686" s="116" t="n"/>
      <c r="F1686" s="115" t="n"/>
      <c r="G1686" s="117">
        <f>IF(COUNTA(B1686:E1686)=0,"",IF(COUNTA(B1686:E1686)&lt;4,"⚠ กรอกไม่ครบ",IF(NOT(ISNUMBER(B1686)),"⚠ วันที่ไม่ถูกต้อง",IF(COUNTIFS(Setup!$L$6:$L$60,D1686,Setup!$M$6:$M$60,C1686)=0,"⚠ หมวดไม่ตรงประเภท","✓"))))</f>
        <v/>
      </c>
    </row>
    <row r="1687">
      <c r="B1687" s="113" t="n"/>
      <c r="C1687" s="114" t="n"/>
      <c r="D1687" s="115" t="n"/>
      <c r="E1687" s="116" t="n"/>
      <c r="F1687" s="115" t="n"/>
      <c r="G1687" s="117">
        <f>IF(COUNTA(B1687:E1687)=0,"",IF(COUNTA(B1687:E1687)&lt;4,"⚠ กรอกไม่ครบ",IF(NOT(ISNUMBER(B1687)),"⚠ วันที่ไม่ถูกต้อง",IF(COUNTIFS(Setup!$L$6:$L$60,D1687,Setup!$M$6:$M$60,C1687)=0,"⚠ หมวดไม่ตรงประเภท","✓"))))</f>
        <v/>
      </c>
    </row>
    <row r="1688">
      <c r="B1688" s="113" t="n"/>
      <c r="C1688" s="114" t="n"/>
      <c r="D1688" s="115" t="n"/>
      <c r="E1688" s="116" t="n"/>
      <c r="F1688" s="115" t="n"/>
      <c r="G1688" s="117">
        <f>IF(COUNTA(B1688:E1688)=0,"",IF(COUNTA(B1688:E1688)&lt;4,"⚠ กรอกไม่ครบ",IF(NOT(ISNUMBER(B1688)),"⚠ วันที่ไม่ถูกต้อง",IF(COUNTIFS(Setup!$L$6:$L$60,D1688,Setup!$M$6:$M$60,C1688)=0,"⚠ หมวดไม่ตรงประเภท","✓"))))</f>
        <v/>
      </c>
    </row>
    <row r="1689">
      <c r="B1689" s="113" t="n"/>
      <c r="C1689" s="114" t="n"/>
      <c r="D1689" s="115" t="n"/>
      <c r="E1689" s="116" t="n"/>
      <c r="F1689" s="115" t="n"/>
      <c r="G1689" s="117">
        <f>IF(COUNTA(B1689:E1689)=0,"",IF(COUNTA(B1689:E1689)&lt;4,"⚠ กรอกไม่ครบ",IF(NOT(ISNUMBER(B1689)),"⚠ วันที่ไม่ถูกต้อง",IF(COUNTIFS(Setup!$L$6:$L$60,D1689,Setup!$M$6:$M$60,C1689)=0,"⚠ หมวดไม่ตรงประเภท","✓"))))</f>
        <v/>
      </c>
    </row>
    <row r="1690">
      <c r="B1690" s="113" t="n"/>
      <c r="C1690" s="114" t="n"/>
      <c r="D1690" s="115" t="n"/>
      <c r="E1690" s="116" t="n"/>
      <c r="F1690" s="115" t="n"/>
      <c r="G1690" s="117">
        <f>IF(COUNTA(B1690:E1690)=0,"",IF(COUNTA(B1690:E1690)&lt;4,"⚠ กรอกไม่ครบ",IF(NOT(ISNUMBER(B1690)),"⚠ วันที่ไม่ถูกต้อง",IF(COUNTIFS(Setup!$L$6:$L$60,D1690,Setup!$M$6:$M$60,C1690)=0,"⚠ หมวดไม่ตรงประเภท","✓"))))</f>
        <v/>
      </c>
    </row>
    <row r="1691">
      <c r="B1691" s="113" t="n"/>
      <c r="C1691" s="114" t="n"/>
      <c r="D1691" s="115" t="n"/>
      <c r="E1691" s="116" t="n"/>
      <c r="F1691" s="115" t="n"/>
      <c r="G1691" s="117">
        <f>IF(COUNTA(B1691:E1691)=0,"",IF(COUNTA(B1691:E1691)&lt;4,"⚠ กรอกไม่ครบ",IF(NOT(ISNUMBER(B1691)),"⚠ วันที่ไม่ถูกต้อง",IF(COUNTIFS(Setup!$L$6:$L$60,D1691,Setup!$M$6:$M$60,C1691)=0,"⚠ หมวดไม่ตรงประเภท","✓"))))</f>
        <v/>
      </c>
    </row>
    <row r="1692">
      <c r="B1692" s="113" t="n"/>
      <c r="C1692" s="114" t="n"/>
      <c r="D1692" s="115" t="n"/>
      <c r="E1692" s="116" t="n"/>
      <c r="F1692" s="115" t="n"/>
      <c r="G1692" s="117">
        <f>IF(COUNTA(B1692:E1692)=0,"",IF(COUNTA(B1692:E1692)&lt;4,"⚠ กรอกไม่ครบ",IF(NOT(ISNUMBER(B1692)),"⚠ วันที่ไม่ถูกต้อง",IF(COUNTIFS(Setup!$L$6:$L$60,D1692,Setup!$M$6:$M$60,C1692)=0,"⚠ หมวดไม่ตรงประเภท","✓"))))</f>
        <v/>
      </c>
    </row>
    <row r="1693">
      <c r="B1693" s="113" t="n"/>
      <c r="C1693" s="114" t="n"/>
      <c r="D1693" s="115" t="n"/>
      <c r="E1693" s="116" t="n"/>
      <c r="F1693" s="115" t="n"/>
      <c r="G1693" s="117">
        <f>IF(COUNTA(B1693:E1693)=0,"",IF(COUNTA(B1693:E1693)&lt;4,"⚠ กรอกไม่ครบ",IF(NOT(ISNUMBER(B1693)),"⚠ วันที่ไม่ถูกต้อง",IF(COUNTIFS(Setup!$L$6:$L$60,D1693,Setup!$M$6:$M$60,C1693)=0,"⚠ หมวดไม่ตรงประเภท","✓"))))</f>
        <v/>
      </c>
    </row>
    <row r="1694">
      <c r="B1694" s="113" t="n"/>
      <c r="C1694" s="114" t="n"/>
      <c r="D1694" s="115" t="n"/>
      <c r="E1694" s="116" t="n"/>
      <c r="F1694" s="115" t="n"/>
      <c r="G1694" s="117">
        <f>IF(COUNTA(B1694:E1694)=0,"",IF(COUNTA(B1694:E1694)&lt;4,"⚠ กรอกไม่ครบ",IF(NOT(ISNUMBER(B1694)),"⚠ วันที่ไม่ถูกต้อง",IF(COUNTIFS(Setup!$L$6:$L$60,D1694,Setup!$M$6:$M$60,C1694)=0,"⚠ หมวดไม่ตรงประเภท","✓"))))</f>
        <v/>
      </c>
    </row>
    <row r="1695">
      <c r="B1695" s="113" t="n"/>
      <c r="C1695" s="114" t="n"/>
      <c r="D1695" s="115" t="n"/>
      <c r="E1695" s="116" t="n"/>
      <c r="F1695" s="115" t="n"/>
      <c r="G1695" s="117">
        <f>IF(COUNTA(B1695:E1695)=0,"",IF(COUNTA(B1695:E1695)&lt;4,"⚠ กรอกไม่ครบ",IF(NOT(ISNUMBER(B1695)),"⚠ วันที่ไม่ถูกต้อง",IF(COUNTIFS(Setup!$L$6:$L$60,D1695,Setup!$M$6:$M$60,C1695)=0,"⚠ หมวดไม่ตรงประเภท","✓"))))</f>
        <v/>
      </c>
    </row>
    <row r="1696">
      <c r="B1696" s="113" t="n"/>
      <c r="C1696" s="114" t="n"/>
      <c r="D1696" s="115" t="n"/>
      <c r="E1696" s="116" t="n"/>
      <c r="F1696" s="115" t="n"/>
      <c r="G1696" s="117">
        <f>IF(COUNTA(B1696:E1696)=0,"",IF(COUNTA(B1696:E1696)&lt;4,"⚠ กรอกไม่ครบ",IF(NOT(ISNUMBER(B1696)),"⚠ วันที่ไม่ถูกต้อง",IF(COUNTIFS(Setup!$L$6:$L$60,D1696,Setup!$M$6:$M$60,C1696)=0,"⚠ หมวดไม่ตรงประเภท","✓"))))</f>
        <v/>
      </c>
    </row>
    <row r="1697">
      <c r="B1697" s="113" t="n"/>
      <c r="C1697" s="114" t="n"/>
      <c r="D1697" s="115" t="n"/>
      <c r="E1697" s="116" t="n"/>
      <c r="F1697" s="115" t="n"/>
      <c r="G1697" s="117">
        <f>IF(COUNTA(B1697:E1697)=0,"",IF(COUNTA(B1697:E1697)&lt;4,"⚠ กรอกไม่ครบ",IF(NOT(ISNUMBER(B1697)),"⚠ วันที่ไม่ถูกต้อง",IF(COUNTIFS(Setup!$L$6:$L$60,D1697,Setup!$M$6:$M$60,C1697)=0,"⚠ หมวดไม่ตรงประเภท","✓"))))</f>
        <v/>
      </c>
    </row>
    <row r="1698">
      <c r="B1698" s="113" t="n"/>
      <c r="C1698" s="114" t="n"/>
      <c r="D1698" s="115" t="n"/>
      <c r="E1698" s="116" t="n"/>
      <c r="F1698" s="115" t="n"/>
      <c r="G1698" s="117">
        <f>IF(COUNTA(B1698:E1698)=0,"",IF(COUNTA(B1698:E1698)&lt;4,"⚠ กรอกไม่ครบ",IF(NOT(ISNUMBER(B1698)),"⚠ วันที่ไม่ถูกต้อง",IF(COUNTIFS(Setup!$L$6:$L$60,D1698,Setup!$M$6:$M$60,C1698)=0,"⚠ หมวดไม่ตรงประเภท","✓"))))</f>
        <v/>
      </c>
    </row>
    <row r="1699">
      <c r="B1699" s="113" t="n"/>
      <c r="C1699" s="114" t="n"/>
      <c r="D1699" s="115" t="n"/>
      <c r="E1699" s="116" t="n"/>
      <c r="F1699" s="115" t="n"/>
      <c r="G1699" s="117">
        <f>IF(COUNTA(B1699:E1699)=0,"",IF(COUNTA(B1699:E1699)&lt;4,"⚠ กรอกไม่ครบ",IF(NOT(ISNUMBER(B1699)),"⚠ วันที่ไม่ถูกต้อง",IF(COUNTIFS(Setup!$L$6:$L$60,D1699,Setup!$M$6:$M$60,C1699)=0,"⚠ หมวดไม่ตรงประเภท","✓"))))</f>
        <v/>
      </c>
    </row>
    <row r="1700">
      <c r="B1700" s="113" t="n"/>
      <c r="C1700" s="114" t="n"/>
      <c r="D1700" s="115" t="n"/>
      <c r="E1700" s="116" t="n"/>
      <c r="F1700" s="115" t="n"/>
      <c r="G1700" s="117">
        <f>IF(COUNTA(B1700:E1700)=0,"",IF(COUNTA(B1700:E1700)&lt;4,"⚠ กรอกไม่ครบ",IF(NOT(ISNUMBER(B1700)),"⚠ วันที่ไม่ถูกต้อง",IF(COUNTIFS(Setup!$L$6:$L$60,D1700,Setup!$M$6:$M$60,C1700)=0,"⚠ หมวดไม่ตรงประเภท","✓"))))</f>
        <v/>
      </c>
    </row>
    <row r="1701">
      <c r="B1701" s="113" t="n"/>
      <c r="C1701" s="114" t="n"/>
      <c r="D1701" s="115" t="n"/>
      <c r="E1701" s="116" t="n"/>
      <c r="F1701" s="115" t="n"/>
      <c r="G1701" s="117">
        <f>IF(COUNTA(B1701:E1701)=0,"",IF(COUNTA(B1701:E1701)&lt;4,"⚠ กรอกไม่ครบ",IF(NOT(ISNUMBER(B1701)),"⚠ วันที่ไม่ถูกต้อง",IF(COUNTIFS(Setup!$L$6:$L$60,D1701,Setup!$M$6:$M$60,C1701)=0,"⚠ หมวดไม่ตรงประเภท","✓"))))</f>
        <v/>
      </c>
    </row>
    <row r="1702">
      <c r="B1702" s="113" t="n"/>
      <c r="C1702" s="114" t="n"/>
      <c r="D1702" s="115" t="n"/>
      <c r="E1702" s="116" t="n"/>
      <c r="F1702" s="115" t="n"/>
      <c r="G1702" s="117">
        <f>IF(COUNTA(B1702:E1702)=0,"",IF(COUNTA(B1702:E1702)&lt;4,"⚠ กรอกไม่ครบ",IF(NOT(ISNUMBER(B1702)),"⚠ วันที่ไม่ถูกต้อง",IF(COUNTIFS(Setup!$L$6:$L$60,D1702,Setup!$M$6:$M$60,C1702)=0,"⚠ หมวดไม่ตรงประเภท","✓"))))</f>
        <v/>
      </c>
    </row>
    <row r="1703">
      <c r="B1703" s="113" t="n"/>
      <c r="C1703" s="114" t="n"/>
      <c r="D1703" s="115" t="n"/>
      <c r="E1703" s="116" t="n"/>
      <c r="F1703" s="115" t="n"/>
      <c r="G1703" s="117">
        <f>IF(COUNTA(B1703:E1703)=0,"",IF(COUNTA(B1703:E1703)&lt;4,"⚠ กรอกไม่ครบ",IF(NOT(ISNUMBER(B1703)),"⚠ วันที่ไม่ถูกต้อง",IF(COUNTIFS(Setup!$L$6:$L$60,D1703,Setup!$M$6:$M$60,C1703)=0,"⚠ หมวดไม่ตรงประเภท","✓"))))</f>
        <v/>
      </c>
    </row>
    <row r="1704">
      <c r="B1704" s="113" t="n"/>
      <c r="C1704" s="114" t="n"/>
      <c r="D1704" s="115" t="n"/>
      <c r="E1704" s="116" t="n"/>
      <c r="F1704" s="115" t="n"/>
      <c r="G1704" s="117">
        <f>IF(COUNTA(B1704:E1704)=0,"",IF(COUNTA(B1704:E1704)&lt;4,"⚠ กรอกไม่ครบ",IF(NOT(ISNUMBER(B1704)),"⚠ วันที่ไม่ถูกต้อง",IF(COUNTIFS(Setup!$L$6:$L$60,D1704,Setup!$M$6:$M$60,C1704)=0,"⚠ หมวดไม่ตรงประเภท","✓"))))</f>
        <v/>
      </c>
    </row>
    <row r="1705">
      <c r="B1705" s="113" t="n"/>
      <c r="C1705" s="114" t="n"/>
      <c r="D1705" s="115" t="n"/>
      <c r="E1705" s="116" t="n"/>
      <c r="F1705" s="115" t="n"/>
      <c r="G1705" s="117">
        <f>IF(COUNTA(B1705:E1705)=0,"",IF(COUNTA(B1705:E1705)&lt;4,"⚠ กรอกไม่ครบ",IF(NOT(ISNUMBER(B1705)),"⚠ วันที่ไม่ถูกต้อง",IF(COUNTIFS(Setup!$L$6:$L$60,D1705,Setup!$M$6:$M$60,C1705)=0,"⚠ หมวดไม่ตรงประเภท","✓"))))</f>
        <v/>
      </c>
    </row>
    <row r="1706">
      <c r="B1706" s="113" t="n"/>
      <c r="C1706" s="114" t="n"/>
      <c r="D1706" s="115" t="n"/>
      <c r="E1706" s="116" t="n"/>
      <c r="F1706" s="115" t="n"/>
      <c r="G1706" s="117">
        <f>IF(COUNTA(B1706:E1706)=0,"",IF(COUNTA(B1706:E1706)&lt;4,"⚠ กรอกไม่ครบ",IF(NOT(ISNUMBER(B1706)),"⚠ วันที่ไม่ถูกต้อง",IF(COUNTIFS(Setup!$L$6:$L$60,D1706,Setup!$M$6:$M$60,C1706)=0,"⚠ หมวดไม่ตรงประเภท","✓"))))</f>
        <v/>
      </c>
    </row>
    <row r="1707">
      <c r="B1707" s="113" t="n"/>
      <c r="C1707" s="114" t="n"/>
      <c r="D1707" s="115" t="n"/>
      <c r="E1707" s="116" t="n"/>
      <c r="F1707" s="115" t="n"/>
      <c r="G1707" s="117">
        <f>IF(COUNTA(B1707:E1707)=0,"",IF(COUNTA(B1707:E1707)&lt;4,"⚠ กรอกไม่ครบ",IF(NOT(ISNUMBER(B1707)),"⚠ วันที่ไม่ถูกต้อง",IF(COUNTIFS(Setup!$L$6:$L$60,D1707,Setup!$M$6:$M$60,C1707)=0,"⚠ หมวดไม่ตรงประเภท","✓"))))</f>
        <v/>
      </c>
    </row>
    <row r="1708">
      <c r="B1708" s="113" t="n"/>
      <c r="C1708" s="114" t="n"/>
      <c r="D1708" s="115" t="n"/>
      <c r="E1708" s="116" t="n"/>
      <c r="F1708" s="115" t="n"/>
      <c r="G1708" s="117">
        <f>IF(COUNTA(B1708:E1708)=0,"",IF(COUNTA(B1708:E1708)&lt;4,"⚠ กรอกไม่ครบ",IF(NOT(ISNUMBER(B1708)),"⚠ วันที่ไม่ถูกต้อง",IF(COUNTIFS(Setup!$L$6:$L$60,D1708,Setup!$M$6:$M$60,C1708)=0,"⚠ หมวดไม่ตรงประเภท","✓"))))</f>
        <v/>
      </c>
    </row>
    <row r="1709">
      <c r="B1709" s="113" t="n"/>
      <c r="C1709" s="114" t="n"/>
      <c r="D1709" s="115" t="n"/>
      <c r="E1709" s="116" t="n"/>
      <c r="F1709" s="115" t="n"/>
      <c r="G1709" s="117">
        <f>IF(COUNTA(B1709:E1709)=0,"",IF(COUNTA(B1709:E1709)&lt;4,"⚠ กรอกไม่ครบ",IF(NOT(ISNUMBER(B1709)),"⚠ วันที่ไม่ถูกต้อง",IF(COUNTIFS(Setup!$L$6:$L$60,D1709,Setup!$M$6:$M$60,C1709)=0,"⚠ หมวดไม่ตรงประเภท","✓"))))</f>
        <v/>
      </c>
    </row>
    <row r="1710">
      <c r="B1710" s="113" t="n"/>
      <c r="C1710" s="114" t="n"/>
      <c r="D1710" s="115" t="n"/>
      <c r="E1710" s="116" t="n"/>
      <c r="F1710" s="115" t="n"/>
      <c r="G1710" s="117">
        <f>IF(COUNTA(B1710:E1710)=0,"",IF(COUNTA(B1710:E1710)&lt;4,"⚠ กรอกไม่ครบ",IF(NOT(ISNUMBER(B1710)),"⚠ วันที่ไม่ถูกต้อง",IF(COUNTIFS(Setup!$L$6:$L$60,D1710,Setup!$M$6:$M$60,C1710)=0,"⚠ หมวดไม่ตรงประเภท","✓"))))</f>
        <v/>
      </c>
    </row>
    <row r="1711">
      <c r="B1711" s="113" t="n"/>
      <c r="C1711" s="114" t="n"/>
      <c r="D1711" s="115" t="n"/>
      <c r="E1711" s="116" t="n"/>
      <c r="F1711" s="115" t="n"/>
      <c r="G1711" s="117">
        <f>IF(COUNTA(B1711:E1711)=0,"",IF(COUNTA(B1711:E1711)&lt;4,"⚠ กรอกไม่ครบ",IF(NOT(ISNUMBER(B1711)),"⚠ วันที่ไม่ถูกต้อง",IF(COUNTIFS(Setup!$L$6:$L$60,D1711,Setup!$M$6:$M$60,C1711)=0,"⚠ หมวดไม่ตรงประเภท","✓"))))</f>
        <v/>
      </c>
    </row>
    <row r="1712">
      <c r="B1712" s="113" t="n"/>
      <c r="C1712" s="114" t="n"/>
      <c r="D1712" s="115" t="n"/>
      <c r="E1712" s="116" t="n"/>
      <c r="F1712" s="115" t="n"/>
      <c r="G1712" s="117">
        <f>IF(COUNTA(B1712:E1712)=0,"",IF(COUNTA(B1712:E1712)&lt;4,"⚠ กรอกไม่ครบ",IF(NOT(ISNUMBER(B1712)),"⚠ วันที่ไม่ถูกต้อง",IF(COUNTIFS(Setup!$L$6:$L$60,D1712,Setup!$M$6:$M$60,C1712)=0,"⚠ หมวดไม่ตรงประเภท","✓"))))</f>
        <v/>
      </c>
    </row>
    <row r="1713">
      <c r="B1713" s="113" t="n"/>
      <c r="C1713" s="114" t="n"/>
      <c r="D1713" s="115" t="n"/>
      <c r="E1713" s="116" t="n"/>
      <c r="F1713" s="115" t="n"/>
      <c r="G1713" s="117">
        <f>IF(COUNTA(B1713:E1713)=0,"",IF(COUNTA(B1713:E1713)&lt;4,"⚠ กรอกไม่ครบ",IF(NOT(ISNUMBER(B1713)),"⚠ วันที่ไม่ถูกต้อง",IF(COUNTIFS(Setup!$L$6:$L$60,D1713,Setup!$M$6:$M$60,C1713)=0,"⚠ หมวดไม่ตรงประเภท","✓"))))</f>
        <v/>
      </c>
    </row>
    <row r="1714">
      <c r="B1714" s="113" t="n"/>
      <c r="C1714" s="114" t="n"/>
      <c r="D1714" s="115" t="n"/>
      <c r="E1714" s="116" t="n"/>
      <c r="F1714" s="115" t="n"/>
      <c r="G1714" s="117">
        <f>IF(COUNTA(B1714:E1714)=0,"",IF(COUNTA(B1714:E1714)&lt;4,"⚠ กรอกไม่ครบ",IF(NOT(ISNUMBER(B1714)),"⚠ วันที่ไม่ถูกต้อง",IF(COUNTIFS(Setup!$L$6:$L$60,D1714,Setup!$M$6:$M$60,C1714)=0,"⚠ หมวดไม่ตรงประเภท","✓"))))</f>
        <v/>
      </c>
    </row>
    <row r="1715">
      <c r="B1715" s="113" t="n"/>
      <c r="C1715" s="114" t="n"/>
      <c r="D1715" s="115" t="n"/>
      <c r="E1715" s="116" t="n"/>
      <c r="F1715" s="115" t="n"/>
      <c r="G1715" s="117">
        <f>IF(COUNTA(B1715:E1715)=0,"",IF(COUNTA(B1715:E1715)&lt;4,"⚠ กรอกไม่ครบ",IF(NOT(ISNUMBER(B1715)),"⚠ วันที่ไม่ถูกต้อง",IF(COUNTIFS(Setup!$L$6:$L$60,D1715,Setup!$M$6:$M$60,C1715)=0,"⚠ หมวดไม่ตรงประเภท","✓"))))</f>
        <v/>
      </c>
    </row>
    <row r="1716">
      <c r="B1716" s="113" t="n"/>
      <c r="C1716" s="114" t="n"/>
      <c r="D1716" s="115" t="n"/>
      <c r="E1716" s="116" t="n"/>
      <c r="F1716" s="115" t="n"/>
      <c r="G1716" s="117">
        <f>IF(COUNTA(B1716:E1716)=0,"",IF(COUNTA(B1716:E1716)&lt;4,"⚠ กรอกไม่ครบ",IF(NOT(ISNUMBER(B1716)),"⚠ วันที่ไม่ถูกต้อง",IF(COUNTIFS(Setup!$L$6:$L$60,D1716,Setup!$M$6:$M$60,C1716)=0,"⚠ หมวดไม่ตรงประเภท","✓"))))</f>
        <v/>
      </c>
    </row>
    <row r="1717">
      <c r="B1717" s="113" t="n"/>
      <c r="C1717" s="114" t="n"/>
      <c r="D1717" s="115" t="n"/>
      <c r="E1717" s="116" t="n"/>
      <c r="F1717" s="115" t="n"/>
      <c r="G1717" s="117">
        <f>IF(COUNTA(B1717:E1717)=0,"",IF(COUNTA(B1717:E1717)&lt;4,"⚠ กรอกไม่ครบ",IF(NOT(ISNUMBER(B1717)),"⚠ วันที่ไม่ถูกต้อง",IF(COUNTIFS(Setup!$L$6:$L$60,D1717,Setup!$M$6:$M$60,C1717)=0,"⚠ หมวดไม่ตรงประเภท","✓"))))</f>
        <v/>
      </c>
    </row>
    <row r="1718">
      <c r="B1718" s="113" t="n"/>
      <c r="C1718" s="114" t="n"/>
      <c r="D1718" s="115" t="n"/>
      <c r="E1718" s="116" t="n"/>
      <c r="F1718" s="115" t="n"/>
      <c r="G1718" s="117">
        <f>IF(COUNTA(B1718:E1718)=0,"",IF(COUNTA(B1718:E1718)&lt;4,"⚠ กรอกไม่ครบ",IF(NOT(ISNUMBER(B1718)),"⚠ วันที่ไม่ถูกต้อง",IF(COUNTIFS(Setup!$L$6:$L$60,D1718,Setup!$M$6:$M$60,C1718)=0,"⚠ หมวดไม่ตรงประเภท","✓"))))</f>
        <v/>
      </c>
    </row>
    <row r="1719">
      <c r="B1719" s="113" t="n"/>
      <c r="C1719" s="114" t="n"/>
      <c r="D1719" s="115" t="n"/>
      <c r="E1719" s="116" t="n"/>
      <c r="F1719" s="115" t="n"/>
      <c r="G1719" s="117">
        <f>IF(COUNTA(B1719:E1719)=0,"",IF(COUNTA(B1719:E1719)&lt;4,"⚠ กรอกไม่ครบ",IF(NOT(ISNUMBER(B1719)),"⚠ วันที่ไม่ถูกต้อง",IF(COUNTIFS(Setup!$L$6:$L$60,D1719,Setup!$M$6:$M$60,C1719)=0,"⚠ หมวดไม่ตรงประเภท","✓"))))</f>
        <v/>
      </c>
    </row>
    <row r="1720">
      <c r="B1720" s="113" t="n"/>
      <c r="C1720" s="114" t="n"/>
      <c r="D1720" s="115" t="n"/>
      <c r="E1720" s="116" t="n"/>
      <c r="F1720" s="115" t="n"/>
      <c r="G1720" s="117">
        <f>IF(COUNTA(B1720:E1720)=0,"",IF(COUNTA(B1720:E1720)&lt;4,"⚠ กรอกไม่ครบ",IF(NOT(ISNUMBER(B1720)),"⚠ วันที่ไม่ถูกต้อง",IF(COUNTIFS(Setup!$L$6:$L$60,D1720,Setup!$M$6:$M$60,C1720)=0,"⚠ หมวดไม่ตรงประเภท","✓"))))</f>
        <v/>
      </c>
    </row>
    <row r="1721">
      <c r="B1721" s="113" t="n"/>
      <c r="C1721" s="114" t="n"/>
      <c r="D1721" s="115" t="n"/>
      <c r="E1721" s="116" t="n"/>
      <c r="F1721" s="115" t="n"/>
      <c r="G1721" s="117">
        <f>IF(COUNTA(B1721:E1721)=0,"",IF(COUNTA(B1721:E1721)&lt;4,"⚠ กรอกไม่ครบ",IF(NOT(ISNUMBER(B1721)),"⚠ วันที่ไม่ถูกต้อง",IF(COUNTIFS(Setup!$L$6:$L$60,D1721,Setup!$M$6:$M$60,C1721)=0,"⚠ หมวดไม่ตรงประเภท","✓"))))</f>
        <v/>
      </c>
    </row>
    <row r="1722">
      <c r="B1722" s="113" t="n"/>
      <c r="C1722" s="114" t="n"/>
      <c r="D1722" s="115" t="n"/>
      <c r="E1722" s="116" t="n"/>
      <c r="F1722" s="115" t="n"/>
      <c r="G1722" s="117">
        <f>IF(COUNTA(B1722:E1722)=0,"",IF(COUNTA(B1722:E1722)&lt;4,"⚠ กรอกไม่ครบ",IF(NOT(ISNUMBER(B1722)),"⚠ วันที่ไม่ถูกต้อง",IF(COUNTIFS(Setup!$L$6:$L$60,D1722,Setup!$M$6:$M$60,C1722)=0,"⚠ หมวดไม่ตรงประเภท","✓"))))</f>
        <v/>
      </c>
    </row>
    <row r="1723">
      <c r="B1723" s="113" t="n"/>
      <c r="C1723" s="114" t="n"/>
      <c r="D1723" s="115" t="n"/>
      <c r="E1723" s="116" t="n"/>
      <c r="F1723" s="115" t="n"/>
      <c r="G1723" s="117">
        <f>IF(COUNTA(B1723:E1723)=0,"",IF(COUNTA(B1723:E1723)&lt;4,"⚠ กรอกไม่ครบ",IF(NOT(ISNUMBER(B1723)),"⚠ วันที่ไม่ถูกต้อง",IF(COUNTIFS(Setup!$L$6:$L$60,D1723,Setup!$M$6:$M$60,C1723)=0,"⚠ หมวดไม่ตรงประเภท","✓"))))</f>
        <v/>
      </c>
    </row>
    <row r="1724">
      <c r="B1724" s="113" t="n"/>
      <c r="C1724" s="114" t="n"/>
      <c r="D1724" s="115" t="n"/>
      <c r="E1724" s="116" t="n"/>
      <c r="F1724" s="115" t="n"/>
      <c r="G1724" s="117">
        <f>IF(COUNTA(B1724:E1724)=0,"",IF(COUNTA(B1724:E1724)&lt;4,"⚠ กรอกไม่ครบ",IF(NOT(ISNUMBER(B1724)),"⚠ วันที่ไม่ถูกต้อง",IF(COUNTIFS(Setup!$L$6:$L$60,D1724,Setup!$M$6:$M$60,C1724)=0,"⚠ หมวดไม่ตรงประเภท","✓"))))</f>
        <v/>
      </c>
    </row>
    <row r="1725">
      <c r="B1725" s="113" t="n"/>
      <c r="C1725" s="114" t="n"/>
      <c r="D1725" s="115" t="n"/>
      <c r="E1725" s="116" t="n"/>
      <c r="F1725" s="115" t="n"/>
      <c r="G1725" s="117">
        <f>IF(COUNTA(B1725:E1725)=0,"",IF(COUNTA(B1725:E1725)&lt;4,"⚠ กรอกไม่ครบ",IF(NOT(ISNUMBER(B1725)),"⚠ วันที่ไม่ถูกต้อง",IF(COUNTIFS(Setup!$L$6:$L$60,D1725,Setup!$M$6:$M$60,C1725)=0,"⚠ หมวดไม่ตรงประเภท","✓"))))</f>
        <v/>
      </c>
    </row>
    <row r="1726">
      <c r="B1726" s="113" t="n"/>
      <c r="C1726" s="114" t="n"/>
      <c r="D1726" s="115" t="n"/>
      <c r="E1726" s="116" t="n"/>
      <c r="F1726" s="115" t="n"/>
      <c r="G1726" s="117">
        <f>IF(COUNTA(B1726:E1726)=0,"",IF(COUNTA(B1726:E1726)&lt;4,"⚠ กรอกไม่ครบ",IF(NOT(ISNUMBER(B1726)),"⚠ วันที่ไม่ถูกต้อง",IF(COUNTIFS(Setup!$L$6:$L$60,D1726,Setup!$M$6:$M$60,C1726)=0,"⚠ หมวดไม่ตรงประเภท","✓"))))</f>
        <v/>
      </c>
    </row>
    <row r="1727">
      <c r="B1727" s="113" t="n"/>
      <c r="C1727" s="114" t="n"/>
      <c r="D1727" s="115" t="n"/>
      <c r="E1727" s="116" t="n"/>
      <c r="F1727" s="115" t="n"/>
      <c r="G1727" s="117">
        <f>IF(COUNTA(B1727:E1727)=0,"",IF(COUNTA(B1727:E1727)&lt;4,"⚠ กรอกไม่ครบ",IF(NOT(ISNUMBER(B1727)),"⚠ วันที่ไม่ถูกต้อง",IF(COUNTIFS(Setup!$L$6:$L$60,D1727,Setup!$M$6:$M$60,C1727)=0,"⚠ หมวดไม่ตรงประเภท","✓"))))</f>
        <v/>
      </c>
    </row>
    <row r="1728">
      <c r="B1728" s="113" t="n"/>
      <c r="C1728" s="114" t="n"/>
      <c r="D1728" s="115" t="n"/>
      <c r="E1728" s="116" t="n"/>
      <c r="F1728" s="115" t="n"/>
      <c r="G1728" s="117">
        <f>IF(COUNTA(B1728:E1728)=0,"",IF(COUNTA(B1728:E1728)&lt;4,"⚠ กรอกไม่ครบ",IF(NOT(ISNUMBER(B1728)),"⚠ วันที่ไม่ถูกต้อง",IF(COUNTIFS(Setup!$L$6:$L$60,D1728,Setup!$M$6:$M$60,C1728)=0,"⚠ หมวดไม่ตรงประเภท","✓"))))</f>
        <v/>
      </c>
    </row>
    <row r="1729">
      <c r="B1729" s="113" t="n"/>
      <c r="C1729" s="114" t="n"/>
      <c r="D1729" s="115" t="n"/>
      <c r="E1729" s="116" t="n"/>
      <c r="F1729" s="115" t="n"/>
      <c r="G1729" s="117">
        <f>IF(COUNTA(B1729:E1729)=0,"",IF(COUNTA(B1729:E1729)&lt;4,"⚠ กรอกไม่ครบ",IF(NOT(ISNUMBER(B1729)),"⚠ วันที่ไม่ถูกต้อง",IF(COUNTIFS(Setup!$L$6:$L$60,D1729,Setup!$M$6:$M$60,C1729)=0,"⚠ หมวดไม่ตรงประเภท","✓"))))</f>
        <v/>
      </c>
    </row>
    <row r="1730">
      <c r="B1730" s="113" t="n"/>
      <c r="C1730" s="114" t="n"/>
      <c r="D1730" s="115" t="n"/>
      <c r="E1730" s="116" t="n"/>
      <c r="F1730" s="115" t="n"/>
      <c r="G1730" s="117">
        <f>IF(COUNTA(B1730:E1730)=0,"",IF(COUNTA(B1730:E1730)&lt;4,"⚠ กรอกไม่ครบ",IF(NOT(ISNUMBER(B1730)),"⚠ วันที่ไม่ถูกต้อง",IF(COUNTIFS(Setup!$L$6:$L$60,D1730,Setup!$M$6:$M$60,C1730)=0,"⚠ หมวดไม่ตรงประเภท","✓"))))</f>
        <v/>
      </c>
    </row>
    <row r="1731">
      <c r="B1731" s="113" t="n"/>
      <c r="C1731" s="114" t="n"/>
      <c r="D1731" s="115" t="n"/>
      <c r="E1731" s="116" t="n"/>
      <c r="F1731" s="115" t="n"/>
      <c r="G1731" s="117">
        <f>IF(COUNTA(B1731:E1731)=0,"",IF(COUNTA(B1731:E1731)&lt;4,"⚠ กรอกไม่ครบ",IF(NOT(ISNUMBER(B1731)),"⚠ วันที่ไม่ถูกต้อง",IF(COUNTIFS(Setup!$L$6:$L$60,D1731,Setup!$M$6:$M$60,C1731)=0,"⚠ หมวดไม่ตรงประเภท","✓"))))</f>
        <v/>
      </c>
    </row>
    <row r="1732">
      <c r="B1732" s="113" t="n"/>
      <c r="C1732" s="114" t="n"/>
      <c r="D1732" s="115" t="n"/>
      <c r="E1732" s="116" t="n"/>
      <c r="F1732" s="115" t="n"/>
      <c r="G1732" s="117">
        <f>IF(COUNTA(B1732:E1732)=0,"",IF(COUNTA(B1732:E1732)&lt;4,"⚠ กรอกไม่ครบ",IF(NOT(ISNUMBER(B1732)),"⚠ วันที่ไม่ถูกต้อง",IF(COUNTIFS(Setup!$L$6:$L$60,D1732,Setup!$M$6:$M$60,C1732)=0,"⚠ หมวดไม่ตรงประเภท","✓"))))</f>
        <v/>
      </c>
    </row>
    <row r="1733">
      <c r="B1733" s="113" t="n"/>
      <c r="C1733" s="114" t="n"/>
      <c r="D1733" s="115" t="n"/>
      <c r="E1733" s="116" t="n"/>
      <c r="F1733" s="115" t="n"/>
      <c r="G1733" s="117">
        <f>IF(COUNTA(B1733:E1733)=0,"",IF(COUNTA(B1733:E1733)&lt;4,"⚠ กรอกไม่ครบ",IF(NOT(ISNUMBER(B1733)),"⚠ วันที่ไม่ถูกต้อง",IF(COUNTIFS(Setup!$L$6:$L$60,D1733,Setup!$M$6:$M$60,C1733)=0,"⚠ หมวดไม่ตรงประเภท","✓"))))</f>
        <v/>
      </c>
    </row>
    <row r="1734">
      <c r="B1734" s="113" t="n"/>
      <c r="C1734" s="114" t="n"/>
      <c r="D1734" s="115" t="n"/>
      <c r="E1734" s="116" t="n"/>
      <c r="F1734" s="115" t="n"/>
      <c r="G1734" s="117">
        <f>IF(COUNTA(B1734:E1734)=0,"",IF(COUNTA(B1734:E1734)&lt;4,"⚠ กรอกไม่ครบ",IF(NOT(ISNUMBER(B1734)),"⚠ วันที่ไม่ถูกต้อง",IF(COUNTIFS(Setup!$L$6:$L$60,D1734,Setup!$M$6:$M$60,C1734)=0,"⚠ หมวดไม่ตรงประเภท","✓"))))</f>
        <v/>
      </c>
    </row>
    <row r="1735">
      <c r="B1735" s="113" t="n"/>
      <c r="C1735" s="114" t="n"/>
      <c r="D1735" s="115" t="n"/>
      <c r="E1735" s="116" t="n"/>
      <c r="F1735" s="115" t="n"/>
      <c r="G1735" s="117">
        <f>IF(COUNTA(B1735:E1735)=0,"",IF(COUNTA(B1735:E1735)&lt;4,"⚠ กรอกไม่ครบ",IF(NOT(ISNUMBER(B1735)),"⚠ วันที่ไม่ถูกต้อง",IF(COUNTIFS(Setup!$L$6:$L$60,D1735,Setup!$M$6:$M$60,C1735)=0,"⚠ หมวดไม่ตรงประเภท","✓"))))</f>
        <v/>
      </c>
    </row>
    <row r="1736">
      <c r="B1736" s="113" t="n"/>
      <c r="C1736" s="114" t="n"/>
      <c r="D1736" s="115" t="n"/>
      <c r="E1736" s="116" t="n"/>
      <c r="F1736" s="115" t="n"/>
      <c r="G1736" s="117">
        <f>IF(COUNTA(B1736:E1736)=0,"",IF(COUNTA(B1736:E1736)&lt;4,"⚠ กรอกไม่ครบ",IF(NOT(ISNUMBER(B1736)),"⚠ วันที่ไม่ถูกต้อง",IF(COUNTIFS(Setup!$L$6:$L$60,D1736,Setup!$M$6:$M$60,C1736)=0,"⚠ หมวดไม่ตรงประเภท","✓"))))</f>
        <v/>
      </c>
    </row>
    <row r="1737">
      <c r="B1737" s="113" t="n"/>
      <c r="C1737" s="114" t="n"/>
      <c r="D1737" s="115" t="n"/>
      <c r="E1737" s="116" t="n"/>
      <c r="F1737" s="115" t="n"/>
      <c r="G1737" s="117">
        <f>IF(COUNTA(B1737:E1737)=0,"",IF(COUNTA(B1737:E1737)&lt;4,"⚠ กรอกไม่ครบ",IF(NOT(ISNUMBER(B1737)),"⚠ วันที่ไม่ถูกต้อง",IF(COUNTIFS(Setup!$L$6:$L$60,D1737,Setup!$M$6:$M$60,C1737)=0,"⚠ หมวดไม่ตรงประเภท","✓"))))</f>
        <v/>
      </c>
    </row>
    <row r="1738">
      <c r="B1738" s="113" t="n"/>
      <c r="C1738" s="114" t="n"/>
      <c r="D1738" s="115" t="n"/>
      <c r="E1738" s="116" t="n"/>
      <c r="F1738" s="115" t="n"/>
      <c r="G1738" s="117">
        <f>IF(COUNTA(B1738:E1738)=0,"",IF(COUNTA(B1738:E1738)&lt;4,"⚠ กรอกไม่ครบ",IF(NOT(ISNUMBER(B1738)),"⚠ วันที่ไม่ถูกต้อง",IF(COUNTIFS(Setup!$L$6:$L$60,D1738,Setup!$M$6:$M$60,C1738)=0,"⚠ หมวดไม่ตรงประเภท","✓"))))</f>
        <v/>
      </c>
    </row>
    <row r="1739">
      <c r="B1739" s="113" t="n"/>
      <c r="C1739" s="114" t="n"/>
      <c r="D1739" s="115" t="n"/>
      <c r="E1739" s="116" t="n"/>
      <c r="F1739" s="115" t="n"/>
      <c r="G1739" s="117">
        <f>IF(COUNTA(B1739:E1739)=0,"",IF(COUNTA(B1739:E1739)&lt;4,"⚠ กรอกไม่ครบ",IF(NOT(ISNUMBER(B1739)),"⚠ วันที่ไม่ถูกต้อง",IF(COUNTIFS(Setup!$L$6:$L$60,D1739,Setup!$M$6:$M$60,C1739)=0,"⚠ หมวดไม่ตรงประเภท","✓"))))</f>
        <v/>
      </c>
    </row>
    <row r="1740">
      <c r="B1740" s="113" t="n"/>
      <c r="C1740" s="114" t="n"/>
      <c r="D1740" s="115" t="n"/>
      <c r="E1740" s="116" t="n"/>
      <c r="F1740" s="115" t="n"/>
      <c r="G1740" s="117">
        <f>IF(COUNTA(B1740:E1740)=0,"",IF(COUNTA(B1740:E1740)&lt;4,"⚠ กรอกไม่ครบ",IF(NOT(ISNUMBER(B1740)),"⚠ วันที่ไม่ถูกต้อง",IF(COUNTIFS(Setup!$L$6:$L$60,D1740,Setup!$M$6:$M$60,C1740)=0,"⚠ หมวดไม่ตรงประเภท","✓"))))</f>
        <v/>
      </c>
    </row>
    <row r="1741">
      <c r="B1741" s="113" t="n"/>
      <c r="C1741" s="114" t="n"/>
      <c r="D1741" s="115" t="n"/>
      <c r="E1741" s="116" t="n"/>
      <c r="F1741" s="115" t="n"/>
      <c r="G1741" s="117">
        <f>IF(COUNTA(B1741:E1741)=0,"",IF(COUNTA(B1741:E1741)&lt;4,"⚠ กรอกไม่ครบ",IF(NOT(ISNUMBER(B1741)),"⚠ วันที่ไม่ถูกต้อง",IF(COUNTIFS(Setup!$L$6:$L$60,D1741,Setup!$M$6:$M$60,C1741)=0,"⚠ หมวดไม่ตรงประเภท","✓"))))</f>
        <v/>
      </c>
    </row>
    <row r="1742">
      <c r="B1742" s="113" t="n"/>
      <c r="C1742" s="114" t="n"/>
      <c r="D1742" s="115" t="n"/>
      <c r="E1742" s="116" t="n"/>
      <c r="F1742" s="115" t="n"/>
      <c r="G1742" s="117">
        <f>IF(COUNTA(B1742:E1742)=0,"",IF(COUNTA(B1742:E1742)&lt;4,"⚠ กรอกไม่ครบ",IF(NOT(ISNUMBER(B1742)),"⚠ วันที่ไม่ถูกต้อง",IF(COUNTIFS(Setup!$L$6:$L$60,D1742,Setup!$M$6:$M$60,C1742)=0,"⚠ หมวดไม่ตรงประเภท","✓"))))</f>
        <v/>
      </c>
    </row>
    <row r="1743">
      <c r="B1743" s="113" t="n"/>
      <c r="C1743" s="114" t="n"/>
      <c r="D1743" s="115" t="n"/>
      <c r="E1743" s="116" t="n"/>
      <c r="F1743" s="115" t="n"/>
      <c r="G1743" s="117">
        <f>IF(COUNTA(B1743:E1743)=0,"",IF(COUNTA(B1743:E1743)&lt;4,"⚠ กรอกไม่ครบ",IF(NOT(ISNUMBER(B1743)),"⚠ วันที่ไม่ถูกต้อง",IF(COUNTIFS(Setup!$L$6:$L$60,D1743,Setup!$M$6:$M$60,C1743)=0,"⚠ หมวดไม่ตรงประเภท","✓"))))</f>
        <v/>
      </c>
    </row>
    <row r="1744">
      <c r="B1744" s="113" t="n"/>
      <c r="C1744" s="114" t="n"/>
      <c r="D1744" s="115" t="n"/>
      <c r="E1744" s="116" t="n"/>
      <c r="F1744" s="115" t="n"/>
      <c r="G1744" s="117">
        <f>IF(COUNTA(B1744:E1744)=0,"",IF(COUNTA(B1744:E1744)&lt;4,"⚠ กรอกไม่ครบ",IF(NOT(ISNUMBER(B1744)),"⚠ วันที่ไม่ถูกต้อง",IF(COUNTIFS(Setup!$L$6:$L$60,D1744,Setup!$M$6:$M$60,C1744)=0,"⚠ หมวดไม่ตรงประเภท","✓"))))</f>
        <v/>
      </c>
    </row>
    <row r="1745">
      <c r="B1745" s="113" t="n"/>
      <c r="C1745" s="114" t="n"/>
      <c r="D1745" s="115" t="n"/>
      <c r="E1745" s="116" t="n"/>
      <c r="F1745" s="115" t="n"/>
      <c r="G1745" s="117">
        <f>IF(COUNTA(B1745:E1745)=0,"",IF(COUNTA(B1745:E1745)&lt;4,"⚠ กรอกไม่ครบ",IF(NOT(ISNUMBER(B1745)),"⚠ วันที่ไม่ถูกต้อง",IF(COUNTIFS(Setup!$L$6:$L$60,D1745,Setup!$M$6:$M$60,C1745)=0,"⚠ หมวดไม่ตรงประเภท","✓"))))</f>
        <v/>
      </c>
    </row>
    <row r="1746">
      <c r="B1746" s="113" t="n"/>
      <c r="C1746" s="114" t="n"/>
      <c r="D1746" s="115" t="n"/>
      <c r="E1746" s="116" t="n"/>
      <c r="F1746" s="115" t="n"/>
      <c r="G1746" s="117">
        <f>IF(COUNTA(B1746:E1746)=0,"",IF(COUNTA(B1746:E1746)&lt;4,"⚠ กรอกไม่ครบ",IF(NOT(ISNUMBER(B1746)),"⚠ วันที่ไม่ถูกต้อง",IF(COUNTIFS(Setup!$L$6:$L$60,D1746,Setup!$M$6:$M$60,C1746)=0,"⚠ หมวดไม่ตรงประเภท","✓"))))</f>
        <v/>
      </c>
    </row>
    <row r="1747">
      <c r="B1747" s="113" t="n"/>
      <c r="C1747" s="114" t="n"/>
      <c r="D1747" s="115" t="n"/>
      <c r="E1747" s="116" t="n"/>
      <c r="F1747" s="115" t="n"/>
      <c r="G1747" s="117">
        <f>IF(COUNTA(B1747:E1747)=0,"",IF(COUNTA(B1747:E1747)&lt;4,"⚠ กรอกไม่ครบ",IF(NOT(ISNUMBER(B1747)),"⚠ วันที่ไม่ถูกต้อง",IF(COUNTIFS(Setup!$L$6:$L$60,D1747,Setup!$M$6:$M$60,C1747)=0,"⚠ หมวดไม่ตรงประเภท","✓"))))</f>
        <v/>
      </c>
    </row>
    <row r="1748">
      <c r="B1748" s="113" t="n"/>
      <c r="C1748" s="114" t="n"/>
      <c r="D1748" s="115" t="n"/>
      <c r="E1748" s="116" t="n"/>
      <c r="F1748" s="115" t="n"/>
      <c r="G1748" s="117">
        <f>IF(COUNTA(B1748:E1748)=0,"",IF(COUNTA(B1748:E1748)&lt;4,"⚠ กรอกไม่ครบ",IF(NOT(ISNUMBER(B1748)),"⚠ วันที่ไม่ถูกต้อง",IF(COUNTIFS(Setup!$L$6:$L$60,D1748,Setup!$M$6:$M$60,C1748)=0,"⚠ หมวดไม่ตรงประเภท","✓"))))</f>
        <v/>
      </c>
    </row>
    <row r="1749">
      <c r="B1749" s="113" t="n"/>
      <c r="C1749" s="114" t="n"/>
      <c r="D1749" s="115" t="n"/>
      <c r="E1749" s="116" t="n"/>
      <c r="F1749" s="115" t="n"/>
      <c r="G1749" s="117">
        <f>IF(COUNTA(B1749:E1749)=0,"",IF(COUNTA(B1749:E1749)&lt;4,"⚠ กรอกไม่ครบ",IF(NOT(ISNUMBER(B1749)),"⚠ วันที่ไม่ถูกต้อง",IF(COUNTIFS(Setup!$L$6:$L$60,D1749,Setup!$M$6:$M$60,C1749)=0,"⚠ หมวดไม่ตรงประเภท","✓"))))</f>
        <v/>
      </c>
    </row>
    <row r="1750">
      <c r="B1750" s="113" t="n"/>
      <c r="C1750" s="114" t="n"/>
      <c r="D1750" s="115" t="n"/>
      <c r="E1750" s="116" t="n"/>
      <c r="F1750" s="115" t="n"/>
      <c r="G1750" s="117">
        <f>IF(COUNTA(B1750:E1750)=0,"",IF(COUNTA(B1750:E1750)&lt;4,"⚠ กรอกไม่ครบ",IF(NOT(ISNUMBER(B1750)),"⚠ วันที่ไม่ถูกต้อง",IF(COUNTIFS(Setup!$L$6:$L$60,D1750,Setup!$M$6:$M$60,C1750)=0,"⚠ หมวดไม่ตรงประเภท","✓"))))</f>
        <v/>
      </c>
    </row>
    <row r="1751">
      <c r="B1751" s="113" t="n"/>
      <c r="C1751" s="114" t="n"/>
      <c r="D1751" s="115" t="n"/>
      <c r="E1751" s="116" t="n"/>
      <c r="F1751" s="115" t="n"/>
      <c r="G1751" s="117">
        <f>IF(COUNTA(B1751:E1751)=0,"",IF(COUNTA(B1751:E1751)&lt;4,"⚠ กรอกไม่ครบ",IF(NOT(ISNUMBER(B1751)),"⚠ วันที่ไม่ถูกต้อง",IF(COUNTIFS(Setup!$L$6:$L$60,D1751,Setup!$M$6:$M$60,C1751)=0,"⚠ หมวดไม่ตรงประเภท","✓"))))</f>
        <v/>
      </c>
    </row>
    <row r="1752">
      <c r="B1752" s="113" t="n"/>
      <c r="C1752" s="114" t="n"/>
      <c r="D1752" s="115" t="n"/>
      <c r="E1752" s="116" t="n"/>
      <c r="F1752" s="115" t="n"/>
      <c r="G1752" s="117">
        <f>IF(COUNTA(B1752:E1752)=0,"",IF(COUNTA(B1752:E1752)&lt;4,"⚠ กรอกไม่ครบ",IF(NOT(ISNUMBER(B1752)),"⚠ วันที่ไม่ถูกต้อง",IF(COUNTIFS(Setup!$L$6:$L$60,D1752,Setup!$M$6:$M$60,C1752)=0,"⚠ หมวดไม่ตรงประเภท","✓"))))</f>
        <v/>
      </c>
    </row>
    <row r="1753">
      <c r="B1753" s="113" t="n"/>
      <c r="C1753" s="114" t="n"/>
      <c r="D1753" s="115" t="n"/>
      <c r="E1753" s="116" t="n"/>
      <c r="F1753" s="115" t="n"/>
      <c r="G1753" s="117">
        <f>IF(COUNTA(B1753:E1753)=0,"",IF(COUNTA(B1753:E1753)&lt;4,"⚠ กรอกไม่ครบ",IF(NOT(ISNUMBER(B1753)),"⚠ วันที่ไม่ถูกต้อง",IF(COUNTIFS(Setup!$L$6:$L$60,D1753,Setup!$M$6:$M$60,C1753)=0,"⚠ หมวดไม่ตรงประเภท","✓"))))</f>
        <v/>
      </c>
    </row>
    <row r="1754">
      <c r="B1754" s="113" t="n"/>
      <c r="C1754" s="114" t="n"/>
      <c r="D1754" s="115" t="n"/>
      <c r="E1754" s="116" t="n"/>
      <c r="F1754" s="115" t="n"/>
      <c r="G1754" s="117">
        <f>IF(COUNTA(B1754:E1754)=0,"",IF(COUNTA(B1754:E1754)&lt;4,"⚠ กรอกไม่ครบ",IF(NOT(ISNUMBER(B1754)),"⚠ วันที่ไม่ถูกต้อง",IF(COUNTIFS(Setup!$L$6:$L$60,D1754,Setup!$M$6:$M$60,C1754)=0,"⚠ หมวดไม่ตรงประเภท","✓"))))</f>
        <v/>
      </c>
    </row>
    <row r="1755">
      <c r="B1755" s="113" t="n"/>
      <c r="C1755" s="114" t="n"/>
      <c r="D1755" s="115" t="n"/>
      <c r="E1755" s="116" t="n"/>
      <c r="F1755" s="115" t="n"/>
      <c r="G1755" s="117">
        <f>IF(COUNTA(B1755:E1755)=0,"",IF(COUNTA(B1755:E1755)&lt;4,"⚠ กรอกไม่ครบ",IF(NOT(ISNUMBER(B1755)),"⚠ วันที่ไม่ถูกต้อง",IF(COUNTIFS(Setup!$L$6:$L$60,D1755,Setup!$M$6:$M$60,C1755)=0,"⚠ หมวดไม่ตรงประเภท","✓"))))</f>
        <v/>
      </c>
    </row>
    <row r="1756">
      <c r="B1756" s="113" t="n"/>
      <c r="C1756" s="114" t="n"/>
      <c r="D1756" s="115" t="n"/>
      <c r="E1756" s="116" t="n"/>
      <c r="F1756" s="115" t="n"/>
      <c r="G1756" s="117">
        <f>IF(COUNTA(B1756:E1756)=0,"",IF(COUNTA(B1756:E1756)&lt;4,"⚠ กรอกไม่ครบ",IF(NOT(ISNUMBER(B1756)),"⚠ วันที่ไม่ถูกต้อง",IF(COUNTIFS(Setup!$L$6:$L$60,D1756,Setup!$M$6:$M$60,C1756)=0,"⚠ หมวดไม่ตรงประเภท","✓"))))</f>
        <v/>
      </c>
    </row>
    <row r="1757">
      <c r="B1757" s="113" t="n"/>
      <c r="C1757" s="114" t="n"/>
      <c r="D1757" s="115" t="n"/>
      <c r="E1757" s="116" t="n"/>
      <c r="F1757" s="115" t="n"/>
      <c r="G1757" s="117">
        <f>IF(COUNTA(B1757:E1757)=0,"",IF(COUNTA(B1757:E1757)&lt;4,"⚠ กรอกไม่ครบ",IF(NOT(ISNUMBER(B1757)),"⚠ วันที่ไม่ถูกต้อง",IF(COUNTIFS(Setup!$L$6:$L$60,D1757,Setup!$M$6:$M$60,C1757)=0,"⚠ หมวดไม่ตรงประเภท","✓"))))</f>
        <v/>
      </c>
    </row>
    <row r="1758">
      <c r="B1758" s="113" t="n"/>
      <c r="C1758" s="114" t="n"/>
      <c r="D1758" s="115" t="n"/>
      <c r="E1758" s="116" t="n"/>
      <c r="F1758" s="115" t="n"/>
      <c r="G1758" s="117">
        <f>IF(COUNTA(B1758:E1758)=0,"",IF(COUNTA(B1758:E1758)&lt;4,"⚠ กรอกไม่ครบ",IF(NOT(ISNUMBER(B1758)),"⚠ วันที่ไม่ถูกต้อง",IF(COUNTIFS(Setup!$L$6:$L$60,D1758,Setup!$M$6:$M$60,C1758)=0,"⚠ หมวดไม่ตรงประเภท","✓"))))</f>
        <v/>
      </c>
    </row>
    <row r="1759">
      <c r="B1759" s="113" t="n"/>
      <c r="C1759" s="114" t="n"/>
      <c r="D1759" s="115" t="n"/>
      <c r="E1759" s="116" t="n"/>
      <c r="F1759" s="115" t="n"/>
      <c r="G1759" s="117">
        <f>IF(COUNTA(B1759:E1759)=0,"",IF(COUNTA(B1759:E1759)&lt;4,"⚠ กรอกไม่ครบ",IF(NOT(ISNUMBER(B1759)),"⚠ วันที่ไม่ถูกต้อง",IF(COUNTIFS(Setup!$L$6:$L$60,D1759,Setup!$M$6:$M$60,C1759)=0,"⚠ หมวดไม่ตรงประเภท","✓"))))</f>
        <v/>
      </c>
    </row>
    <row r="1760">
      <c r="B1760" s="113" t="n"/>
      <c r="C1760" s="114" t="n"/>
      <c r="D1760" s="115" t="n"/>
      <c r="E1760" s="116" t="n"/>
      <c r="F1760" s="115" t="n"/>
      <c r="G1760" s="117">
        <f>IF(COUNTA(B1760:E1760)=0,"",IF(COUNTA(B1760:E1760)&lt;4,"⚠ กรอกไม่ครบ",IF(NOT(ISNUMBER(B1760)),"⚠ วันที่ไม่ถูกต้อง",IF(COUNTIFS(Setup!$L$6:$L$60,D1760,Setup!$M$6:$M$60,C1760)=0,"⚠ หมวดไม่ตรงประเภท","✓"))))</f>
        <v/>
      </c>
    </row>
    <row r="1761">
      <c r="B1761" s="113" t="n"/>
      <c r="C1761" s="114" t="n"/>
      <c r="D1761" s="115" t="n"/>
      <c r="E1761" s="116" t="n"/>
      <c r="F1761" s="115" t="n"/>
      <c r="G1761" s="117">
        <f>IF(COUNTA(B1761:E1761)=0,"",IF(COUNTA(B1761:E1761)&lt;4,"⚠ กรอกไม่ครบ",IF(NOT(ISNUMBER(B1761)),"⚠ วันที่ไม่ถูกต้อง",IF(COUNTIFS(Setup!$L$6:$L$60,D1761,Setup!$M$6:$M$60,C1761)=0,"⚠ หมวดไม่ตรงประเภท","✓"))))</f>
        <v/>
      </c>
    </row>
    <row r="1762">
      <c r="B1762" s="113" t="n"/>
      <c r="C1762" s="114" t="n"/>
      <c r="D1762" s="115" t="n"/>
      <c r="E1762" s="116" t="n"/>
      <c r="F1762" s="115" t="n"/>
      <c r="G1762" s="117">
        <f>IF(COUNTA(B1762:E1762)=0,"",IF(COUNTA(B1762:E1762)&lt;4,"⚠ กรอกไม่ครบ",IF(NOT(ISNUMBER(B1762)),"⚠ วันที่ไม่ถูกต้อง",IF(COUNTIFS(Setup!$L$6:$L$60,D1762,Setup!$M$6:$M$60,C1762)=0,"⚠ หมวดไม่ตรงประเภท","✓"))))</f>
        <v/>
      </c>
    </row>
    <row r="1763">
      <c r="B1763" s="113" t="n"/>
      <c r="C1763" s="114" t="n"/>
      <c r="D1763" s="115" t="n"/>
      <c r="E1763" s="116" t="n"/>
      <c r="F1763" s="115" t="n"/>
      <c r="G1763" s="117">
        <f>IF(COUNTA(B1763:E1763)=0,"",IF(COUNTA(B1763:E1763)&lt;4,"⚠ กรอกไม่ครบ",IF(NOT(ISNUMBER(B1763)),"⚠ วันที่ไม่ถูกต้อง",IF(COUNTIFS(Setup!$L$6:$L$60,D1763,Setup!$M$6:$M$60,C1763)=0,"⚠ หมวดไม่ตรงประเภท","✓"))))</f>
        <v/>
      </c>
    </row>
    <row r="1764">
      <c r="B1764" s="113" t="n"/>
      <c r="C1764" s="114" t="n"/>
      <c r="D1764" s="115" t="n"/>
      <c r="E1764" s="116" t="n"/>
      <c r="F1764" s="115" t="n"/>
      <c r="G1764" s="117">
        <f>IF(COUNTA(B1764:E1764)=0,"",IF(COUNTA(B1764:E1764)&lt;4,"⚠ กรอกไม่ครบ",IF(NOT(ISNUMBER(B1764)),"⚠ วันที่ไม่ถูกต้อง",IF(COUNTIFS(Setup!$L$6:$L$60,D1764,Setup!$M$6:$M$60,C1764)=0,"⚠ หมวดไม่ตรงประเภท","✓"))))</f>
        <v/>
      </c>
    </row>
    <row r="1765">
      <c r="B1765" s="113" t="n"/>
      <c r="C1765" s="114" t="n"/>
      <c r="D1765" s="115" t="n"/>
      <c r="E1765" s="116" t="n"/>
      <c r="F1765" s="115" t="n"/>
      <c r="G1765" s="117">
        <f>IF(COUNTA(B1765:E1765)=0,"",IF(COUNTA(B1765:E1765)&lt;4,"⚠ กรอกไม่ครบ",IF(NOT(ISNUMBER(B1765)),"⚠ วันที่ไม่ถูกต้อง",IF(COUNTIFS(Setup!$L$6:$L$60,D1765,Setup!$M$6:$M$60,C1765)=0,"⚠ หมวดไม่ตรงประเภท","✓"))))</f>
        <v/>
      </c>
    </row>
    <row r="1766">
      <c r="B1766" s="113" t="n"/>
      <c r="C1766" s="114" t="n"/>
      <c r="D1766" s="115" t="n"/>
      <c r="E1766" s="116" t="n"/>
      <c r="F1766" s="115" t="n"/>
      <c r="G1766" s="117">
        <f>IF(COUNTA(B1766:E1766)=0,"",IF(COUNTA(B1766:E1766)&lt;4,"⚠ กรอกไม่ครบ",IF(NOT(ISNUMBER(B1766)),"⚠ วันที่ไม่ถูกต้อง",IF(COUNTIFS(Setup!$L$6:$L$60,D1766,Setup!$M$6:$M$60,C1766)=0,"⚠ หมวดไม่ตรงประเภท","✓"))))</f>
        <v/>
      </c>
    </row>
    <row r="1767">
      <c r="B1767" s="113" t="n"/>
      <c r="C1767" s="114" t="n"/>
      <c r="D1767" s="115" t="n"/>
      <c r="E1767" s="116" t="n"/>
      <c r="F1767" s="115" t="n"/>
      <c r="G1767" s="117">
        <f>IF(COUNTA(B1767:E1767)=0,"",IF(COUNTA(B1767:E1767)&lt;4,"⚠ กรอกไม่ครบ",IF(NOT(ISNUMBER(B1767)),"⚠ วันที่ไม่ถูกต้อง",IF(COUNTIFS(Setup!$L$6:$L$60,D1767,Setup!$M$6:$M$60,C1767)=0,"⚠ หมวดไม่ตรงประเภท","✓"))))</f>
        <v/>
      </c>
    </row>
    <row r="1768">
      <c r="B1768" s="113" t="n"/>
      <c r="C1768" s="114" t="n"/>
      <c r="D1768" s="115" t="n"/>
      <c r="E1768" s="116" t="n"/>
      <c r="F1768" s="115" t="n"/>
      <c r="G1768" s="117">
        <f>IF(COUNTA(B1768:E1768)=0,"",IF(COUNTA(B1768:E1768)&lt;4,"⚠ กรอกไม่ครบ",IF(NOT(ISNUMBER(B1768)),"⚠ วันที่ไม่ถูกต้อง",IF(COUNTIFS(Setup!$L$6:$L$60,D1768,Setup!$M$6:$M$60,C1768)=0,"⚠ หมวดไม่ตรงประเภท","✓"))))</f>
        <v/>
      </c>
    </row>
    <row r="1769">
      <c r="B1769" s="113" t="n"/>
      <c r="C1769" s="114" t="n"/>
      <c r="D1769" s="115" t="n"/>
      <c r="E1769" s="116" t="n"/>
      <c r="F1769" s="115" t="n"/>
      <c r="G1769" s="117">
        <f>IF(COUNTA(B1769:E1769)=0,"",IF(COUNTA(B1769:E1769)&lt;4,"⚠ กรอกไม่ครบ",IF(NOT(ISNUMBER(B1769)),"⚠ วันที่ไม่ถูกต้อง",IF(COUNTIFS(Setup!$L$6:$L$60,D1769,Setup!$M$6:$M$60,C1769)=0,"⚠ หมวดไม่ตรงประเภท","✓"))))</f>
        <v/>
      </c>
    </row>
    <row r="1770">
      <c r="B1770" s="113" t="n"/>
      <c r="C1770" s="114" t="n"/>
      <c r="D1770" s="115" t="n"/>
      <c r="E1770" s="116" t="n"/>
      <c r="F1770" s="115" t="n"/>
      <c r="G1770" s="117">
        <f>IF(COUNTA(B1770:E1770)=0,"",IF(COUNTA(B1770:E1770)&lt;4,"⚠ กรอกไม่ครบ",IF(NOT(ISNUMBER(B1770)),"⚠ วันที่ไม่ถูกต้อง",IF(COUNTIFS(Setup!$L$6:$L$60,D1770,Setup!$M$6:$M$60,C1770)=0,"⚠ หมวดไม่ตรงประเภท","✓"))))</f>
        <v/>
      </c>
    </row>
    <row r="1771">
      <c r="B1771" s="113" t="n"/>
      <c r="C1771" s="114" t="n"/>
      <c r="D1771" s="115" t="n"/>
      <c r="E1771" s="116" t="n"/>
      <c r="F1771" s="115" t="n"/>
      <c r="G1771" s="117">
        <f>IF(COUNTA(B1771:E1771)=0,"",IF(COUNTA(B1771:E1771)&lt;4,"⚠ กรอกไม่ครบ",IF(NOT(ISNUMBER(B1771)),"⚠ วันที่ไม่ถูกต้อง",IF(COUNTIFS(Setup!$L$6:$L$60,D1771,Setup!$M$6:$M$60,C1771)=0,"⚠ หมวดไม่ตรงประเภท","✓"))))</f>
        <v/>
      </c>
    </row>
    <row r="1772">
      <c r="B1772" s="113" t="n"/>
      <c r="C1772" s="114" t="n"/>
      <c r="D1772" s="115" t="n"/>
      <c r="E1772" s="116" t="n"/>
      <c r="F1772" s="115" t="n"/>
      <c r="G1772" s="117">
        <f>IF(COUNTA(B1772:E1772)=0,"",IF(COUNTA(B1772:E1772)&lt;4,"⚠ กรอกไม่ครบ",IF(NOT(ISNUMBER(B1772)),"⚠ วันที่ไม่ถูกต้อง",IF(COUNTIFS(Setup!$L$6:$L$60,D1772,Setup!$M$6:$M$60,C1772)=0,"⚠ หมวดไม่ตรงประเภท","✓"))))</f>
        <v/>
      </c>
    </row>
    <row r="1773">
      <c r="B1773" s="113" t="n"/>
      <c r="C1773" s="114" t="n"/>
      <c r="D1773" s="115" t="n"/>
      <c r="E1773" s="116" t="n"/>
      <c r="F1773" s="115" t="n"/>
      <c r="G1773" s="117">
        <f>IF(COUNTA(B1773:E1773)=0,"",IF(COUNTA(B1773:E1773)&lt;4,"⚠ กรอกไม่ครบ",IF(NOT(ISNUMBER(B1773)),"⚠ วันที่ไม่ถูกต้อง",IF(COUNTIFS(Setup!$L$6:$L$60,D1773,Setup!$M$6:$M$60,C1773)=0,"⚠ หมวดไม่ตรงประเภท","✓"))))</f>
        <v/>
      </c>
    </row>
    <row r="1774">
      <c r="B1774" s="113" t="n"/>
      <c r="C1774" s="114" t="n"/>
      <c r="D1774" s="115" t="n"/>
      <c r="E1774" s="116" t="n"/>
      <c r="F1774" s="115" t="n"/>
      <c r="G1774" s="117">
        <f>IF(COUNTA(B1774:E1774)=0,"",IF(COUNTA(B1774:E1774)&lt;4,"⚠ กรอกไม่ครบ",IF(NOT(ISNUMBER(B1774)),"⚠ วันที่ไม่ถูกต้อง",IF(COUNTIFS(Setup!$L$6:$L$60,D1774,Setup!$M$6:$M$60,C1774)=0,"⚠ หมวดไม่ตรงประเภท","✓"))))</f>
        <v/>
      </c>
    </row>
    <row r="1775">
      <c r="B1775" s="113" t="n"/>
      <c r="C1775" s="114" t="n"/>
      <c r="D1775" s="115" t="n"/>
      <c r="E1775" s="116" t="n"/>
      <c r="F1775" s="115" t="n"/>
      <c r="G1775" s="117">
        <f>IF(COUNTA(B1775:E1775)=0,"",IF(COUNTA(B1775:E1775)&lt;4,"⚠ กรอกไม่ครบ",IF(NOT(ISNUMBER(B1775)),"⚠ วันที่ไม่ถูกต้อง",IF(COUNTIFS(Setup!$L$6:$L$60,D1775,Setup!$M$6:$M$60,C1775)=0,"⚠ หมวดไม่ตรงประเภท","✓"))))</f>
        <v/>
      </c>
    </row>
    <row r="1776">
      <c r="B1776" s="113" t="n"/>
      <c r="C1776" s="114" t="n"/>
      <c r="D1776" s="115" t="n"/>
      <c r="E1776" s="116" t="n"/>
      <c r="F1776" s="115" t="n"/>
      <c r="G1776" s="117">
        <f>IF(COUNTA(B1776:E1776)=0,"",IF(COUNTA(B1776:E1776)&lt;4,"⚠ กรอกไม่ครบ",IF(NOT(ISNUMBER(B1776)),"⚠ วันที่ไม่ถูกต้อง",IF(COUNTIFS(Setup!$L$6:$L$60,D1776,Setup!$M$6:$M$60,C1776)=0,"⚠ หมวดไม่ตรงประเภท","✓"))))</f>
        <v/>
      </c>
    </row>
    <row r="1777">
      <c r="B1777" s="113" t="n"/>
      <c r="C1777" s="114" t="n"/>
      <c r="D1777" s="115" t="n"/>
      <c r="E1777" s="116" t="n"/>
      <c r="F1777" s="115" t="n"/>
      <c r="G1777" s="117">
        <f>IF(COUNTA(B1777:E1777)=0,"",IF(COUNTA(B1777:E1777)&lt;4,"⚠ กรอกไม่ครบ",IF(NOT(ISNUMBER(B1777)),"⚠ วันที่ไม่ถูกต้อง",IF(COUNTIFS(Setup!$L$6:$L$60,D1777,Setup!$M$6:$M$60,C1777)=0,"⚠ หมวดไม่ตรงประเภท","✓"))))</f>
        <v/>
      </c>
    </row>
    <row r="1778">
      <c r="B1778" s="113" t="n"/>
      <c r="C1778" s="114" t="n"/>
      <c r="D1778" s="115" t="n"/>
      <c r="E1778" s="116" t="n"/>
      <c r="F1778" s="115" t="n"/>
      <c r="G1778" s="117">
        <f>IF(COUNTA(B1778:E1778)=0,"",IF(COUNTA(B1778:E1778)&lt;4,"⚠ กรอกไม่ครบ",IF(NOT(ISNUMBER(B1778)),"⚠ วันที่ไม่ถูกต้อง",IF(COUNTIFS(Setup!$L$6:$L$60,D1778,Setup!$M$6:$M$60,C1778)=0,"⚠ หมวดไม่ตรงประเภท","✓"))))</f>
        <v/>
      </c>
    </row>
    <row r="1779">
      <c r="B1779" s="113" t="n"/>
      <c r="C1779" s="114" t="n"/>
      <c r="D1779" s="115" t="n"/>
      <c r="E1779" s="116" t="n"/>
      <c r="F1779" s="115" t="n"/>
      <c r="G1779" s="117">
        <f>IF(COUNTA(B1779:E1779)=0,"",IF(COUNTA(B1779:E1779)&lt;4,"⚠ กรอกไม่ครบ",IF(NOT(ISNUMBER(B1779)),"⚠ วันที่ไม่ถูกต้อง",IF(COUNTIFS(Setup!$L$6:$L$60,D1779,Setup!$M$6:$M$60,C1779)=0,"⚠ หมวดไม่ตรงประเภท","✓"))))</f>
        <v/>
      </c>
    </row>
    <row r="1780">
      <c r="B1780" s="113" t="n"/>
      <c r="C1780" s="114" t="n"/>
      <c r="D1780" s="115" t="n"/>
      <c r="E1780" s="116" t="n"/>
      <c r="F1780" s="115" t="n"/>
      <c r="G1780" s="117">
        <f>IF(COUNTA(B1780:E1780)=0,"",IF(COUNTA(B1780:E1780)&lt;4,"⚠ กรอกไม่ครบ",IF(NOT(ISNUMBER(B1780)),"⚠ วันที่ไม่ถูกต้อง",IF(COUNTIFS(Setup!$L$6:$L$60,D1780,Setup!$M$6:$M$60,C1780)=0,"⚠ หมวดไม่ตรงประเภท","✓"))))</f>
        <v/>
      </c>
    </row>
    <row r="1781">
      <c r="B1781" s="113" t="n"/>
      <c r="C1781" s="114" t="n"/>
      <c r="D1781" s="115" t="n"/>
      <c r="E1781" s="116" t="n"/>
      <c r="F1781" s="115" t="n"/>
      <c r="G1781" s="117">
        <f>IF(COUNTA(B1781:E1781)=0,"",IF(COUNTA(B1781:E1781)&lt;4,"⚠ กรอกไม่ครบ",IF(NOT(ISNUMBER(B1781)),"⚠ วันที่ไม่ถูกต้อง",IF(COUNTIFS(Setup!$L$6:$L$60,D1781,Setup!$M$6:$M$60,C1781)=0,"⚠ หมวดไม่ตรงประเภท","✓"))))</f>
        <v/>
      </c>
    </row>
    <row r="1782">
      <c r="B1782" s="113" t="n"/>
      <c r="C1782" s="114" t="n"/>
      <c r="D1782" s="115" t="n"/>
      <c r="E1782" s="116" t="n"/>
      <c r="F1782" s="115" t="n"/>
      <c r="G1782" s="117">
        <f>IF(COUNTA(B1782:E1782)=0,"",IF(COUNTA(B1782:E1782)&lt;4,"⚠ กรอกไม่ครบ",IF(NOT(ISNUMBER(B1782)),"⚠ วันที่ไม่ถูกต้อง",IF(COUNTIFS(Setup!$L$6:$L$60,D1782,Setup!$M$6:$M$60,C1782)=0,"⚠ หมวดไม่ตรงประเภท","✓"))))</f>
        <v/>
      </c>
    </row>
    <row r="1783">
      <c r="B1783" s="113" t="n"/>
      <c r="C1783" s="114" t="n"/>
      <c r="D1783" s="115" t="n"/>
      <c r="E1783" s="116" t="n"/>
      <c r="F1783" s="115" t="n"/>
      <c r="G1783" s="117">
        <f>IF(COUNTA(B1783:E1783)=0,"",IF(COUNTA(B1783:E1783)&lt;4,"⚠ กรอกไม่ครบ",IF(NOT(ISNUMBER(B1783)),"⚠ วันที่ไม่ถูกต้อง",IF(COUNTIFS(Setup!$L$6:$L$60,D1783,Setup!$M$6:$M$60,C1783)=0,"⚠ หมวดไม่ตรงประเภท","✓"))))</f>
        <v/>
      </c>
    </row>
    <row r="1784">
      <c r="B1784" s="113" t="n"/>
      <c r="C1784" s="114" t="n"/>
      <c r="D1784" s="115" t="n"/>
      <c r="E1784" s="116" t="n"/>
      <c r="F1784" s="115" t="n"/>
      <c r="G1784" s="117">
        <f>IF(COUNTA(B1784:E1784)=0,"",IF(COUNTA(B1784:E1784)&lt;4,"⚠ กรอกไม่ครบ",IF(NOT(ISNUMBER(B1784)),"⚠ วันที่ไม่ถูกต้อง",IF(COUNTIFS(Setup!$L$6:$L$60,D1784,Setup!$M$6:$M$60,C1784)=0,"⚠ หมวดไม่ตรงประเภท","✓"))))</f>
        <v/>
      </c>
    </row>
    <row r="1785">
      <c r="B1785" s="113" t="n"/>
      <c r="C1785" s="114" t="n"/>
      <c r="D1785" s="115" t="n"/>
      <c r="E1785" s="116" t="n"/>
      <c r="F1785" s="115" t="n"/>
      <c r="G1785" s="117">
        <f>IF(COUNTA(B1785:E1785)=0,"",IF(COUNTA(B1785:E1785)&lt;4,"⚠ กรอกไม่ครบ",IF(NOT(ISNUMBER(B1785)),"⚠ วันที่ไม่ถูกต้อง",IF(COUNTIFS(Setup!$L$6:$L$60,D1785,Setup!$M$6:$M$60,C1785)=0,"⚠ หมวดไม่ตรงประเภท","✓"))))</f>
        <v/>
      </c>
    </row>
    <row r="1786">
      <c r="B1786" s="113" t="n"/>
      <c r="C1786" s="114" t="n"/>
      <c r="D1786" s="115" t="n"/>
      <c r="E1786" s="116" t="n"/>
      <c r="F1786" s="115" t="n"/>
      <c r="G1786" s="117">
        <f>IF(COUNTA(B1786:E1786)=0,"",IF(COUNTA(B1786:E1786)&lt;4,"⚠ กรอกไม่ครบ",IF(NOT(ISNUMBER(B1786)),"⚠ วันที่ไม่ถูกต้อง",IF(COUNTIFS(Setup!$L$6:$L$60,D1786,Setup!$M$6:$M$60,C1786)=0,"⚠ หมวดไม่ตรงประเภท","✓"))))</f>
        <v/>
      </c>
    </row>
    <row r="1787">
      <c r="B1787" s="113" t="n"/>
      <c r="C1787" s="114" t="n"/>
      <c r="D1787" s="115" t="n"/>
      <c r="E1787" s="116" t="n"/>
      <c r="F1787" s="115" t="n"/>
      <c r="G1787" s="117">
        <f>IF(COUNTA(B1787:E1787)=0,"",IF(COUNTA(B1787:E1787)&lt;4,"⚠ กรอกไม่ครบ",IF(NOT(ISNUMBER(B1787)),"⚠ วันที่ไม่ถูกต้อง",IF(COUNTIFS(Setup!$L$6:$L$60,D1787,Setup!$M$6:$M$60,C1787)=0,"⚠ หมวดไม่ตรงประเภท","✓"))))</f>
        <v/>
      </c>
    </row>
    <row r="1788">
      <c r="B1788" s="113" t="n"/>
      <c r="C1788" s="114" t="n"/>
      <c r="D1788" s="115" t="n"/>
      <c r="E1788" s="116" t="n"/>
      <c r="F1788" s="115" t="n"/>
      <c r="G1788" s="117">
        <f>IF(COUNTA(B1788:E1788)=0,"",IF(COUNTA(B1788:E1788)&lt;4,"⚠ กรอกไม่ครบ",IF(NOT(ISNUMBER(B1788)),"⚠ วันที่ไม่ถูกต้อง",IF(COUNTIFS(Setup!$L$6:$L$60,D1788,Setup!$M$6:$M$60,C1788)=0,"⚠ หมวดไม่ตรงประเภท","✓"))))</f>
        <v/>
      </c>
    </row>
    <row r="1789">
      <c r="B1789" s="113" t="n"/>
      <c r="C1789" s="114" t="n"/>
      <c r="D1789" s="115" t="n"/>
      <c r="E1789" s="116" t="n"/>
      <c r="F1789" s="115" t="n"/>
      <c r="G1789" s="117">
        <f>IF(COUNTA(B1789:E1789)=0,"",IF(COUNTA(B1789:E1789)&lt;4,"⚠ กรอกไม่ครบ",IF(NOT(ISNUMBER(B1789)),"⚠ วันที่ไม่ถูกต้อง",IF(COUNTIFS(Setup!$L$6:$L$60,D1789,Setup!$M$6:$M$60,C1789)=0,"⚠ หมวดไม่ตรงประเภท","✓"))))</f>
        <v/>
      </c>
    </row>
    <row r="1790">
      <c r="B1790" s="113" t="n"/>
      <c r="C1790" s="114" t="n"/>
      <c r="D1790" s="115" t="n"/>
      <c r="E1790" s="116" t="n"/>
      <c r="F1790" s="115" t="n"/>
      <c r="G1790" s="117">
        <f>IF(COUNTA(B1790:E1790)=0,"",IF(COUNTA(B1790:E1790)&lt;4,"⚠ กรอกไม่ครบ",IF(NOT(ISNUMBER(B1790)),"⚠ วันที่ไม่ถูกต้อง",IF(COUNTIFS(Setup!$L$6:$L$60,D1790,Setup!$M$6:$M$60,C1790)=0,"⚠ หมวดไม่ตรงประเภท","✓"))))</f>
        <v/>
      </c>
    </row>
    <row r="1791">
      <c r="B1791" s="113" t="n"/>
      <c r="C1791" s="114" t="n"/>
      <c r="D1791" s="115" t="n"/>
      <c r="E1791" s="116" t="n"/>
      <c r="F1791" s="115" t="n"/>
      <c r="G1791" s="117">
        <f>IF(COUNTA(B1791:E1791)=0,"",IF(COUNTA(B1791:E1791)&lt;4,"⚠ กรอกไม่ครบ",IF(NOT(ISNUMBER(B1791)),"⚠ วันที่ไม่ถูกต้อง",IF(COUNTIFS(Setup!$L$6:$L$60,D1791,Setup!$M$6:$M$60,C1791)=0,"⚠ หมวดไม่ตรงประเภท","✓"))))</f>
        <v/>
      </c>
    </row>
    <row r="1792">
      <c r="B1792" s="113" t="n"/>
      <c r="C1792" s="114" t="n"/>
      <c r="D1792" s="115" t="n"/>
      <c r="E1792" s="116" t="n"/>
      <c r="F1792" s="115" t="n"/>
      <c r="G1792" s="117">
        <f>IF(COUNTA(B1792:E1792)=0,"",IF(COUNTA(B1792:E1792)&lt;4,"⚠ กรอกไม่ครบ",IF(NOT(ISNUMBER(B1792)),"⚠ วันที่ไม่ถูกต้อง",IF(COUNTIFS(Setup!$L$6:$L$60,D1792,Setup!$M$6:$M$60,C1792)=0,"⚠ หมวดไม่ตรงประเภท","✓"))))</f>
        <v/>
      </c>
    </row>
    <row r="1793">
      <c r="B1793" s="113" t="n"/>
      <c r="C1793" s="114" t="n"/>
      <c r="D1793" s="115" t="n"/>
      <c r="E1793" s="116" t="n"/>
      <c r="F1793" s="115" t="n"/>
      <c r="G1793" s="117">
        <f>IF(COUNTA(B1793:E1793)=0,"",IF(COUNTA(B1793:E1793)&lt;4,"⚠ กรอกไม่ครบ",IF(NOT(ISNUMBER(B1793)),"⚠ วันที่ไม่ถูกต้อง",IF(COUNTIFS(Setup!$L$6:$L$60,D1793,Setup!$M$6:$M$60,C1793)=0,"⚠ หมวดไม่ตรงประเภท","✓"))))</f>
        <v/>
      </c>
    </row>
    <row r="1794">
      <c r="B1794" s="113" t="n"/>
      <c r="C1794" s="114" t="n"/>
      <c r="D1794" s="115" t="n"/>
      <c r="E1794" s="116" t="n"/>
      <c r="F1794" s="115" t="n"/>
      <c r="G1794" s="117">
        <f>IF(COUNTA(B1794:E1794)=0,"",IF(COUNTA(B1794:E1794)&lt;4,"⚠ กรอกไม่ครบ",IF(NOT(ISNUMBER(B1794)),"⚠ วันที่ไม่ถูกต้อง",IF(COUNTIFS(Setup!$L$6:$L$60,D1794,Setup!$M$6:$M$60,C1794)=0,"⚠ หมวดไม่ตรงประเภท","✓"))))</f>
        <v/>
      </c>
    </row>
    <row r="1795">
      <c r="B1795" s="113" t="n"/>
      <c r="C1795" s="114" t="n"/>
      <c r="D1795" s="115" t="n"/>
      <c r="E1795" s="116" t="n"/>
      <c r="F1795" s="115" t="n"/>
      <c r="G1795" s="117">
        <f>IF(COUNTA(B1795:E1795)=0,"",IF(COUNTA(B1795:E1795)&lt;4,"⚠ กรอกไม่ครบ",IF(NOT(ISNUMBER(B1795)),"⚠ วันที่ไม่ถูกต้อง",IF(COUNTIFS(Setup!$L$6:$L$60,D1795,Setup!$M$6:$M$60,C1795)=0,"⚠ หมวดไม่ตรงประเภท","✓"))))</f>
        <v/>
      </c>
    </row>
    <row r="1796">
      <c r="B1796" s="113" t="n"/>
      <c r="C1796" s="114" t="n"/>
      <c r="D1796" s="115" t="n"/>
      <c r="E1796" s="116" t="n"/>
      <c r="F1796" s="115" t="n"/>
      <c r="G1796" s="117">
        <f>IF(COUNTA(B1796:E1796)=0,"",IF(COUNTA(B1796:E1796)&lt;4,"⚠ กรอกไม่ครบ",IF(NOT(ISNUMBER(B1796)),"⚠ วันที่ไม่ถูกต้อง",IF(COUNTIFS(Setup!$L$6:$L$60,D1796,Setup!$M$6:$M$60,C1796)=0,"⚠ หมวดไม่ตรงประเภท","✓"))))</f>
        <v/>
      </c>
    </row>
    <row r="1797">
      <c r="B1797" s="113" t="n"/>
      <c r="C1797" s="114" t="n"/>
      <c r="D1797" s="115" t="n"/>
      <c r="E1797" s="116" t="n"/>
      <c r="F1797" s="115" t="n"/>
      <c r="G1797" s="117">
        <f>IF(COUNTA(B1797:E1797)=0,"",IF(COUNTA(B1797:E1797)&lt;4,"⚠ กรอกไม่ครบ",IF(NOT(ISNUMBER(B1797)),"⚠ วันที่ไม่ถูกต้อง",IF(COUNTIFS(Setup!$L$6:$L$60,D1797,Setup!$M$6:$M$60,C1797)=0,"⚠ หมวดไม่ตรงประเภท","✓"))))</f>
        <v/>
      </c>
    </row>
    <row r="1798">
      <c r="B1798" s="113" t="n"/>
      <c r="C1798" s="114" t="n"/>
      <c r="D1798" s="115" t="n"/>
      <c r="E1798" s="116" t="n"/>
      <c r="F1798" s="115" t="n"/>
      <c r="G1798" s="117">
        <f>IF(COUNTA(B1798:E1798)=0,"",IF(COUNTA(B1798:E1798)&lt;4,"⚠ กรอกไม่ครบ",IF(NOT(ISNUMBER(B1798)),"⚠ วันที่ไม่ถูกต้อง",IF(COUNTIFS(Setup!$L$6:$L$60,D1798,Setup!$M$6:$M$60,C1798)=0,"⚠ หมวดไม่ตรงประเภท","✓"))))</f>
        <v/>
      </c>
    </row>
    <row r="1799">
      <c r="B1799" s="113" t="n"/>
      <c r="C1799" s="114" t="n"/>
      <c r="D1799" s="115" t="n"/>
      <c r="E1799" s="116" t="n"/>
      <c r="F1799" s="115" t="n"/>
      <c r="G1799" s="117">
        <f>IF(COUNTA(B1799:E1799)=0,"",IF(COUNTA(B1799:E1799)&lt;4,"⚠ กรอกไม่ครบ",IF(NOT(ISNUMBER(B1799)),"⚠ วันที่ไม่ถูกต้อง",IF(COUNTIFS(Setup!$L$6:$L$60,D1799,Setup!$M$6:$M$60,C1799)=0,"⚠ หมวดไม่ตรงประเภท","✓"))))</f>
        <v/>
      </c>
    </row>
    <row r="1800">
      <c r="B1800" s="113" t="n"/>
      <c r="C1800" s="114" t="n"/>
      <c r="D1800" s="115" t="n"/>
      <c r="E1800" s="116" t="n"/>
      <c r="F1800" s="115" t="n"/>
      <c r="G1800" s="117">
        <f>IF(COUNTA(B1800:E1800)=0,"",IF(COUNTA(B1800:E1800)&lt;4,"⚠ กรอกไม่ครบ",IF(NOT(ISNUMBER(B1800)),"⚠ วันที่ไม่ถูกต้อง",IF(COUNTIFS(Setup!$L$6:$L$60,D1800,Setup!$M$6:$M$60,C1800)=0,"⚠ หมวดไม่ตรงประเภท","✓"))))</f>
        <v/>
      </c>
    </row>
    <row r="1801">
      <c r="B1801" s="113" t="n"/>
      <c r="C1801" s="114" t="n"/>
      <c r="D1801" s="115" t="n"/>
      <c r="E1801" s="116" t="n"/>
      <c r="F1801" s="115" t="n"/>
      <c r="G1801" s="117">
        <f>IF(COUNTA(B1801:E1801)=0,"",IF(COUNTA(B1801:E1801)&lt;4,"⚠ กรอกไม่ครบ",IF(NOT(ISNUMBER(B1801)),"⚠ วันที่ไม่ถูกต้อง",IF(COUNTIFS(Setup!$L$6:$L$60,D1801,Setup!$M$6:$M$60,C1801)=0,"⚠ หมวดไม่ตรงประเภท","✓"))))</f>
        <v/>
      </c>
    </row>
    <row r="1802">
      <c r="B1802" s="113" t="n"/>
      <c r="C1802" s="114" t="n"/>
      <c r="D1802" s="115" t="n"/>
      <c r="E1802" s="116" t="n"/>
      <c r="F1802" s="115" t="n"/>
      <c r="G1802" s="117">
        <f>IF(COUNTA(B1802:E1802)=0,"",IF(COUNTA(B1802:E1802)&lt;4,"⚠ กรอกไม่ครบ",IF(NOT(ISNUMBER(B1802)),"⚠ วันที่ไม่ถูกต้อง",IF(COUNTIFS(Setup!$L$6:$L$60,D1802,Setup!$M$6:$M$60,C1802)=0,"⚠ หมวดไม่ตรงประเภท","✓"))))</f>
        <v/>
      </c>
    </row>
    <row r="1803">
      <c r="B1803" s="113" t="n"/>
      <c r="C1803" s="114" t="n"/>
      <c r="D1803" s="115" t="n"/>
      <c r="E1803" s="116" t="n"/>
      <c r="F1803" s="115" t="n"/>
      <c r="G1803" s="117">
        <f>IF(COUNTA(B1803:E1803)=0,"",IF(COUNTA(B1803:E1803)&lt;4,"⚠ กรอกไม่ครบ",IF(NOT(ISNUMBER(B1803)),"⚠ วันที่ไม่ถูกต้อง",IF(COUNTIFS(Setup!$L$6:$L$60,D1803,Setup!$M$6:$M$60,C1803)=0,"⚠ หมวดไม่ตรงประเภท","✓"))))</f>
        <v/>
      </c>
    </row>
    <row r="1804">
      <c r="B1804" s="113" t="n"/>
      <c r="C1804" s="114" t="n"/>
      <c r="D1804" s="115" t="n"/>
      <c r="E1804" s="116" t="n"/>
      <c r="F1804" s="115" t="n"/>
      <c r="G1804" s="117">
        <f>IF(COUNTA(B1804:E1804)=0,"",IF(COUNTA(B1804:E1804)&lt;4,"⚠ กรอกไม่ครบ",IF(NOT(ISNUMBER(B1804)),"⚠ วันที่ไม่ถูกต้อง",IF(COUNTIFS(Setup!$L$6:$L$60,D1804,Setup!$M$6:$M$60,C1804)=0,"⚠ หมวดไม่ตรงประเภท","✓"))))</f>
        <v/>
      </c>
    </row>
    <row r="1805">
      <c r="B1805" s="113" t="n"/>
      <c r="C1805" s="114" t="n"/>
      <c r="D1805" s="115" t="n"/>
      <c r="E1805" s="116" t="n"/>
      <c r="F1805" s="115" t="n"/>
      <c r="G1805" s="117">
        <f>IF(COUNTA(B1805:E1805)=0,"",IF(COUNTA(B1805:E1805)&lt;4,"⚠ กรอกไม่ครบ",IF(NOT(ISNUMBER(B1805)),"⚠ วันที่ไม่ถูกต้อง",IF(COUNTIFS(Setup!$L$6:$L$60,D1805,Setup!$M$6:$M$60,C1805)=0,"⚠ หมวดไม่ตรงประเภท","✓"))))</f>
        <v/>
      </c>
    </row>
    <row r="1806">
      <c r="B1806" s="113" t="n"/>
      <c r="C1806" s="114" t="n"/>
      <c r="D1806" s="115" t="n"/>
      <c r="E1806" s="116" t="n"/>
      <c r="F1806" s="115" t="n"/>
      <c r="G1806" s="117">
        <f>IF(COUNTA(B1806:E1806)=0,"",IF(COUNTA(B1806:E1806)&lt;4,"⚠ กรอกไม่ครบ",IF(NOT(ISNUMBER(B1806)),"⚠ วันที่ไม่ถูกต้อง",IF(COUNTIFS(Setup!$L$6:$L$60,D1806,Setup!$M$6:$M$60,C1806)=0,"⚠ หมวดไม่ตรงประเภท","✓"))))</f>
        <v/>
      </c>
    </row>
    <row r="1807">
      <c r="B1807" s="113" t="n"/>
      <c r="C1807" s="114" t="n"/>
      <c r="D1807" s="115" t="n"/>
      <c r="E1807" s="116" t="n"/>
      <c r="F1807" s="115" t="n"/>
      <c r="G1807" s="117">
        <f>IF(COUNTA(B1807:E1807)=0,"",IF(COUNTA(B1807:E1807)&lt;4,"⚠ กรอกไม่ครบ",IF(NOT(ISNUMBER(B1807)),"⚠ วันที่ไม่ถูกต้อง",IF(COUNTIFS(Setup!$L$6:$L$60,D1807,Setup!$M$6:$M$60,C1807)=0,"⚠ หมวดไม่ตรงประเภท","✓"))))</f>
        <v/>
      </c>
    </row>
    <row r="1808">
      <c r="B1808" s="113" t="n"/>
      <c r="C1808" s="114" t="n"/>
      <c r="D1808" s="115" t="n"/>
      <c r="E1808" s="116" t="n"/>
      <c r="F1808" s="115" t="n"/>
      <c r="G1808" s="117">
        <f>IF(COUNTA(B1808:E1808)=0,"",IF(COUNTA(B1808:E1808)&lt;4,"⚠ กรอกไม่ครบ",IF(NOT(ISNUMBER(B1808)),"⚠ วันที่ไม่ถูกต้อง",IF(COUNTIFS(Setup!$L$6:$L$60,D1808,Setup!$M$6:$M$60,C1808)=0,"⚠ หมวดไม่ตรงประเภท","✓"))))</f>
        <v/>
      </c>
    </row>
    <row r="1809">
      <c r="B1809" s="113" t="n"/>
      <c r="C1809" s="114" t="n"/>
      <c r="D1809" s="115" t="n"/>
      <c r="E1809" s="116" t="n"/>
      <c r="F1809" s="115" t="n"/>
      <c r="G1809" s="117">
        <f>IF(COUNTA(B1809:E1809)=0,"",IF(COUNTA(B1809:E1809)&lt;4,"⚠ กรอกไม่ครบ",IF(NOT(ISNUMBER(B1809)),"⚠ วันที่ไม่ถูกต้อง",IF(COUNTIFS(Setup!$L$6:$L$60,D1809,Setup!$M$6:$M$60,C1809)=0,"⚠ หมวดไม่ตรงประเภท","✓"))))</f>
        <v/>
      </c>
    </row>
    <row r="1810">
      <c r="B1810" s="113" t="n"/>
      <c r="C1810" s="114" t="n"/>
      <c r="D1810" s="115" t="n"/>
      <c r="E1810" s="116" t="n"/>
      <c r="F1810" s="115" t="n"/>
      <c r="G1810" s="117">
        <f>IF(COUNTA(B1810:E1810)=0,"",IF(COUNTA(B1810:E1810)&lt;4,"⚠ กรอกไม่ครบ",IF(NOT(ISNUMBER(B1810)),"⚠ วันที่ไม่ถูกต้อง",IF(COUNTIFS(Setup!$L$6:$L$60,D1810,Setup!$M$6:$M$60,C1810)=0,"⚠ หมวดไม่ตรงประเภท","✓"))))</f>
        <v/>
      </c>
    </row>
    <row r="1811">
      <c r="B1811" s="113" t="n"/>
      <c r="C1811" s="114" t="n"/>
      <c r="D1811" s="115" t="n"/>
      <c r="E1811" s="116" t="n"/>
      <c r="F1811" s="115" t="n"/>
      <c r="G1811" s="117">
        <f>IF(COUNTA(B1811:E1811)=0,"",IF(COUNTA(B1811:E1811)&lt;4,"⚠ กรอกไม่ครบ",IF(NOT(ISNUMBER(B1811)),"⚠ วันที่ไม่ถูกต้อง",IF(COUNTIFS(Setup!$L$6:$L$60,D1811,Setup!$M$6:$M$60,C1811)=0,"⚠ หมวดไม่ตรงประเภท","✓"))))</f>
        <v/>
      </c>
    </row>
    <row r="1812">
      <c r="B1812" s="113" t="n"/>
      <c r="C1812" s="114" t="n"/>
      <c r="D1812" s="115" t="n"/>
      <c r="E1812" s="116" t="n"/>
      <c r="F1812" s="115" t="n"/>
      <c r="G1812" s="117">
        <f>IF(COUNTA(B1812:E1812)=0,"",IF(COUNTA(B1812:E1812)&lt;4,"⚠ กรอกไม่ครบ",IF(NOT(ISNUMBER(B1812)),"⚠ วันที่ไม่ถูกต้อง",IF(COUNTIFS(Setup!$L$6:$L$60,D1812,Setup!$M$6:$M$60,C1812)=0,"⚠ หมวดไม่ตรงประเภท","✓"))))</f>
        <v/>
      </c>
    </row>
    <row r="1813">
      <c r="B1813" s="113" t="n"/>
      <c r="C1813" s="114" t="n"/>
      <c r="D1813" s="115" t="n"/>
      <c r="E1813" s="116" t="n"/>
      <c r="F1813" s="115" t="n"/>
      <c r="G1813" s="117">
        <f>IF(COUNTA(B1813:E1813)=0,"",IF(COUNTA(B1813:E1813)&lt;4,"⚠ กรอกไม่ครบ",IF(NOT(ISNUMBER(B1813)),"⚠ วันที่ไม่ถูกต้อง",IF(COUNTIFS(Setup!$L$6:$L$60,D1813,Setup!$M$6:$M$60,C1813)=0,"⚠ หมวดไม่ตรงประเภท","✓"))))</f>
        <v/>
      </c>
    </row>
    <row r="1814">
      <c r="B1814" s="113" t="n"/>
      <c r="C1814" s="114" t="n"/>
      <c r="D1814" s="115" t="n"/>
      <c r="E1814" s="116" t="n"/>
      <c r="F1814" s="115" t="n"/>
      <c r="G1814" s="117">
        <f>IF(COUNTA(B1814:E1814)=0,"",IF(COUNTA(B1814:E1814)&lt;4,"⚠ กรอกไม่ครบ",IF(NOT(ISNUMBER(B1814)),"⚠ วันที่ไม่ถูกต้อง",IF(COUNTIFS(Setup!$L$6:$L$60,D1814,Setup!$M$6:$M$60,C1814)=0,"⚠ หมวดไม่ตรงประเภท","✓"))))</f>
        <v/>
      </c>
    </row>
    <row r="1815">
      <c r="B1815" s="113" t="n"/>
      <c r="C1815" s="114" t="n"/>
      <c r="D1815" s="115" t="n"/>
      <c r="E1815" s="116" t="n"/>
      <c r="F1815" s="115" t="n"/>
      <c r="G1815" s="117">
        <f>IF(COUNTA(B1815:E1815)=0,"",IF(COUNTA(B1815:E1815)&lt;4,"⚠ กรอกไม่ครบ",IF(NOT(ISNUMBER(B1815)),"⚠ วันที่ไม่ถูกต้อง",IF(COUNTIFS(Setup!$L$6:$L$60,D1815,Setup!$M$6:$M$60,C1815)=0,"⚠ หมวดไม่ตรงประเภท","✓"))))</f>
        <v/>
      </c>
    </row>
    <row r="1816">
      <c r="B1816" s="113" t="n"/>
      <c r="C1816" s="114" t="n"/>
      <c r="D1816" s="115" t="n"/>
      <c r="E1816" s="116" t="n"/>
      <c r="F1816" s="115" t="n"/>
      <c r="G1816" s="117">
        <f>IF(COUNTA(B1816:E1816)=0,"",IF(COUNTA(B1816:E1816)&lt;4,"⚠ กรอกไม่ครบ",IF(NOT(ISNUMBER(B1816)),"⚠ วันที่ไม่ถูกต้อง",IF(COUNTIFS(Setup!$L$6:$L$60,D1816,Setup!$M$6:$M$60,C1816)=0,"⚠ หมวดไม่ตรงประเภท","✓"))))</f>
        <v/>
      </c>
    </row>
    <row r="1817">
      <c r="B1817" s="113" t="n"/>
      <c r="C1817" s="114" t="n"/>
      <c r="D1817" s="115" t="n"/>
      <c r="E1817" s="116" t="n"/>
      <c r="F1817" s="115" t="n"/>
      <c r="G1817" s="117">
        <f>IF(COUNTA(B1817:E1817)=0,"",IF(COUNTA(B1817:E1817)&lt;4,"⚠ กรอกไม่ครบ",IF(NOT(ISNUMBER(B1817)),"⚠ วันที่ไม่ถูกต้อง",IF(COUNTIFS(Setup!$L$6:$L$60,D1817,Setup!$M$6:$M$60,C1817)=0,"⚠ หมวดไม่ตรงประเภท","✓"))))</f>
        <v/>
      </c>
    </row>
    <row r="1818">
      <c r="B1818" s="113" t="n"/>
      <c r="C1818" s="114" t="n"/>
      <c r="D1818" s="115" t="n"/>
      <c r="E1818" s="116" t="n"/>
      <c r="F1818" s="115" t="n"/>
      <c r="G1818" s="117">
        <f>IF(COUNTA(B1818:E1818)=0,"",IF(COUNTA(B1818:E1818)&lt;4,"⚠ กรอกไม่ครบ",IF(NOT(ISNUMBER(B1818)),"⚠ วันที่ไม่ถูกต้อง",IF(COUNTIFS(Setup!$L$6:$L$60,D1818,Setup!$M$6:$M$60,C1818)=0,"⚠ หมวดไม่ตรงประเภท","✓"))))</f>
        <v/>
      </c>
    </row>
    <row r="1819">
      <c r="B1819" s="113" t="n"/>
      <c r="C1819" s="114" t="n"/>
      <c r="D1819" s="115" t="n"/>
      <c r="E1819" s="116" t="n"/>
      <c r="F1819" s="115" t="n"/>
      <c r="G1819" s="117">
        <f>IF(COUNTA(B1819:E1819)=0,"",IF(COUNTA(B1819:E1819)&lt;4,"⚠ กรอกไม่ครบ",IF(NOT(ISNUMBER(B1819)),"⚠ วันที่ไม่ถูกต้อง",IF(COUNTIFS(Setup!$L$6:$L$60,D1819,Setup!$M$6:$M$60,C1819)=0,"⚠ หมวดไม่ตรงประเภท","✓"))))</f>
        <v/>
      </c>
    </row>
    <row r="1820">
      <c r="B1820" s="113" t="n"/>
      <c r="C1820" s="114" t="n"/>
      <c r="D1820" s="115" t="n"/>
      <c r="E1820" s="116" t="n"/>
      <c r="F1820" s="115" t="n"/>
      <c r="G1820" s="117">
        <f>IF(COUNTA(B1820:E1820)=0,"",IF(COUNTA(B1820:E1820)&lt;4,"⚠ กรอกไม่ครบ",IF(NOT(ISNUMBER(B1820)),"⚠ วันที่ไม่ถูกต้อง",IF(COUNTIFS(Setup!$L$6:$L$60,D1820,Setup!$M$6:$M$60,C1820)=0,"⚠ หมวดไม่ตรงประเภท","✓"))))</f>
        <v/>
      </c>
    </row>
    <row r="1821">
      <c r="B1821" s="113" t="n"/>
      <c r="C1821" s="114" t="n"/>
      <c r="D1821" s="115" t="n"/>
      <c r="E1821" s="116" t="n"/>
      <c r="F1821" s="115" t="n"/>
      <c r="G1821" s="117">
        <f>IF(COUNTA(B1821:E1821)=0,"",IF(COUNTA(B1821:E1821)&lt;4,"⚠ กรอกไม่ครบ",IF(NOT(ISNUMBER(B1821)),"⚠ วันที่ไม่ถูกต้อง",IF(COUNTIFS(Setup!$L$6:$L$60,D1821,Setup!$M$6:$M$60,C1821)=0,"⚠ หมวดไม่ตรงประเภท","✓"))))</f>
        <v/>
      </c>
    </row>
    <row r="1822">
      <c r="B1822" s="113" t="n"/>
      <c r="C1822" s="114" t="n"/>
      <c r="D1822" s="115" t="n"/>
      <c r="E1822" s="116" t="n"/>
      <c r="F1822" s="115" t="n"/>
      <c r="G1822" s="117">
        <f>IF(COUNTA(B1822:E1822)=0,"",IF(COUNTA(B1822:E1822)&lt;4,"⚠ กรอกไม่ครบ",IF(NOT(ISNUMBER(B1822)),"⚠ วันที่ไม่ถูกต้อง",IF(COUNTIFS(Setup!$L$6:$L$60,D1822,Setup!$M$6:$M$60,C1822)=0,"⚠ หมวดไม่ตรงประเภท","✓"))))</f>
        <v/>
      </c>
    </row>
    <row r="1823">
      <c r="B1823" s="113" t="n"/>
      <c r="C1823" s="114" t="n"/>
      <c r="D1823" s="115" t="n"/>
      <c r="E1823" s="116" t="n"/>
      <c r="F1823" s="115" t="n"/>
      <c r="G1823" s="117">
        <f>IF(COUNTA(B1823:E1823)=0,"",IF(COUNTA(B1823:E1823)&lt;4,"⚠ กรอกไม่ครบ",IF(NOT(ISNUMBER(B1823)),"⚠ วันที่ไม่ถูกต้อง",IF(COUNTIFS(Setup!$L$6:$L$60,D1823,Setup!$M$6:$M$60,C1823)=0,"⚠ หมวดไม่ตรงประเภท","✓"))))</f>
        <v/>
      </c>
    </row>
    <row r="1824">
      <c r="B1824" s="113" t="n"/>
      <c r="C1824" s="114" t="n"/>
      <c r="D1824" s="115" t="n"/>
      <c r="E1824" s="116" t="n"/>
      <c r="F1824" s="115" t="n"/>
      <c r="G1824" s="117">
        <f>IF(COUNTA(B1824:E1824)=0,"",IF(COUNTA(B1824:E1824)&lt;4,"⚠ กรอกไม่ครบ",IF(NOT(ISNUMBER(B1824)),"⚠ วันที่ไม่ถูกต้อง",IF(COUNTIFS(Setup!$L$6:$L$60,D1824,Setup!$M$6:$M$60,C1824)=0,"⚠ หมวดไม่ตรงประเภท","✓"))))</f>
        <v/>
      </c>
    </row>
    <row r="1825">
      <c r="B1825" s="113" t="n"/>
      <c r="C1825" s="114" t="n"/>
      <c r="D1825" s="115" t="n"/>
      <c r="E1825" s="116" t="n"/>
      <c r="F1825" s="115" t="n"/>
      <c r="G1825" s="117">
        <f>IF(COUNTA(B1825:E1825)=0,"",IF(COUNTA(B1825:E1825)&lt;4,"⚠ กรอกไม่ครบ",IF(NOT(ISNUMBER(B1825)),"⚠ วันที่ไม่ถูกต้อง",IF(COUNTIFS(Setup!$L$6:$L$60,D1825,Setup!$M$6:$M$60,C1825)=0,"⚠ หมวดไม่ตรงประเภท","✓"))))</f>
        <v/>
      </c>
    </row>
    <row r="1826">
      <c r="B1826" s="113" t="n"/>
      <c r="C1826" s="114" t="n"/>
      <c r="D1826" s="115" t="n"/>
      <c r="E1826" s="116" t="n"/>
      <c r="F1826" s="115" t="n"/>
      <c r="G1826" s="117">
        <f>IF(COUNTA(B1826:E1826)=0,"",IF(COUNTA(B1826:E1826)&lt;4,"⚠ กรอกไม่ครบ",IF(NOT(ISNUMBER(B1826)),"⚠ วันที่ไม่ถูกต้อง",IF(COUNTIFS(Setup!$L$6:$L$60,D1826,Setup!$M$6:$M$60,C1826)=0,"⚠ หมวดไม่ตรงประเภท","✓"))))</f>
        <v/>
      </c>
    </row>
    <row r="1827">
      <c r="B1827" s="113" t="n"/>
      <c r="C1827" s="114" t="n"/>
      <c r="D1827" s="115" t="n"/>
      <c r="E1827" s="116" t="n"/>
      <c r="F1827" s="115" t="n"/>
      <c r="G1827" s="117">
        <f>IF(COUNTA(B1827:E1827)=0,"",IF(COUNTA(B1827:E1827)&lt;4,"⚠ กรอกไม่ครบ",IF(NOT(ISNUMBER(B1827)),"⚠ วันที่ไม่ถูกต้อง",IF(COUNTIFS(Setup!$L$6:$L$60,D1827,Setup!$M$6:$M$60,C1827)=0,"⚠ หมวดไม่ตรงประเภท","✓"))))</f>
        <v/>
      </c>
    </row>
    <row r="1828">
      <c r="B1828" s="113" t="n"/>
      <c r="C1828" s="114" t="n"/>
      <c r="D1828" s="115" t="n"/>
      <c r="E1828" s="116" t="n"/>
      <c r="F1828" s="115" t="n"/>
      <c r="G1828" s="117">
        <f>IF(COUNTA(B1828:E1828)=0,"",IF(COUNTA(B1828:E1828)&lt;4,"⚠ กรอกไม่ครบ",IF(NOT(ISNUMBER(B1828)),"⚠ วันที่ไม่ถูกต้อง",IF(COUNTIFS(Setup!$L$6:$L$60,D1828,Setup!$M$6:$M$60,C1828)=0,"⚠ หมวดไม่ตรงประเภท","✓"))))</f>
        <v/>
      </c>
    </row>
    <row r="1829">
      <c r="B1829" s="113" t="n"/>
      <c r="C1829" s="114" t="n"/>
      <c r="D1829" s="115" t="n"/>
      <c r="E1829" s="116" t="n"/>
      <c r="F1829" s="115" t="n"/>
      <c r="G1829" s="117">
        <f>IF(COUNTA(B1829:E1829)=0,"",IF(COUNTA(B1829:E1829)&lt;4,"⚠ กรอกไม่ครบ",IF(NOT(ISNUMBER(B1829)),"⚠ วันที่ไม่ถูกต้อง",IF(COUNTIFS(Setup!$L$6:$L$60,D1829,Setup!$M$6:$M$60,C1829)=0,"⚠ หมวดไม่ตรงประเภท","✓"))))</f>
        <v/>
      </c>
    </row>
    <row r="1830">
      <c r="B1830" s="113" t="n"/>
      <c r="C1830" s="114" t="n"/>
      <c r="D1830" s="115" t="n"/>
      <c r="E1830" s="116" t="n"/>
      <c r="F1830" s="115" t="n"/>
      <c r="G1830" s="117">
        <f>IF(COUNTA(B1830:E1830)=0,"",IF(COUNTA(B1830:E1830)&lt;4,"⚠ กรอกไม่ครบ",IF(NOT(ISNUMBER(B1830)),"⚠ วันที่ไม่ถูกต้อง",IF(COUNTIFS(Setup!$L$6:$L$60,D1830,Setup!$M$6:$M$60,C1830)=0,"⚠ หมวดไม่ตรงประเภท","✓"))))</f>
        <v/>
      </c>
    </row>
    <row r="1831">
      <c r="B1831" s="113" t="n"/>
      <c r="C1831" s="114" t="n"/>
      <c r="D1831" s="115" t="n"/>
      <c r="E1831" s="116" t="n"/>
      <c r="F1831" s="115" t="n"/>
      <c r="G1831" s="117">
        <f>IF(COUNTA(B1831:E1831)=0,"",IF(COUNTA(B1831:E1831)&lt;4,"⚠ กรอกไม่ครบ",IF(NOT(ISNUMBER(B1831)),"⚠ วันที่ไม่ถูกต้อง",IF(COUNTIFS(Setup!$L$6:$L$60,D1831,Setup!$M$6:$M$60,C1831)=0,"⚠ หมวดไม่ตรงประเภท","✓"))))</f>
        <v/>
      </c>
    </row>
    <row r="1832">
      <c r="B1832" s="113" t="n"/>
      <c r="C1832" s="114" t="n"/>
      <c r="D1832" s="115" t="n"/>
      <c r="E1832" s="116" t="n"/>
      <c r="F1832" s="115" t="n"/>
      <c r="G1832" s="117">
        <f>IF(COUNTA(B1832:E1832)=0,"",IF(COUNTA(B1832:E1832)&lt;4,"⚠ กรอกไม่ครบ",IF(NOT(ISNUMBER(B1832)),"⚠ วันที่ไม่ถูกต้อง",IF(COUNTIFS(Setup!$L$6:$L$60,D1832,Setup!$M$6:$M$60,C1832)=0,"⚠ หมวดไม่ตรงประเภท","✓"))))</f>
        <v/>
      </c>
    </row>
    <row r="1833">
      <c r="B1833" s="113" t="n"/>
      <c r="C1833" s="114" t="n"/>
      <c r="D1833" s="115" t="n"/>
      <c r="E1833" s="116" t="n"/>
      <c r="F1833" s="115" t="n"/>
      <c r="G1833" s="117">
        <f>IF(COUNTA(B1833:E1833)=0,"",IF(COUNTA(B1833:E1833)&lt;4,"⚠ กรอกไม่ครบ",IF(NOT(ISNUMBER(B1833)),"⚠ วันที่ไม่ถูกต้อง",IF(COUNTIFS(Setup!$L$6:$L$60,D1833,Setup!$M$6:$M$60,C1833)=0,"⚠ หมวดไม่ตรงประเภท","✓"))))</f>
        <v/>
      </c>
    </row>
    <row r="1834">
      <c r="B1834" s="113" t="n"/>
      <c r="C1834" s="114" t="n"/>
      <c r="D1834" s="115" t="n"/>
      <c r="E1834" s="116" t="n"/>
      <c r="F1834" s="115" t="n"/>
      <c r="G1834" s="117">
        <f>IF(COUNTA(B1834:E1834)=0,"",IF(COUNTA(B1834:E1834)&lt;4,"⚠ กรอกไม่ครบ",IF(NOT(ISNUMBER(B1834)),"⚠ วันที่ไม่ถูกต้อง",IF(COUNTIFS(Setup!$L$6:$L$60,D1834,Setup!$M$6:$M$60,C1834)=0,"⚠ หมวดไม่ตรงประเภท","✓"))))</f>
        <v/>
      </c>
    </row>
    <row r="1835">
      <c r="B1835" s="113" t="n"/>
      <c r="C1835" s="114" t="n"/>
      <c r="D1835" s="115" t="n"/>
      <c r="E1835" s="116" t="n"/>
      <c r="F1835" s="115" t="n"/>
      <c r="G1835" s="117">
        <f>IF(COUNTA(B1835:E1835)=0,"",IF(COUNTA(B1835:E1835)&lt;4,"⚠ กรอกไม่ครบ",IF(NOT(ISNUMBER(B1835)),"⚠ วันที่ไม่ถูกต้อง",IF(COUNTIFS(Setup!$L$6:$L$60,D1835,Setup!$M$6:$M$60,C1835)=0,"⚠ หมวดไม่ตรงประเภท","✓"))))</f>
        <v/>
      </c>
    </row>
    <row r="1836">
      <c r="B1836" s="113" t="n"/>
      <c r="C1836" s="114" t="n"/>
      <c r="D1836" s="115" t="n"/>
      <c r="E1836" s="116" t="n"/>
      <c r="F1836" s="115" t="n"/>
      <c r="G1836" s="117">
        <f>IF(COUNTA(B1836:E1836)=0,"",IF(COUNTA(B1836:E1836)&lt;4,"⚠ กรอกไม่ครบ",IF(NOT(ISNUMBER(B1836)),"⚠ วันที่ไม่ถูกต้อง",IF(COUNTIFS(Setup!$L$6:$L$60,D1836,Setup!$M$6:$M$60,C1836)=0,"⚠ หมวดไม่ตรงประเภท","✓"))))</f>
        <v/>
      </c>
    </row>
    <row r="1837">
      <c r="B1837" s="113" t="n"/>
      <c r="C1837" s="114" t="n"/>
      <c r="D1837" s="115" t="n"/>
      <c r="E1837" s="116" t="n"/>
      <c r="F1837" s="115" t="n"/>
      <c r="G1837" s="117">
        <f>IF(COUNTA(B1837:E1837)=0,"",IF(COUNTA(B1837:E1837)&lt;4,"⚠ กรอกไม่ครบ",IF(NOT(ISNUMBER(B1837)),"⚠ วันที่ไม่ถูกต้อง",IF(COUNTIFS(Setup!$L$6:$L$60,D1837,Setup!$M$6:$M$60,C1837)=0,"⚠ หมวดไม่ตรงประเภท","✓"))))</f>
        <v/>
      </c>
    </row>
    <row r="1838">
      <c r="B1838" s="113" t="n"/>
      <c r="C1838" s="114" t="n"/>
      <c r="D1838" s="115" t="n"/>
      <c r="E1838" s="116" t="n"/>
      <c r="F1838" s="115" t="n"/>
      <c r="G1838" s="117">
        <f>IF(COUNTA(B1838:E1838)=0,"",IF(COUNTA(B1838:E1838)&lt;4,"⚠ กรอกไม่ครบ",IF(NOT(ISNUMBER(B1838)),"⚠ วันที่ไม่ถูกต้อง",IF(COUNTIFS(Setup!$L$6:$L$60,D1838,Setup!$M$6:$M$60,C1838)=0,"⚠ หมวดไม่ตรงประเภท","✓"))))</f>
        <v/>
      </c>
    </row>
    <row r="1839">
      <c r="B1839" s="113" t="n"/>
      <c r="C1839" s="114" t="n"/>
      <c r="D1839" s="115" t="n"/>
      <c r="E1839" s="116" t="n"/>
      <c r="F1839" s="115" t="n"/>
      <c r="G1839" s="117">
        <f>IF(COUNTA(B1839:E1839)=0,"",IF(COUNTA(B1839:E1839)&lt;4,"⚠ กรอกไม่ครบ",IF(NOT(ISNUMBER(B1839)),"⚠ วันที่ไม่ถูกต้อง",IF(COUNTIFS(Setup!$L$6:$L$60,D1839,Setup!$M$6:$M$60,C1839)=0,"⚠ หมวดไม่ตรงประเภท","✓"))))</f>
        <v/>
      </c>
    </row>
    <row r="1840">
      <c r="B1840" s="113" t="n"/>
      <c r="C1840" s="114" t="n"/>
      <c r="D1840" s="115" t="n"/>
      <c r="E1840" s="116" t="n"/>
      <c r="F1840" s="115" t="n"/>
      <c r="G1840" s="117">
        <f>IF(COUNTA(B1840:E1840)=0,"",IF(COUNTA(B1840:E1840)&lt;4,"⚠ กรอกไม่ครบ",IF(NOT(ISNUMBER(B1840)),"⚠ วันที่ไม่ถูกต้อง",IF(COUNTIFS(Setup!$L$6:$L$60,D1840,Setup!$M$6:$M$60,C1840)=0,"⚠ หมวดไม่ตรงประเภท","✓"))))</f>
        <v/>
      </c>
    </row>
    <row r="1841">
      <c r="B1841" s="113" t="n"/>
      <c r="C1841" s="114" t="n"/>
      <c r="D1841" s="115" t="n"/>
      <c r="E1841" s="116" t="n"/>
      <c r="F1841" s="115" t="n"/>
      <c r="G1841" s="117">
        <f>IF(COUNTA(B1841:E1841)=0,"",IF(COUNTA(B1841:E1841)&lt;4,"⚠ กรอกไม่ครบ",IF(NOT(ISNUMBER(B1841)),"⚠ วันที่ไม่ถูกต้อง",IF(COUNTIFS(Setup!$L$6:$L$60,D1841,Setup!$M$6:$M$60,C1841)=0,"⚠ หมวดไม่ตรงประเภท","✓"))))</f>
        <v/>
      </c>
    </row>
    <row r="1842">
      <c r="B1842" s="113" t="n"/>
      <c r="C1842" s="114" t="n"/>
      <c r="D1842" s="115" t="n"/>
      <c r="E1842" s="116" t="n"/>
      <c r="F1842" s="115" t="n"/>
      <c r="G1842" s="117">
        <f>IF(COUNTA(B1842:E1842)=0,"",IF(COUNTA(B1842:E1842)&lt;4,"⚠ กรอกไม่ครบ",IF(NOT(ISNUMBER(B1842)),"⚠ วันที่ไม่ถูกต้อง",IF(COUNTIFS(Setup!$L$6:$L$60,D1842,Setup!$M$6:$M$60,C1842)=0,"⚠ หมวดไม่ตรงประเภท","✓"))))</f>
        <v/>
      </c>
    </row>
    <row r="1843">
      <c r="B1843" s="113" t="n"/>
      <c r="C1843" s="114" t="n"/>
      <c r="D1843" s="115" t="n"/>
      <c r="E1843" s="116" t="n"/>
      <c r="F1843" s="115" t="n"/>
      <c r="G1843" s="117">
        <f>IF(COUNTA(B1843:E1843)=0,"",IF(COUNTA(B1843:E1843)&lt;4,"⚠ กรอกไม่ครบ",IF(NOT(ISNUMBER(B1843)),"⚠ วันที่ไม่ถูกต้อง",IF(COUNTIFS(Setup!$L$6:$L$60,D1843,Setup!$M$6:$M$60,C1843)=0,"⚠ หมวดไม่ตรงประเภท","✓"))))</f>
        <v/>
      </c>
    </row>
    <row r="1844">
      <c r="B1844" s="113" t="n"/>
      <c r="C1844" s="114" t="n"/>
      <c r="D1844" s="115" t="n"/>
      <c r="E1844" s="116" t="n"/>
      <c r="F1844" s="115" t="n"/>
      <c r="G1844" s="117">
        <f>IF(COUNTA(B1844:E1844)=0,"",IF(COUNTA(B1844:E1844)&lt;4,"⚠ กรอกไม่ครบ",IF(NOT(ISNUMBER(B1844)),"⚠ วันที่ไม่ถูกต้อง",IF(COUNTIFS(Setup!$L$6:$L$60,D1844,Setup!$M$6:$M$60,C1844)=0,"⚠ หมวดไม่ตรงประเภท","✓"))))</f>
        <v/>
      </c>
    </row>
    <row r="1845">
      <c r="B1845" s="113" t="n"/>
      <c r="C1845" s="114" t="n"/>
      <c r="D1845" s="115" t="n"/>
      <c r="E1845" s="116" t="n"/>
      <c r="F1845" s="115" t="n"/>
      <c r="G1845" s="117">
        <f>IF(COUNTA(B1845:E1845)=0,"",IF(COUNTA(B1845:E1845)&lt;4,"⚠ กรอกไม่ครบ",IF(NOT(ISNUMBER(B1845)),"⚠ วันที่ไม่ถูกต้อง",IF(COUNTIFS(Setup!$L$6:$L$60,D1845,Setup!$M$6:$M$60,C1845)=0,"⚠ หมวดไม่ตรงประเภท","✓"))))</f>
        <v/>
      </c>
    </row>
    <row r="1846">
      <c r="B1846" s="113" t="n"/>
      <c r="C1846" s="114" t="n"/>
      <c r="D1846" s="115" t="n"/>
      <c r="E1846" s="116" t="n"/>
      <c r="F1846" s="115" t="n"/>
      <c r="G1846" s="117">
        <f>IF(COUNTA(B1846:E1846)=0,"",IF(COUNTA(B1846:E1846)&lt;4,"⚠ กรอกไม่ครบ",IF(NOT(ISNUMBER(B1846)),"⚠ วันที่ไม่ถูกต้อง",IF(COUNTIFS(Setup!$L$6:$L$60,D1846,Setup!$M$6:$M$60,C1846)=0,"⚠ หมวดไม่ตรงประเภท","✓"))))</f>
        <v/>
      </c>
    </row>
    <row r="1847">
      <c r="B1847" s="113" t="n"/>
      <c r="C1847" s="114" t="n"/>
      <c r="D1847" s="115" t="n"/>
      <c r="E1847" s="116" t="n"/>
      <c r="F1847" s="115" t="n"/>
      <c r="G1847" s="117">
        <f>IF(COUNTA(B1847:E1847)=0,"",IF(COUNTA(B1847:E1847)&lt;4,"⚠ กรอกไม่ครบ",IF(NOT(ISNUMBER(B1847)),"⚠ วันที่ไม่ถูกต้อง",IF(COUNTIFS(Setup!$L$6:$L$60,D1847,Setup!$M$6:$M$60,C1847)=0,"⚠ หมวดไม่ตรงประเภท","✓"))))</f>
        <v/>
      </c>
    </row>
    <row r="1848">
      <c r="B1848" s="113" t="n"/>
      <c r="C1848" s="114" t="n"/>
      <c r="D1848" s="115" t="n"/>
      <c r="E1848" s="116" t="n"/>
      <c r="F1848" s="115" t="n"/>
      <c r="G1848" s="117">
        <f>IF(COUNTA(B1848:E1848)=0,"",IF(COUNTA(B1848:E1848)&lt;4,"⚠ กรอกไม่ครบ",IF(NOT(ISNUMBER(B1848)),"⚠ วันที่ไม่ถูกต้อง",IF(COUNTIFS(Setup!$L$6:$L$60,D1848,Setup!$M$6:$M$60,C1848)=0,"⚠ หมวดไม่ตรงประเภท","✓"))))</f>
        <v/>
      </c>
    </row>
    <row r="1849">
      <c r="B1849" s="113" t="n"/>
      <c r="C1849" s="114" t="n"/>
      <c r="D1849" s="115" t="n"/>
      <c r="E1849" s="116" t="n"/>
      <c r="F1849" s="115" t="n"/>
      <c r="G1849" s="117">
        <f>IF(COUNTA(B1849:E1849)=0,"",IF(COUNTA(B1849:E1849)&lt;4,"⚠ กรอกไม่ครบ",IF(NOT(ISNUMBER(B1849)),"⚠ วันที่ไม่ถูกต้อง",IF(COUNTIFS(Setup!$L$6:$L$60,D1849,Setup!$M$6:$M$60,C1849)=0,"⚠ หมวดไม่ตรงประเภท","✓"))))</f>
        <v/>
      </c>
    </row>
    <row r="1850">
      <c r="B1850" s="113" t="n"/>
      <c r="C1850" s="114" t="n"/>
      <c r="D1850" s="115" t="n"/>
      <c r="E1850" s="116" t="n"/>
      <c r="F1850" s="115" t="n"/>
      <c r="G1850" s="117">
        <f>IF(COUNTA(B1850:E1850)=0,"",IF(COUNTA(B1850:E1850)&lt;4,"⚠ กรอกไม่ครบ",IF(NOT(ISNUMBER(B1850)),"⚠ วันที่ไม่ถูกต้อง",IF(COUNTIFS(Setup!$L$6:$L$60,D1850,Setup!$M$6:$M$60,C1850)=0,"⚠ หมวดไม่ตรงประเภท","✓"))))</f>
        <v/>
      </c>
    </row>
    <row r="1851">
      <c r="B1851" s="113" t="n"/>
      <c r="C1851" s="114" t="n"/>
      <c r="D1851" s="115" t="n"/>
      <c r="E1851" s="116" t="n"/>
      <c r="F1851" s="115" t="n"/>
      <c r="G1851" s="117">
        <f>IF(COUNTA(B1851:E1851)=0,"",IF(COUNTA(B1851:E1851)&lt;4,"⚠ กรอกไม่ครบ",IF(NOT(ISNUMBER(B1851)),"⚠ วันที่ไม่ถูกต้อง",IF(COUNTIFS(Setup!$L$6:$L$60,D1851,Setup!$M$6:$M$60,C1851)=0,"⚠ หมวดไม่ตรงประเภท","✓"))))</f>
        <v/>
      </c>
    </row>
    <row r="1852">
      <c r="B1852" s="113" t="n"/>
      <c r="C1852" s="114" t="n"/>
      <c r="D1852" s="115" t="n"/>
      <c r="E1852" s="116" t="n"/>
      <c r="F1852" s="115" t="n"/>
      <c r="G1852" s="117">
        <f>IF(COUNTA(B1852:E1852)=0,"",IF(COUNTA(B1852:E1852)&lt;4,"⚠ กรอกไม่ครบ",IF(NOT(ISNUMBER(B1852)),"⚠ วันที่ไม่ถูกต้อง",IF(COUNTIFS(Setup!$L$6:$L$60,D1852,Setup!$M$6:$M$60,C1852)=0,"⚠ หมวดไม่ตรงประเภท","✓"))))</f>
        <v/>
      </c>
    </row>
    <row r="1853">
      <c r="B1853" s="113" t="n"/>
      <c r="C1853" s="114" t="n"/>
      <c r="D1853" s="115" t="n"/>
      <c r="E1853" s="116" t="n"/>
      <c r="F1853" s="115" t="n"/>
      <c r="G1853" s="117">
        <f>IF(COUNTA(B1853:E1853)=0,"",IF(COUNTA(B1853:E1853)&lt;4,"⚠ กรอกไม่ครบ",IF(NOT(ISNUMBER(B1853)),"⚠ วันที่ไม่ถูกต้อง",IF(COUNTIFS(Setup!$L$6:$L$60,D1853,Setup!$M$6:$M$60,C1853)=0,"⚠ หมวดไม่ตรงประเภท","✓"))))</f>
        <v/>
      </c>
    </row>
    <row r="1854">
      <c r="B1854" s="113" t="n"/>
      <c r="C1854" s="114" t="n"/>
      <c r="D1854" s="115" t="n"/>
      <c r="E1854" s="116" t="n"/>
      <c r="F1854" s="115" t="n"/>
      <c r="G1854" s="117">
        <f>IF(COUNTA(B1854:E1854)=0,"",IF(COUNTA(B1854:E1854)&lt;4,"⚠ กรอกไม่ครบ",IF(NOT(ISNUMBER(B1854)),"⚠ วันที่ไม่ถูกต้อง",IF(COUNTIFS(Setup!$L$6:$L$60,D1854,Setup!$M$6:$M$60,C1854)=0,"⚠ หมวดไม่ตรงประเภท","✓"))))</f>
        <v/>
      </c>
    </row>
    <row r="1855">
      <c r="B1855" s="113" t="n"/>
      <c r="C1855" s="114" t="n"/>
      <c r="D1855" s="115" t="n"/>
      <c r="E1855" s="116" t="n"/>
      <c r="F1855" s="115" t="n"/>
      <c r="G1855" s="117">
        <f>IF(COUNTA(B1855:E1855)=0,"",IF(COUNTA(B1855:E1855)&lt;4,"⚠ กรอกไม่ครบ",IF(NOT(ISNUMBER(B1855)),"⚠ วันที่ไม่ถูกต้อง",IF(COUNTIFS(Setup!$L$6:$L$60,D1855,Setup!$M$6:$M$60,C1855)=0,"⚠ หมวดไม่ตรงประเภท","✓"))))</f>
        <v/>
      </c>
    </row>
    <row r="1856">
      <c r="B1856" s="113" t="n"/>
      <c r="C1856" s="114" t="n"/>
      <c r="D1856" s="115" t="n"/>
      <c r="E1856" s="116" t="n"/>
      <c r="F1856" s="115" t="n"/>
      <c r="G1856" s="117">
        <f>IF(COUNTA(B1856:E1856)=0,"",IF(COUNTA(B1856:E1856)&lt;4,"⚠ กรอกไม่ครบ",IF(NOT(ISNUMBER(B1856)),"⚠ วันที่ไม่ถูกต้อง",IF(COUNTIFS(Setup!$L$6:$L$60,D1856,Setup!$M$6:$M$60,C1856)=0,"⚠ หมวดไม่ตรงประเภท","✓"))))</f>
        <v/>
      </c>
    </row>
    <row r="1857">
      <c r="B1857" s="113" t="n"/>
      <c r="C1857" s="114" t="n"/>
      <c r="D1857" s="115" t="n"/>
      <c r="E1857" s="116" t="n"/>
      <c r="F1857" s="115" t="n"/>
      <c r="G1857" s="117">
        <f>IF(COUNTA(B1857:E1857)=0,"",IF(COUNTA(B1857:E1857)&lt;4,"⚠ กรอกไม่ครบ",IF(NOT(ISNUMBER(B1857)),"⚠ วันที่ไม่ถูกต้อง",IF(COUNTIFS(Setup!$L$6:$L$60,D1857,Setup!$M$6:$M$60,C1857)=0,"⚠ หมวดไม่ตรงประเภท","✓"))))</f>
        <v/>
      </c>
    </row>
    <row r="1858">
      <c r="B1858" s="113" t="n"/>
      <c r="C1858" s="114" t="n"/>
      <c r="D1858" s="115" t="n"/>
      <c r="E1858" s="116" t="n"/>
      <c r="F1858" s="115" t="n"/>
      <c r="G1858" s="117">
        <f>IF(COUNTA(B1858:E1858)=0,"",IF(COUNTA(B1858:E1858)&lt;4,"⚠ กรอกไม่ครบ",IF(NOT(ISNUMBER(B1858)),"⚠ วันที่ไม่ถูกต้อง",IF(COUNTIFS(Setup!$L$6:$L$60,D1858,Setup!$M$6:$M$60,C1858)=0,"⚠ หมวดไม่ตรงประเภท","✓"))))</f>
        <v/>
      </c>
    </row>
    <row r="1859">
      <c r="B1859" s="113" t="n"/>
      <c r="C1859" s="114" t="n"/>
      <c r="D1859" s="115" t="n"/>
      <c r="E1859" s="116" t="n"/>
      <c r="F1859" s="115" t="n"/>
      <c r="G1859" s="117">
        <f>IF(COUNTA(B1859:E1859)=0,"",IF(COUNTA(B1859:E1859)&lt;4,"⚠ กรอกไม่ครบ",IF(NOT(ISNUMBER(B1859)),"⚠ วันที่ไม่ถูกต้อง",IF(COUNTIFS(Setup!$L$6:$L$60,D1859,Setup!$M$6:$M$60,C1859)=0,"⚠ หมวดไม่ตรงประเภท","✓"))))</f>
        <v/>
      </c>
    </row>
    <row r="1860">
      <c r="B1860" s="113" t="n"/>
      <c r="C1860" s="114" t="n"/>
      <c r="D1860" s="115" t="n"/>
      <c r="E1860" s="116" t="n"/>
      <c r="F1860" s="115" t="n"/>
      <c r="G1860" s="117">
        <f>IF(COUNTA(B1860:E1860)=0,"",IF(COUNTA(B1860:E1860)&lt;4,"⚠ กรอกไม่ครบ",IF(NOT(ISNUMBER(B1860)),"⚠ วันที่ไม่ถูกต้อง",IF(COUNTIFS(Setup!$L$6:$L$60,D1860,Setup!$M$6:$M$60,C1860)=0,"⚠ หมวดไม่ตรงประเภท","✓"))))</f>
        <v/>
      </c>
    </row>
    <row r="1861">
      <c r="B1861" s="113" t="n"/>
      <c r="C1861" s="114" t="n"/>
      <c r="D1861" s="115" t="n"/>
      <c r="E1861" s="116" t="n"/>
      <c r="F1861" s="115" t="n"/>
      <c r="G1861" s="117">
        <f>IF(COUNTA(B1861:E1861)=0,"",IF(COUNTA(B1861:E1861)&lt;4,"⚠ กรอกไม่ครบ",IF(NOT(ISNUMBER(B1861)),"⚠ วันที่ไม่ถูกต้อง",IF(COUNTIFS(Setup!$L$6:$L$60,D1861,Setup!$M$6:$M$60,C1861)=0,"⚠ หมวดไม่ตรงประเภท","✓"))))</f>
        <v/>
      </c>
    </row>
    <row r="1862">
      <c r="B1862" s="113" t="n"/>
      <c r="C1862" s="114" t="n"/>
      <c r="D1862" s="115" t="n"/>
      <c r="E1862" s="116" t="n"/>
      <c r="F1862" s="115" t="n"/>
      <c r="G1862" s="117">
        <f>IF(COUNTA(B1862:E1862)=0,"",IF(COUNTA(B1862:E1862)&lt;4,"⚠ กรอกไม่ครบ",IF(NOT(ISNUMBER(B1862)),"⚠ วันที่ไม่ถูกต้อง",IF(COUNTIFS(Setup!$L$6:$L$60,D1862,Setup!$M$6:$M$60,C1862)=0,"⚠ หมวดไม่ตรงประเภท","✓"))))</f>
        <v/>
      </c>
    </row>
    <row r="1863">
      <c r="B1863" s="113" t="n"/>
      <c r="C1863" s="114" t="n"/>
      <c r="D1863" s="115" t="n"/>
      <c r="E1863" s="116" t="n"/>
      <c r="F1863" s="115" t="n"/>
      <c r="G1863" s="117">
        <f>IF(COUNTA(B1863:E1863)=0,"",IF(COUNTA(B1863:E1863)&lt;4,"⚠ กรอกไม่ครบ",IF(NOT(ISNUMBER(B1863)),"⚠ วันที่ไม่ถูกต้อง",IF(COUNTIFS(Setup!$L$6:$L$60,D1863,Setup!$M$6:$M$60,C1863)=0,"⚠ หมวดไม่ตรงประเภท","✓"))))</f>
        <v/>
      </c>
    </row>
    <row r="1864">
      <c r="B1864" s="113" t="n"/>
      <c r="C1864" s="114" t="n"/>
      <c r="D1864" s="115" t="n"/>
      <c r="E1864" s="116" t="n"/>
      <c r="F1864" s="115" t="n"/>
      <c r="G1864" s="117">
        <f>IF(COUNTA(B1864:E1864)=0,"",IF(COUNTA(B1864:E1864)&lt;4,"⚠ กรอกไม่ครบ",IF(NOT(ISNUMBER(B1864)),"⚠ วันที่ไม่ถูกต้อง",IF(COUNTIFS(Setup!$L$6:$L$60,D1864,Setup!$M$6:$M$60,C1864)=0,"⚠ หมวดไม่ตรงประเภท","✓"))))</f>
        <v/>
      </c>
    </row>
    <row r="1865">
      <c r="B1865" s="113" t="n"/>
      <c r="C1865" s="114" t="n"/>
      <c r="D1865" s="115" t="n"/>
      <c r="E1865" s="116" t="n"/>
      <c r="F1865" s="115" t="n"/>
      <c r="G1865" s="117">
        <f>IF(COUNTA(B1865:E1865)=0,"",IF(COUNTA(B1865:E1865)&lt;4,"⚠ กรอกไม่ครบ",IF(NOT(ISNUMBER(B1865)),"⚠ วันที่ไม่ถูกต้อง",IF(COUNTIFS(Setup!$L$6:$L$60,D1865,Setup!$M$6:$M$60,C1865)=0,"⚠ หมวดไม่ตรงประเภท","✓"))))</f>
        <v/>
      </c>
    </row>
    <row r="1866">
      <c r="B1866" s="113" t="n"/>
      <c r="C1866" s="114" t="n"/>
      <c r="D1866" s="115" t="n"/>
      <c r="E1866" s="116" t="n"/>
      <c r="F1866" s="115" t="n"/>
      <c r="G1866" s="117">
        <f>IF(COUNTA(B1866:E1866)=0,"",IF(COUNTA(B1866:E1866)&lt;4,"⚠ กรอกไม่ครบ",IF(NOT(ISNUMBER(B1866)),"⚠ วันที่ไม่ถูกต้อง",IF(COUNTIFS(Setup!$L$6:$L$60,D1866,Setup!$M$6:$M$60,C1866)=0,"⚠ หมวดไม่ตรงประเภท","✓"))))</f>
        <v/>
      </c>
    </row>
    <row r="1867">
      <c r="B1867" s="113" t="n"/>
      <c r="C1867" s="114" t="n"/>
      <c r="D1867" s="115" t="n"/>
      <c r="E1867" s="116" t="n"/>
      <c r="F1867" s="115" t="n"/>
      <c r="G1867" s="117">
        <f>IF(COUNTA(B1867:E1867)=0,"",IF(COUNTA(B1867:E1867)&lt;4,"⚠ กรอกไม่ครบ",IF(NOT(ISNUMBER(B1867)),"⚠ วันที่ไม่ถูกต้อง",IF(COUNTIFS(Setup!$L$6:$L$60,D1867,Setup!$M$6:$M$60,C1867)=0,"⚠ หมวดไม่ตรงประเภท","✓"))))</f>
        <v/>
      </c>
    </row>
    <row r="1868">
      <c r="B1868" s="113" t="n"/>
      <c r="C1868" s="114" t="n"/>
      <c r="D1868" s="115" t="n"/>
      <c r="E1868" s="116" t="n"/>
      <c r="F1868" s="115" t="n"/>
      <c r="G1868" s="117">
        <f>IF(COUNTA(B1868:E1868)=0,"",IF(COUNTA(B1868:E1868)&lt;4,"⚠ กรอกไม่ครบ",IF(NOT(ISNUMBER(B1868)),"⚠ วันที่ไม่ถูกต้อง",IF(COUNTIFS(Setup!$L$6:$L$60,D1868,Setup!$M$6:$M$60,C1868)=0,"⚠ หมวดไม่ตรงประเภท","✓"))))</f>
        <v/>
      </c>
    </row>
    <row r="1869">
      <c r="B1869" s="113" t="n"/>
      <c r="C1869" s="114" t="n"/>
      <c r="D1869" s="115" t="n"/>
      <c r="E1869" s="116" t="n"/>
      <c r="F1869" s="115" t="n"/>
      <c r="G1869" s="117">
        <f>IF(COUNTA(B1869:E1869)=0,"",IF(COUNTA(B1869:E1869)&lt;4,"⚠ กรอกไม่ครบ",IF(NOT(ISNUMBER(B1869)),"⚠ วันที่ไม่ถูกต้อง",IF(COUNTIFS(Setup!$L$6:$L$60,D1869,Setup!$M$6:$M$60,C1869)=0,"⚠ หมวดไม่ตรงประเภท","✓"))))</f>
        <v/>
      </c>
    </row>
    <row r="1870">
      <c r="B1870" s="113" t="n"/>
      <c r="C1870" s="114" t="n"/>
      <c r="D1870" s="115" t="n"/>
      <c r="E1870" s="116" t="n"/>
      <c r="F1870" s="115" t="n"/>
      <c r="G1870" s="117">
        <f>IF(COUNTA(B1870:E1870)=0,"",IF(COUNTA(B1870:E1870)&lt;4,"⚠ กรอกไม่ครบ",IF(NOT(ISNUMBER(B1870)),"⚠ วันที่ไม่ถูกต้อง",IF(COUNTIFS(Setup!$L$6:$L$60,D1870,Setup!$M$6:$M$60,C1870)=0,"⚠ หมวดไม่ตรงประเภท","✓"))))</f>
        <v/>
      </c>
    </row>
    <row r="1871">
      <c r="B1871" s="113" t="n"/>
      <c r="C1871" s="114" t="n"/>
      <c r="D1871" s="115" t="n"/>
      <c r="E1871" s="116" t="n"/>
      <c r="F1871" s="115" t="n"/>
      <c r="G1871" s="117">
        <f>IF(COUNTA(B1871:E1871)=0,"",IF(COUNTA(B1871:E1871)&lt;4,"⚠ กรอกไม่ครบ",IF(NOT(ISNUMBER(B1871)),"⚠ วันที่ไม่ถูกต้อง",IF(COUNTIFS(Setup!$L$6:$L$60,D1871,Setup!$M$6:$M$60,C1871)=0,"⚠ หมวดไม่ตรงประเภท","✓"))))</f>
        <v/>
      </c>
    </row>
    <row r="1872">
      <c r="B1872" s="113" t="n"/>
      <c r="C1872" s="114" t="n"/>
      <c r="D1872" s="115" t="n"/>
      <c r="E1872" s="116" t="n"/>
      <c r="F1872" s="115" t="n"/>
      <c r="G1872" s="117">
        <f>IF(COUNTA(B1872:E1872)=0,"",IF(COUNTA(B1872:E1872)&lt;4,"⚠ กรอกไม่ครบ",IF(NOT(ISNUMBER(B1872)),"⚠ วันที่ไม่ถูกต้อง",IF(COUNTIFS(Setup!$L$6:$L$60,D1872,Setup!$M$6:$M$60,C1872)=0,"⚠ หมวดไม่ตรงประเภท","✓"))))</f>
        <v/>
      </c>
    </row>
    <row r="1873">
      <c r="B1873" s="113" t="n"/>
      <c r="C1873" s="114" t="n"/>
      <c r="D1873" s="115" t="n"/>
      <c r="E1873" s="116" t="n"/>
      <c r="F1873" s="115" t="n"/>
      <c r="G1873" s="117">
        <f>IF(COUNTA(B1873:E1873)=0,"",IF(COUNTA(B1873:E1873)&lt;4,"⚠ กรอกไม่ครบ",IF(NOT(ISNUMBER(B1873)),"⚠ วันที่ไม่ถูกต้อง",IF(COUNTIFS(Setup!$L$6:$L$60,D1873,Setup!$M$6:$M$60,C1873)=0,"⚠ หมวดไม่ตรงประเภท","✓"))))</f>
        <v/>
      </c>
    </row>
    <row r="1874">
      <c r="B1874" s="113" t="n"/>
      <c r="C1874" s="114" t="n"/>
      <c r="D1874" s="115" t="n"/>
      <c r="E1874" s="116" t="n"/>
      <c r="F1874" s="115" t="n"/>
      <c r="G1874" s="117">
        <f>IF(COUNTA(B1874:E1874)=0,"",IF(COUNTA(B1874:E1874)&lt;4,"⚠ กรอกไม่ครบ",IF(NOT(ISNUMBER(B1874)),"⚠ วันที่ไม่ถูกต้อง",IF(COUNTIFS(Setup!$L$6:$L$60,D1874,Setup!$M$6:$M$60,C1874)=0,"⚠ หมวดไม่ตรงประเภท","✓"))))</f>
        <v/>
      </c>
    </row>
    <row r="1875">
      <c r="B1875" s="113" t="n"/>
      <c r="C1875" s="114" t="n"/>
      <c r="D1875" s="115" t="n"/>
      <c r="E1875" s="116" t="n"/>
      <c r="F1875" s="115" t="n"/>
      <c r="G1875" s="117">
        <f>IF(COUNTA(B1875:E1875)=0,"",IF(COUNTA(B1875:E1875)&lt;4,"⚠ กรอกไม่ครบ",IF(NOT(ISNUMBER(B1875)),"⚠ วันที่ไม่ถูกต้อง",IF(COUNTIFS(Setup!$L$6:$L$60,D1875,Setup!$M$6:$M$60,C1875)=0,"⚠ หมวดไม่ตรงประเภท","✓"))))</f>
        <v/>
      </c>
    </row>
    <row r="1876">
      <c r="B1876" s="113" t="n"/>
      <c r="C1876" s="114" t="n"/>
      <c r="D1876" s="115" t="n"/>
      <c r="E1876" s="116" t="n"/>
      <c r="F1876" s="115" t="n"/>
      <c r="G1876" s="117">
        <f>IF(COUNTA(B1876:E1876)=0,"",IF(COUNTA(B1876:E1876)&lt;4,"⚠ กรอกไม่ครบ",IF(NOT(ISNUMBER(B1876)),"⚠ วันที่ไม่ถูกต้อง",IF(COUNTIFS(Setup!$L$6:$L$60,D1876,Setup!$M$6:$M$60,C1876)=0,"⚠ หมวดไม่ตรงประเภท","✓"))))</f>
        <v/>
      </c>
    </row>
    <row r="1877">
      <c r="B1877" s="113" t="n"/>
      <c r="C1877" s="114" t="n"/>
      <c r="D1877" s="115" t="n"/>
      <c r="E1877" s="116" t="n"/>
      <c r="F1877" s="115" t="n"/>
      <c r="G1877" s="117">
        <f>IF(COUNTA(B1877:E1877)=0,"",IF(COUNTA(B1877:E1877)&lt;4,"⚠ กรอกไม่ครบ",IF(NOT(ISNUMBER(B1877)),"⚠ วันที่ไม่ถูกต้อง",IF(COUNTIFS(Setup!$L$6:$L$60,D1877,Setup!$M$6:$M$60,C1877)=0,"⚠ หมวดไม่ตรงประเภท","✓"))))</f>
        <v/>
      </c>
    </row>
    <row r="1878">
      <c r="B1878" s="113" t="n"/>
      <c r="C1878" s="114" t="n"/>
      <c r="D1878" s="115" t="n"/>
      <c r="E1878" s="116" t="n"/>
      <c r="F1878" s="115" t="n"/>
      <c r="G1878" s="117">
        <f>IF(COUNTA(B1878:E1878)=0,"",IF(COUNTA(B1878:E1878)&lt;4,"⚠ กรอกไม่ครบ",IF(NOT(ISNUMBER(B1878)),"⚠ วันที่ไม่ถูกต้อง",IF(COUNTIFS(Setup!$L$6:$L$60,D1878,Setup!$M$6:$M$60,C1878)=0,"⚠ หมวดไม่ตรงประเภท","✓"))))</f>
        <v/>
      </c>
    </row>
    <row r="1879">
      <c r="B1879" s="113" t="n"/>
      <c r="C1879" s="114" t="n"/>
      <c r="D1879" s="115" t="n"/>
      <c r="E1879" s="116" t="n"/>
      <c r="F1879" s="115" t="n"/>
      <c r="G1879" s="117">
        <f>IF(COUNTA(B1879:E1879)=0,"",IF(COUNTA(B1879:E1879)&lt;4,"⚠ กรอกไม่ครบ",IF(NOT(ISNUMBER(B1879)),"⚠ วันที่ไม่ถูกต้อง",IF(COUNTIFS(Setup!$L$6:$L$60,D1879,Setup!$M$6:$M$60,C1879)=0,"⚠ หมวดไม่ตรงประเภท","✓"))))</f>
        <v/>
      </c>
    </row>
    <row r="1880">
      <c r="B1880" s="113" t="n"/>
      <c r="C1880" s="114" t="n"/>
      <c r="D1880" s="115" t="n"/>
      <c r="E1880" s="116" t="n"/>
      <c r="F1880" s="115" t="n"/>
      <c r="G1880" s="117">
        <f>IF(COUNTA(B1880:E1880)=0,"",IF(COUNTA(B1880:E1880)&lt;4,"⚠ กรอกไม่ครบ",IF(NOT(ISNUMBER(B1880)),"⚠ วันที่ไม่ถูกต้อง",IF(COUNTIFS(Setup!$L$6:$L$60,D1880,Setup!$M$6:$M$60,C1880)=0,"⚠ หมวดไม่ตรงประเภท","✓"))))</f>
        <v/>
      </c>
    </row>
    <row r="1881">
      <c r="B1881" s="113" t="n"/>
      <c r="C1881" s="114" t="n"/>
      <c r="D1881" s="115" t="n"/>
      <c r="E1881" s="116" t="n"/>
      <c r="F1881" s="115" t="n"/>
      <c r="G1881" s="117">
        <f>IF(COUNTA(B1881:E1881)=0,"",IF(COUNTA(B1881:E1881)&lt;4,"⚠ กรอกไม่ครบ",IF(NOT(ISNUMBER(B1881)),"⚠ วันที่ไม่ถูกต้อง",IF(COUNTIFS(Setup!$L$6:$L$60,D1881,Setup!$M$6:$M$60,C1881)=0,"⚠ หมวดไม่ตรงประเภท","✓"))))</f>
        <v/>
      </c>
    </row>
    <row r="1882">
      <c r="B1882" s="113" t="n"/>
      <c r="C1882" s="114" t="n"/>
      <c r="D1882" s="115" t="n"/>
      <c r="E1882" s="116" t="n"/>
      <c r="F1882" s="115" t="n"/>
      <c r="G1882" s="117">
        <f>IF(COUNTA(B1882:E1882)=0,"",IF(COUNTA(B1882:E1882)&lt;4,"⚠ กรอกไม่ครบ",IF(NOT(ISNUMBER(B1882)),"⚠ วันที่ไม่ถูกต้อง",IF(COUNTIFS(Setup!$L$6:$L$60,D1882,Setup!$M$6:$M$60,C1882)=0,"⚠ หมวดไม่ตรงประเภท","✓"))))</f>
        <v/>
      </c>
    </row>
    <row r="1883">
      <c r="B1883" s="113" t="n"/>
      <c r="C1883" s="114" t="n"/>
      <c r="D1883" s="115" t="n"/>
      <c r="E1883" s="116" t="n"/>
      <c r="F1883" s="115" t="n"/>
      <c r="G1883" s="117">
        <f>IF(COUNTA(B1883:E1883)=0,"",IF(COUNTA(B1883:E1883)&lt;4,"⚠ กรอกไม่ครบ",IF(NOT(ISNUMBER(B1883)),"⚠ วันที่ไม่ถูกต้อง",IF(COUNTIFS(Setup!$L$6:$L$60,D1883,Setup!$M$6:$M$60,C1883)=0,"⚠ หมวดไม่ตรงประเภท","✓"))))</f>
        <v/>
      </c>
    </row>
    <row r="1884">
      <c r="B1884" s="113" t="n"/>
      <c r="C1884" s="114" t="n"/>
      <c r="D1884" s="115" t="n"/>
      <c r="E1884" s="116" t="n"/>
      <c r="F1884" s="115" t="n"/>
      <c r="G1884" s="117">
        <f>IF(COUNTA(B1884:E1884)=0,"",IF(COUNTA(B1884:E1884)&lt;4,"⚠ กรอกไม่ครบ",IF(NOT(ISNUMBER(B1884)),"⚠ วันที่ไม่ถูกต้อง",IF(COUNTIFS(Setup!$L$6:$L$60,D1884,Setup!$M$6:$M$60,C1884)=0,"⚠ หมวดไม่ตรงประเภท","✓"))))</f>
        <v/>
      </c>
    </row>
    <row r="1885">
      <c r="B1885" s="113" t="n"/>
      <c r="C1885" s="114" t="n"/>
      <c r="D1885" s="115" t="n"/>
      <c r="E1885" s="116" t="n"/>
      <c r="F1885" s="115" t="n"/>
      <c r="G1885" s="117">
        <f>IF(COUNTA(B1885:E1885)=0,"",IF(COUNTA(B1885:E1885)&lt;4,"⚠ กรอกไม่ครบ",IF(NOT(ISNUMBER(B1885)),"⚠ วันที่ไม่ถูกต้อง",IF(COUNTIFS(Setup!$L$6:$L$60,D1885,Setup!$M$6:$M$60,C1885)=0,"⚠ หมวดไม่ตรงประเภท","✓"))))</f>
        <v/>
      </c>
    </row>
    <row r="1886">
      <c r="B1886" s="113" t="n"/>
      <c r="C1886" s="114" t="n"/>
      <c r="D1886" s="115" t="n"/>
      <c r="E1886" s="116" t="n"/>
      <c r="F1886" s="115" t="n"/>
      <c r="G1886" s="117">
        <f>IF(COUNTA(B1886:E1886)=0,"",IF(COUNTA(B1886:E1886)&lt;4,"⚠ กรอกไม่ครบ",IF(NOT(ISNUMBER(B1886)),"⚠ วันที่ไม่ถูกต้อง",IF(COUNTIFS(Setup!$L$6:$L$60,D1886,Setup!$M$6:$M$60,C1886)=0,"⚠ หมวดไม่ตรงประเภท","✓"))))</f>
        <v/>
      </c>
    </row>
    <row r="1887">
      <c r="B1887" s="113" t="n"/>
      <c r="C1887" s="114" t="n"/>
      <c r="D1887" s="115" t="n"/>
      <c r="E1887" s="116" t="n"/>
      <c r="F1887" s="115" t="n"/>
      <c r="G1887" s="117">
        <f>IF(COUNTA(B1887:E1887)=0,"",IF(COUNTA(B1887:E1887)&lt;4,"⚠ กรอกไม่ครบ",IF(NOT(ISNUMBER(B1887)),"⚠ วันที่ไม่ถูกต้อง",IF(COUNTIFS(Setup!$L$6:$L$60,D1887,Setup!$M$6:$M$60,C1887)=0,"⚠ หมวดไม่ตรงประเภท","✓"))))</f>
        <v/>
      </c>
    </row>
    <row r="1888">
      <c r="B1888" s="113" t="n"/>
      <c r="C1888" s="114" t="n"/>
      <c r="D1888" s="115" t="n"/>
      <c r="E1888" s="116" t="n"/>
      <c r="F1888" s="115" t="n"/>
      <c r="G1888" s="117">
        <f>IF(COUNTA(B1888:E1888)=0,"",IF(COUNTA(B1888:E1888)&lt;4,"⚠ กรอกไม่ครบ",IF(NOT(ISNUMBER(B1888)),"⚠ วันที่ไม่ถูกต้อง",IF(COUNTIFS(Setup!$L$6:$L$60,D1888,Setup!$M$6:$M$60,C1888)=0,"⚠ หมวดไม่ตรงประเภท","✓"))))</f>
        <v/>
      </c>
    </row>
    <row r="1889">
      <c r="B1889" s="113" t="n"/>
      <c r="C1889" s="114" t="n"/>
      <c r="D1889" s="115" t="n"/>
      <c r="E1889" s="116" t="n"/>
      <c r="F1889" s="115" t="n"/>
      <c r="G1889" s="117">
        <f>IF(COUNTA(B1889:E1889)=0,"",IF(COUNTA(B1889:E1889)&lt;4,"⚠ กรอกไม่ครบ",IF(NOT(ISNUMBER(B1889)),"⚠ วันที่ไม่ถูกต้อง",IF(COUNTIFS(Setup!$L$6:$L$60,D1889,Setup!$M$6:$M$60,C1889)=0,"⚠ หมวดไม่ตรงประเภท","✓"))))</f>
        <v/>
      </c>
    </row>
    <row r="1890">
      <c r="B1890" s="113" t="n"/>
      <c r="C1890" s="114" t="n"/>
      <c r="D1890" s="115" t="n"/>
      <c r="E1890" s="116" t="n"/>
      <c r="F1890" s="115" t="n"/>
      <c r="G1890" s="117">
        <f>IF(COUNTA(B1890:E1890)=0,"",IF(COUNTA(B1890:E1890)&lt;4,"⚠ กรอกไม่ครบ",IF(NOT(ISNUMBER(B1890)),"⚠ วันที่ไม่ถูกต้อง",IF(COUNTIFS(Setup!$L$6:$L$60,D1890,Setup!$M$6:$M$60,C1890)=0,"⚠ หมวดไม่ตรงประเภท","✓"))))</f>
        <v/>
      </c>
    </row>
    <row r="1891">
      <c r="B1891" s="113" t="n"/>
      <c r="C1891" s="114" t="n"/>
      <c r="D1891" s="115" t="n"/>
      <c r="E1891" s="116" t="n"/>
      <c r="F1891" s="115" t="n"/>
      <c r="G1891" s="117">
        <f>IF(COUNTA(B1891:E1891)=0,"",IF(COUNTA(B1891:E1891)&lt;4,"⚠ กรอกไม่ครบ",IF(NOT(ISNUMBER(B1891)),"⚠ วันที่ไม่ถูกต้อง",IF(COUNTIFS(Setup!$L$6:$L$60,D1891,Setup!$M$6:$M$60,C1891)=0,"⚠ หมวดไม่ตรงประเภท","✓"))))</f>
        <v/>
      </c>
    </row>
    <row r="1892">
      <c r="B1892" s="113" t="n"/>
      <c r="C1892" s="114" t="n"/>
      <c r="D1892" s="115" t="n"/>
      <c r="E1892" s="116" t="n"/>
      <c r="F1892" s="115" t="n"/>
      <c r="G1892" s="117">
        <f>IF(COUNTA(B1892:E1892)=0,"",IF(COUNTA(B1892:E1892)&lt;4,"⚠ กรอกไม่ครบ",IF(NOT(ISNUMBER(B1892)),"⚠ วันที่ไม่ถูกต้อง",IF(COUNTIFS(Setup!$L$6:$L$60,D1892,Setup!$M$6:$M$60,C1892)=0,"⚠ หมวดไม่ตรงประเภท","✓"))))</f>
        <v/>
      </c>
    </row>
    <row r="1893">
      <c r="B1893" s="113" t="n"/>
      <c r="C1893" s="114" t="n"/>
      <c r="D1893" s="115" t="n"/>
      <c r="E1893" s="116" t="n"/>
      <c r="F1893" s="115" t="n"/>
      <c r="G1893" s="117">
        <f>IF(COUNTA(B1893:E1893)=0,"",IF(COUNTA(B1893:E1893)&lt;4,"⚠ กรอกไม่ครบ",IF(NOT(ISNUMBER(B1893)),"⚠ วันที่ไม่ถูกต้อง",IF(COUNTIFS(Setup!$L$6:$L$60,D1893,Setup!$M$6:$M$60,C1893)=0,"⚠ หมวดไม่ตรงประเภท","✓"))))</f>
        <v/>
      </c>
    </row>
    <row r="1894">
      <c r="B1894" s="113" t="n"/>
      <c r="C1894" s="114" t="n"/>
      <c r="D1894" s="115" t="n"/>
      <c r="E1894" s="116" t="n"/>
      <c r="F1894" s="115" t="n"/>
      <c r="G1894" s="117">
        <f>IF(COUNTA(B1894:E1894)=0,"",IF(COUNTA(B1894:E1894)&lt;4,"⚠ กรอกไม่ครบ",IF(NOT(ISNUMBER(B1894)),"⚠ วันที่ไม่ถูกต้อง",IF(COUNTIFS(Setup!$L$6:$L$60,D1894,Setup!$M$6:$M$60,C1894)=0,"⚠ หมวดไม่ตรงประเภท","✓"))))</f>
        <v/>
      </c>
    </row>
    <row r="1895">
      <c r="B1895" s="113" t="n"/>
      <c r="C1895" s="114" t="n"/>
      <c r="D1895" s="115" t="n"/>
      <c r="E1895" s="116" t="n"/>
      <c r="F1895" s="115" t="n"/>
      <c r="G1895" s="117">
        <f>IF(COUNTA(B1895:E1895)=0,"",IF(COUNTA(B1895:E1895)&lt;4,"⚠ กรอกไม่ครบ",IF(NOT(ISNUMBER(B1895)),"⚠ วันที่ไม่ถูกต้อง",IF(COUNTIFS(Setup!$L$6:$L$60,D1895,Setup!$M$6:$M$60,C1895)=0,"⚠ หมวดไม่ตรงประเภท","✓"))))</f>
        <v/>
      </c>
    </row>
    <row r="1896">
      <c r="B1896" s="113" t="n"/>
      <c r="C1896" s="114" t="n"/>
      <c r="D1896" s="115" t="n"/>
      <c r="E1896" s="116" t="n"/>
      <c r="F1896" s="115" t="n"/>
      <c r="G1896" s="117">
        <f>IF(COUNTA(B1896:E1896)=0,"",IF(COUNTA(B1896:E1896)&lt;4,"⚠ กรอกไม่ครบ",IF(NOT(ISNUMBER(B1896)),"⚠ วันที่ไม่ถูกต้อง",IF(COUNTIFS(Setup!$L$6:$L$60,D1896,Setup!$M$6:$M$60,C1896)=0,"⚠ หมวดไม่ตรงประเภท","✓"))))</f>
        <v/>
      </c>
    </row>
    <row r="1897">
      <c r="B1897" s="113" t="n"/>
      <c r="C1897" s="114" t="n"/>
      <c r="D1897" s="115" t="n"/>
      <c r="E1897" s="116" t="n"/>
      <c r="F1897" s="115" t="n"/>
      <c r="G1897" s="117">
        <f>IF(COUNTA(B1897:E1897)=0,"",IF(COUNTA(B1897:E1897)&lt;4,"⚠ กรอกไม่ครบ",IF(NOT(ISNUMBER(B1897)),"⚠ วันที่ไม่ถูกต้อง",IF(COUNTIFS(Setup!$L$6:$L$60,D1897,Setup!$M$6:$M$60,C1897)=0,"⚠ หมวดไม่ตรงประเภท","✓"))))</f>
        <v/>
      </c>
    </row>
    <row r="1898">
      <c r="B1898" s="113" t="n"/>
      <c r="C1898" s="114" t="n"/>
      <c r="D1898" s="115" t="n"/>
      <c r="E1898" s="116" t="n"/>
      <c r="F1898" s="115" t="n"/>
      <c r="G1898" s="117">
        <f>IF(COUNTA(B1898:E1898)=0,"",IF(COUNTA(B1898:E1898)&lt;4,"⚠ กรอกไม่ครบ",IF(NOT(ISNUMBER(B1898)),"⚠ วันที่ไม่ถูกต้อง",IF(COUNTIFS(Setup!$L$6:$L$60,D1898,Setup!$M$6:$M$60,C1898)=0,"⚠ หมวดไม่ตรงประเภท","✓"))))</f>
        <v/>
      </c>
    </row>
    <row r="1899">
      <c r="B1899" s="113" t="n"/>
      <c r="C1899" s="114" t="n"/>
      <c r="D1899" s="115" t="n"/>
      <c r="E1899" s="116" t="n"/>
      <c r="F1899" s="115" t="n"/>
      <c r="G1899" s="117">
        <f>IF(COUNTA(B1899:E1899)=0,"",IF(COUNTA(B1899:E1899)&lt;4,"⚠ กรอกไม่ครบ",IF(NOT(ISNUMBER(B1899)),"⚠ วันที่ไม่ถูกต้อง",IF(COUNTIFS(Setup!$L$6:$L$60,D1899,Setup!$M$6:$M$60,C1899)=0,"⚠ หมวดไม่ตรงประเภท","✓"))))</f>
        <v/>
      </c>
    </row>
    <row r="1900">
      <c r="B1900" s="113" t="n"/>
      <c r="C1900" s="114" t="n"/>
      <c r="D1900" s="115" t="n"/>
      <c r="E1900" s="116" t="n"/>
      <c r="F1900" s="115" t="n"/>
      <c r="G1900" s="117">
        <f>IF(COUNTA(B1900:E1900)=0,"",IF(COUNTA(B1900:E1900)&lt;4,"⚠ กรอกไม่ครบ",IF(NOT(ISNUMBER(B1900)),"⚠ วันที่ไม่ถูกต้อง",IF(COUNTIFS(Setup!$L$6:$L$60,D1900,Setup!$M$6:$M$60,C1900)=0,"⚠ หมวดไม่ตรงประเภท","✓"))))</f>
        <v/>
      </c>
    </row>
    <row r="1901">
      <c r="B1901" s="113" t="n"/>
      <c r="C1901" s="114" t="n"/>
      <c r="D1901" s="115" t="n"/>
      <c r="E1901" s="116" t="n"/>
      <c r="F1901" s="115" t="n"/>
      <c r="G1901" s="117">
        <f>IF(COUNTA(B1901:E1901)=0,"",IF(COUNTA(B1901:E1901)&lt;4,"⚠ กรอกไม่ครบ",IF(NOT(ISNUMBER(B1901)),"⚠ วันที่ไม่ถูกต้อง",IF(COUNTIFS(Setup!$L$6:$L$60,D1901,Setup!$M$6:$M$60,C1901)=0,"⚠ หมวดไม่ตรงประเภท","✓"))))</f>
        <v/>
      </c>
    </row>
    <row r="1902">
      <c r="B1902" s="113" t="n"/>
      <c r="C1902" s="114" t="n"/>
      <c r="D1902" s="115" t="n"/>
      <c r="E1902" s="116" t="n"/>
      <c r="F1902" s="115" t="n"/>
      <c r="G1902" s="117">
        <f>IF(COUNTA(B1902:E1902)=0,"",IF(COUNTA(B1902:E1902)&lt;4,"⚠ กรอกไม่ครบ",IF(NOT(ISNUMBER(B1902)),"⚠ วันที่ไม่ถูกต้อง",IF(COUNTIFS(Setup!$L$6:$L$60,D1902,Setup!$M$6:$M$60,C1902)=0,"⚠ หมวดไม่ตรงประเภท","✓"))))</f>
        <v/>
      </c>
    </row>
    <row r="1903">
      <c r="B1903" s="113" t="n"/>
      <c r="C1903" s="114" t="n"/>
      <c r="D1903" s="115" t="n"/>
      <c r="E1903" s="116" t="n"/>
      <c r="F1903" s="115" t="n"/>
      <c r="G1903" s="117">
        <f>IF(COUNTA(B1903:E1903)=0,"",IF(COUNTA(B1903:E1903)&lt;4,"⚠ กรอกไม่ครบ",IF(NOT(ISNUMBER(B1903)),"⚠ วันที่ไม่ถูกต้อง",IF(COUNTIFS(Setup!$L$6:$L$60,D1903,Setup!$M$6:$M$60,C1903)=0,"⚠ หมวดไม่ตรงประเภท","✓"))))</f>
        <v/>
      </c>
    </row>
    <row r="1904">
      <c r="B1904" s="113" t="n"/>
      <c r="C1904" s="114" t="n"/>
      <c r="D1904" s="115" t="n"/>
      <c r="E1904" s="116" t="n"/>
      <c r="F1904" s="115" t="n"/>
      <c r="G1904" s="117">
        <f>IF(COUNTA(B1904:E1904)=0,"",IF(COUNTA(B1904:E1904)&lt;4,"⚠ กรอกไม่ครบ",IF(NOT(ISNUMBER(B1904)),"⚠ วันที่ไม่ถูกต้อง",IF(COUNTIFS(Setup!$L$6:$L$60,D1904,Setup!$M$6:$M$60,C1904)=0,"⚠ หมวดไม่ตรงประเภท","✓"))))</f>
        <v/>
      </c>
    </row>
    <row r="1905">
      <c r="B1905" s="113" t="n"/>
      <c r="C1905" s="114" t="n"/>
      <c r="D1905" s="115" t="n"/>
      <c r="E1905" s="116" t="n"/>
      <c r="F1905" s="115" t="n"/>
      <c r="G1905" s="117">
        <f>IF(COUNTA(B1905:E1905)=0,"",IF(COUNTA(B1905:E1905)&lt;4,"⚠ กรอกไม่ครบ",IF(NOT(ISNUMBER(B1905)),"⚠ วันที่ไม่ถูกต้อง",IF(COUNTIFS(Setup!$L$6:$L$60,D1905,Setup!$M$6:$M$60,C1905)=0,"⚠ หมวดไม่ตรงประเภท","✓"))))</f>
        <v/>
      </c>
    </row>
    <row r="1906">
      <c r="B1906" s="113" t="n"/>
      <c r="C1906" s="114" t="n"/>
      <c r="D1906" s="115" t="n"/>
      <c r="E1906" s="116" t="n"/>
      <c r="F1906" s="115" t="n"/>
      <c r="G1906" s="117">
        <f>IF(COUNTA(B1906:E1906)=0,"",IF(COUNTA(B1906:E1906)&lt;4,"⚠ กรอกไม่ครบ",IF(NOT(ISNUMBER(B1906)),"⚠ วันที่ไม่ถูกต้อง",IF(COUNTIFS(Setup!$L$6:$L$60,D1906,Setup!$M$6:$M$60,C1906)=0,"⚠ หมวดไม่ตรงประเภท","✓"))))</f>
        <v/>
      </c>
    </row>
    <row r="1907">
      <c r="B1907" s="113" t="n"/>
      <c r="C1907" s="114" t="n"/>
      <c r="D1907" s="115" t="n"/>
      <c r="E1907" s="116" t="n"/>
      <c r="F1907" s="115" t="n"/>
      <c r="G1907" s="117">
        <f>IF(COUNTA(B1907:E1907)=0,"",IF(COUNTA(B1907:E1907)&lt;4,"⚠ กรอกไม่ครบ",IF(NOT(ISNUMBER(B1907)),"⚠ วันที่ไม่ถูกต้อง",IF(COUNTIFS(Setup!$L$6:$L$60,D1907,Setup!$M$6:$M$60,C1907)=0,"⚠ หมวดไม่ตรงประเภท","✓"))))</f>
        <v/>
      </c>
    </row>
    <row r="1908">
      <c r="B1908" s="113" t="n"/>
      <c r="C1908" s="114" t="n"/>
      <c r="D1908" s="115" t="n"/>
      <c r="E1908" s="116" t="n"/>
      <c r="F1908" s="115" t="n"/>
      <c r="G1908" s="117">
        <f>IF(COUNTA(B1908:E1908)=0,"",IF(COUNTA(B1908:E1908)&lt;4,"⚠ กรอกไม่ครบ",IF(NOT(ISNUMBER(B1908)),"⚠ วันที่ไม่ถูกต้อง",IF(COUNTIFS(Setup!$L$6:$L$60,D1908,Setup!$M$6:$M$60,C1908)=0,"⚠ หมวดไม่ตรงประเภท","✓"))))</f>
        <v/>
      </c>
    </row>
    <row r="1909">
      <c r="B1909" s="113" t="n"/>
      <c r="C1909" s="114" t="n"/>
      <c r="D1909" s="115" t="n"/>
      <c r="E1909" s="116" t="n"/>
      <c r="F1909" s="115" t="n"/>
      <c r="G1909" s="117">
        <f>IF(COUNTA(B1909:E1909)=0,"",IF(COUNTA(B1909:E1909)&lt;4,"⚠ กรอกไม่ครบ",IF(NOT(ISNUMBER(B1909)),"⚠ วันที่ไม่ถูกต้อง",IF(COUNTIFS(Setup!$L$6:$L$60,D1909,Setup!$M$6:$M$60,C1909)=0,"⚠ หมวดไม่ตรงประเภท","✓"))))</f>
        <v/>
      </c>
    </row>
    <row r="1910">
      <c r="B1910" s="113" t="n"/>
      <c r="C1910" s="114" t="n"/>
      <c r="D1910" s="115" t="n"/>
      <c r="E1910" s="116" t="n"/>
      <c r="F1910" s="115" t="n"/>
      <c r="G1910" s="117">
        <f>IF(COUNTA(B1910:E1910)=0,"",IF(COUNTA(B1910:E1910)&lt;4,"⚠ กรอกไม่ครบ",IF(NOT(ISNUMBER(B1910)),"⚠ วันที่ไม่ถูกต้อง",IF(COUNTIFS(Setup!$L$6:$L$60,D1910,Setup!$M$6:$M$60,C1910)=0,"⚠ หมวดไม่ตรงประเภท","✓"))))</f>
        <v/>
      </c>
    </row>
    <row r="1911">
      <c r="B1911" s="113" t="n"/>
      <c r="C1911" s="114" t="n"/>
      <c r="D1911" s="115" t="n"/>
      <c r="E1911" s="116" t="n"/>
      <c r="F1911" s="115" t="n"/>
      <c r="G1911" s="117">
        <f>IF(COUNTA(B1911:E1911)=0,"",IF(COUNTA(B1911:E1911)&lt;4,"⚠ กรอกไม่ครบ",IF(NOT(ISNUMBER(B1911)),"⚠ วันที่ไม่ถูกต้อง",IF(COUNTIFS(Setup!$L$6:$L$60,D1911,Setup!$M$6:$M$60,C1911)=0,"⚠ หมวดไม่ตรงประเภท","✓"))))</f>
        <v/>
      </c>
    </row>
    <row r="1912">
      <c r="B1912" s="113" t="n"/>
      <c r="C1912" s="114" t="n"/>
      <c r="D1912" s="115" t="n"/>
      <c r="E1912" s="116" t="n"/>
      <c r="F1912" s="115" t="n"/>
      <c r="G1912" s="117">
        <f>IF(COUNTA(B1912:E1912)=0,"",IF(COUNTA(B1912:E1912)&lt;4,"⚠ กรอกไม่ครบ",IF(NOT(ISNUMBER(B1912)),"⚠ วันที่ไม่ถูกต้อง",IF(COUNTIFS(Setup!$L$6:$L$60,D1912,Setup!$M$6:$M$60,C1912)=0,"⚠ หมวดไม่ตรงประเภท","✓"))))</f>
        <v/>
      </c>
    </row>
    <row r="1913">
      <c r="B1913" s="113" t="n"/>
      <c r="C1913" s="114" t="n"/>
      <c r="D1913" s="115" t="n"/>
      <c r="E1913" s="116" t="n"/>
      <c r="F1913" s="115" t="n"/>
      <c r="G1913" s="117">
        <f>IF(COUNTA(B1913:E1913)=0,"",IF(COUNTA(B1913:E1913)&lt;4,"⚠ กรอกไม่ครบ",IF(NOT(ISNUMBER(B1913)),"⚠ วันที่ไม่ถูกต้อง",IF(COUNTIFS(Setup!$L$6:$L$60,D1913,Setup!$M$6:$M$60,C1913)=0,"⚠ หมวดไม่ตรงประเภท","✓"))))</f>
        <v/>
      </c>
    </row>
    <row r="1914">
      <c r="B1914" s="113" t="n"/>
      <c r="C1914" s="114" t="n"/>
      <c r="D1914" s="115" t="n"/>
      <c r="E1914" s="116" t="n"/>
      <c r="F1914" s="115" t="n"/>
      <c r="G1914" s="117">
        <f>IF(COUNTA(B1914:E1914)=0,"",IF(COUNTA(B1914:E1914)&lt;4,"⚠ กรอกไม่ครบ",IF(NOT(ISNUMBER(B1914)),"⚠ วันที่ไม่ถูกต้อง",IF(COUNTIFS(Setup!$L$6:$L$60,D1914,Setup!$M$6:$M$60,C1914)=0,"⚠ หมวดไม่ตรงประเภท","✓"))))</f>
        <v/>
      </c>
    </row>
    <row r="1915">
      <c r="B1915" s="113" t="n"/>
      <c r="C1915" s="114" t="n"/>
      <c r="D1915" s="115" t="n"/>
      <c r="E1915" s="116" t="n"/>
      <c r="F1915" s="115" t="n"/>
      <c r="G1915" s="117">
        <f>IF(COUNTA(B1915:E1915)=0,"",IF(COUNTA(B1915:E1915)&lt;4,"⚠ กรอกไม่ครบ",IF(NOT(ISNUMBER(B1915)),"⚠ วันที่ไม่ถูกต้อง",IF(COUNTIFS(Setup!$L$6:$L$60,D1915,Setup!$M$6:$M$60,C1915)=0,"⚠ หมวดไม่ตรงประเภท","✓"))))</f>
        <v/>
      </c>
    </row>
    <row r="1916">
      <c r="B1916" s="113" t="n"/>
      <c r="C1916" s="114" t="n"/>
      <c r="D1916" s="115" t="n"/>
      <c r="E1916" s="116" t="n"/>
      <c r="F1916" s="115" t="n"/>
      <c r="G1916" s="117">
        <f>IF(COUNTA(B1916:E1916)=0,"",IF(COUNTA(B1916:E1916)&lt;4,"⚠ กรอกไม่ครบ",IF(NOT(ISNUMBER(B1916)),"⚠ วันที่ไม่ถูกต้อง",IF(COUNTIFS(Setup!$L$6:$L$60,D1916,Setup!$M$6:$M$60,C1916)=0,"⚠ หมวดไม่ตรงประเภท","✓"))))</f>
        <v/>
      </c>
    </row>
    <row r="1917">
      <c r="B1917" s="113" t="n"/>
      <c r="C1917" s="114" t="n"/>
      <c r="D1917" s="115" t="n"/>
      <c r="E1917" s="116" t="n"/>
      <c r="F1917" s="115" t="n"/>
      <c r="G1917" s="117">
        <f>IF(COUNTA(B1917:E1917)=0,"",IF(COUNTA(B1917:E1917)&lt;4,"⚠ กรอกไม่ครบ",IF(NOT(ISNUMBER(B1917)),"⚠ วันที่ไม่ถูกต้อง",IF(COUNTIFS(Setup!$L$6:$L$60,D1917,Setup!$M$6:$M$60,C1917)=0,"⚠ หมวดไม่ตรงประเภท","✓"))))</f>
        <v/>
      </c>
    </row>
    <row r="1918">
      <c r="B1918" s="113" t="n"/>
      <c r="C1918" s="114" t="n"/>
      <c r="D1918" s="115" t="n"/>
      <c r="E1918" s="116" t="n"/>
      <c r="F1918" s="115" t="n"/>
      <c r="G1918" s="117">
        <f>IF(COUNTA(B1918:E1918)=0,"",IF(COUNTA(B1918:E1918)&lt;4,"⚠ กรอกไม่ครบ",IF(NOT(ISNUMBER(B1918)),"⚠ วันที่ไม่ถูกต้อง",IF(COUNTIFS(Setup!$L$6:$L$60,D1918,Setup!$M$6:$M$60,C1918)=0,"⚠ หมวดไม่ตรงประเภท","✓"))))</f>
        <v/>
      </c>
    </row>
    <row r="1919">
      <c r="B1919" s="113" t="n"/>
      <c r="C1919" s="114" t="n"/>
      <c r="D1919" s="115" t="n"/>
      <c r="E1919" s="116" t="n"/>
      <c r="F1919" s="115" t="n"/>
      <c r="G1919" s="117">
        <f>IF(COUNTA(B1919:E1919)=0,"",IF(COUNTA(B1919:E1919)&lt;4,"⚠ กรอกไม่ครบ",IF(NOT(ISNUMBER(B1919)),"⚠ วันที่ไม่ถูกต้อง",IF(COUNTIFS(Setup!$L$6:$L$60,D1919,Setup!$M$6:$M$60,C1919)=0,"⚠ หมวดไม่ตรงประเภท","✓"))))</f>
        <v/>
      </c>
    </row>
    <row r="1920">
      <c r="B1920" s="113" t="n"/>
      <c r="C1920" s="114" t="n"/>
      <c r="D1920" s="115" t="n"/>
      <c r="E1920" s="116" t="n"/>
      <c r="F1920" s="115" t="n"/>
      <c r="G1920" s="117">
        <f>IF(COUNTA(B1920:E1920)=0,"",IF(COUNTA(B1920:E1920)&lt;4,"⚠ กรอกไม่ครบ",IF(NOT(ISNUMBER(B1920)),"⚠ วันที่ไม่ถูกต้อง",IF(COUNTIFS(Setup!$L$6:$L$60,D1920,Setup!$M$6:$M$60,C1920)=0,"⚠ หมวดไม่ตรงประเภท","✓"))))</f>
        <v/>
      </c>
    </row>
    <row r="1921">
      <c r="B1921" s="113" t="n"/>
      <c r="C1921" s="114" t="n"/>
      <c r="D1921" s="115" t="n"/>
      <c r="E1921" s="116" t="n"/>
      <c r="F1921" s="115" t="n"/>
      <c r="G1921" s="117">
        <f>IF(COUNTA(B1921:E1921)=0,"",IF(COUNTA(B1921:E1921)&lt;4,"⚠ กรอกไม่ครบ",IF(NOT(ISNUMBER(B1921)),"⚠ วันที่ไม่ถูกต้อง",IF(COUNTIFS(Setup!$L$6:$L$60,D1921,Setup!$M$6:$M$60,C1921)=0,"⚠ หมวดไม่ตรงประเภท","✓"))))</f>
        <v/>
      </c>
    </row>
    <row r="1922">
      <c r="B1922" s="113" t="n"/>
      <c r="C1922" s="114" t="n"/>
      <c r="D1922" s="115" t="n"/>
      <c r="E1922" s="116" t="n"/>
      <c r="F1922" s="115" t="n"/>
      <c r="G1922" s="117">
        <f>IF(COUNTA(B1922:E1922)=0,"",IF(COUNTA(B1922:E1922)&lt;4,"⚠ กรอกไม่ครบ",IF(NOT(ISNUMBER(B1922)),"⚠ วันที่ไม่ถูกต้อง",IF(COUNTIFS(Setup!$L$6:$L$60,D1922,Setup!$M$6:$M$60,C1922)=0,"⚠ หมวดไม่ตรงประเภท","✓"))))</f>
        <v/>
      </c>
    </row>
    <row r="1923">
      <c r="B1923" s="113" t="n"/>
      <c r="C1923" s="114" t="n"/>
      <c r="D1923" s="115" t="n"/>
      <c r="E1923" s="116" t="n"/>
      <c r="F1923" s="115" t="n"/>
      <c r="G1923" s="117">
        <f>IF(COUNTA(B1923:E1923)=0,"",IF(COUNTA(B1923:E1923)&lt;4,"⚠ กรอกไม่ครบ",IF(NOT(ISNUMBER(B1923)),"⚠ วันที่ไม่ถูกต้อง",IF(COUNTIFS(Setup!$L$6:$L$60,D1923,Setup!$M$6:$M$60,C1923)=0,"⚠ หมวดไม่ตรงประเภท","✓"))))</f>
        <v/>
      </c>
    </row>
    <row r="1924">
      <c r="B1924" s="113" t="n"/>
      <c r="C1924" s="114" t="n"/>
      <c r="D1924" s="115" t="n"/>
      <c r="E1924" s="116" t="n"/>
      <c r="F1924" s="115" t="n"/>
      <c r="G1924" s="117">
        <f>IF(COUNTA(B1924:E1924)=0,"",IF(COUNTA(B1924:E1924)&lt;4,"⚠ กรอกไม่ครบ",IF(NOT(ISNUMBER(B1924)),"⚠ วันที่ไม่ถูกต้อง",IF(COUNTIFS(Setup!$L$6:$L$60,D1924,Setup!$M$6:$M$60,C1924)=0,"⚠ หมวดไม่ตรงประเภท","✓"))))</f>
        <v/>
      </c>
    </row>
    <row r="1925">
      <c r="B1925" s="113" t="n"/>
      <c r="C1925" s="114" t="n"/>
      <c r="D1925" s="115" t="n"/>
      <c r="E1925" s="116" t="n"/>
      <c r="F1925" s="115" t="n"/>
      <c r="G1925" s="117">
        <f>IF(COUNTA(B1925:E1925)=0,"",IF(COUNTA(B1925:E1925)&lt;4,"⚠ กรอกไม่ครบ",IF(NOT(ISNUMBER(B1925)),"⚠ วันที่ไม่ถูกต้อง",IF(COUNTIFS(Setup!$L$6:$L$60,D1925,Setup!$M$6:$M$60,C1925)=0,"⚠ หมวดไม่ตรงประเภท","✓"))))</f>
        <v/>
      </c>
    </row>
    <row r="1926">
      <c r="B1926" s="113" t="n"/>
      <c r="C1926" s="114" t="n"/>
      <c r="D1926" s="115" t="n"/>
      <c r="E1926" s="116" t="n"/>
      <c r="F1926" s="115" t="n"/>
      <c r="G1926" s="117">
        <f>IF(COUNTA(B1926:E1926)=0,"",IF(COUNTA(B1926:E1926)&lt;4,"⚠ กรอกไม่ครบ",IF(NOT(ISNUMBER(B1926)),"⚠ วันที่ไม่ถูกต้อง",IF(COUNTIFS(Setup!$L$6:$L$60,D1926,Setup!$M$6:$M$60,C1926)=0,"⚠ หมวดไม่ตรงประเภท","✓"))))</f>
        <v/>
      </c>
    </row>
    <row r="1927">
      <c r="B1927" s="113" t="n"/>
      <c r="C1927" s="114" t="n"/>
      <c r="D1927" s="115" t="n"/>
      <c r="E1927" s="116" t="n"/>
      <c r="F1927" s="115" t="n"/>
      <c r="G1927" s="117">
        <f>IF(COUNTA(B1927:E1927)=0,"",IF(COUNTA(B1927:E1927)&lt;4,"⚠ กรอกไม่ครบ",IF(NOT(ISNUMBER(B1927)),"⚠ วันที่ไม่ถูกต้อง",IF(COUNTIFS(Setup!$L$6:$L$60,D1927,Setup!$M$6:$M$60,C1927)=0,"⚠ หมวดไม่ตรงประเภท","✓"))))</f>
        <v/>
      </c>
    </row>
    <row r="1928">
      <c r="B1928" s="113" t="n"/>
      <c r="C1928" s="114" t="n"/>
      <c r="D1928" s="115" t="n"/>
      <c r="E1928" s="116" t="n"/>
      <c r="F1928" s="115" t="n"/>
      <c r="G1928" s="117">
        <f>IF(COUNTA(B1928:E1928)=0,"",IF(COUNTA(B1928:E1928)&lt;4,"⚠ กรอกไม่ครบ",IF(NOT(ISNUMBER(B1928)),"⚠ วันที่ไม่ถูกต้อง",IF(COUNTIFS(Setup!$L$6:$L$60,D1928,Setup!$M$6:$M$60,C1928)=0,"⚠ หมวดไม่ตรงประเภท","✓"))))</f>
        <v/>
      </c>
    </row>
    <row r="1929">
      <c r="B1929" s="113" t="n"/>
      <c r="C1929" s="114" t="n"/>
      <c r="D1929" s="115" t="n"/>
      <c r="E1929" s="116" t="n"/>
      <c r="F1929" s="115" t="n"/>
      <c r="G1929" s="117">
        <f>IF(COUNTA(B1929:E1929)=0,"",IF(COUNTA(B1929:E1929)&lt;4,"⚠ กรอกไม่ครบ",IF(NOT(ISNUMBER(B1929)),"⚠ วันที่ไม่ถูกต้อง",IF(COUNTIFS(Setup!$L$6:$L$60,D1929,Setup!$M$6:$M$60,C1929)=0,"⚠ หมวดไม่ตรงประเภท","✓"))))</f>
        <v/>
      </c>
    </row>
    <row r="1930">
      <c r="B1930" s="113" t="n"/>
      <c r="C1930" s="114" t="n"/>
      <c r="D1930" s="115" t="n"/>
      <c r="E1930" s="116" t="n"/>
      <c r="F1930" s="115" t="n"/>
      <c r="G1930" s="117">
        <f>IF(COUNTA(B1930:E1930)=0,"",IF(COUNTA(B1930:E1930)&lt;4,"⚠ กรอกไม่ครบ",IF(NOT(ISNUMBER(B1930)),"⚠ วันที่ไม่ถูกต้อง",IF(COUNTIFS(Setup!$L$6:$L$60,D1930,Setup!$M$6:$M$60,C1930)=0,"⚠ หมวดไม่ตรงประเภท","✓"))))</f>
        <v/>
      </c>
    </row>
    <row r="1931">
      <c r="B1931" s="113" t="n"/>
      <c r="C1931" s="114" t="n"/>
      <c r="D1931" s="115" t="n"/>
      <c r="E1931" s="116" t="n"/>
      <c r="F1931" s="115" t="n"/>
      <c r="G1931" s="117">
        <f>IF(COUNTA(B1931:E1931)=0,"",IF(COUNTA(B1931:E1931)&lt;4,"⚠ กรอกไม่ครบ",IF(NOT(ISNUMBER(B1931)),"⚠ วันที่ไม่ถูกต้อง",IF(COUNTIFS(Setup!$L$6:$L$60,D1931,Setup!$M$6:$M$60,C1931)=0,"⚠ หมวดไม่ตรงประเภท","✓"))))</f>
        <v/>
      </c>
    </row>
    <row r="1932">
      <c r="B1932" s="113" t="n"/>
      <c r="C1932" s="114" t="n"/>
      <c r="D1932" s="115" t="n"/>
      <c r="E1932" s="116" t="n"/>
      <c r="F1932" s="115" t="n"/>
      <c r="G1932" s="117">
        <f>IF(COUNTA(B1932:E1932)=0,"",IF(COUNTA(B1932:E1932)&lt;4,"⚠ กรอกไม่ครบ",IF(NOT(ISNUMBER(B1932)),"⚠ วันที่ไม่ถูกต้อง",IF(COUNTIFS(Setup!$L$6:$L$60,D1932,Setup!$M$6:$M$60,C1932)=0,"⚠ หมวดไม่ตรงประเภท","✓"))))</f>
        <v/>
      </c>
    </row>
    <row r="1933">
      <c r="B1933" s="113" t="n"/>
      <c r="C1933" s="114" t="n"/>
      <c r="D1933" s="115" t="n"/>
      <c r="E1933" s="116" t="n"/>
      <c r="F1933" s="115" t="n"/>
      <c r="G1933" s="117">
        <f>IF(COUNTA(B1933:E1933)=0,"",IF(COUNTA(B1933:E1933)&lt;4,"⚠ กรอกไม่ครบ",IF(NOT(ISNUMBER(B1933)),"⚠ วันที่ไม่ถูกต้อง",IF(COUNTIFS(Setup!$L$6:$L$60,D1933,Setup!$M$6:$M$60,C1933)=0,"⚠ หมวดไม่ตรงประเภท","✓"))))</f>
        <v/>
      </c>
    </row>
    <row r="1934">
      <c r="B1934" s="113" t="n"/>
      <c r="C1934" s="114" t="n"/>
      <c r="D1934" s="115" t="n"/>
      <c r="E1934" s="116" t="n"/>
      <c r="F1934" s="115" t="n"/>
      <c r="G1934" s="117">
        <f>IF(COUNTA(B1934:E1934)=0,"",IF(COUNTA(B1934:E1934)&lt;4,"⚠ กรอกไม่ครบ",IF(NOT(ISNUMBER(B1934)),"⚠ วันที่ไม่ถูกต้อง",IF(COUNTIFS(Setup!$L$6:$L$60,D1934,Setup!$M$6:$M$60,C1934)=0,"⚠ หมวดไม่ตรงประเภท","✓"))))</f>
        <v/>
      </c>
    </row>
    <row r="1935">
      <c r="B1935" s="113" t="n"/>
      <c r="C1935" s="114" t="n"/>
      <c r="D1935" s="115" t="n"/>
      <c r="E1935" s="116" t="n"/>
      <c r="F1935" s="115" t="n"/>
      <c r="G1935" s="117">
        <f>IF(COUNTA(B1935:E1935)=0,"",IF(COUNTA(B1935:E1935)&lt;4,"⚠ กรอกไม่ครบ",IF(NOT(ISNUMBER(B1935)),"⚠ วันที่ไม่ถูกต้อง",IF(COUNTIFS(Setup!$L$6:$L$60,D1935,Setup!$M$6:$M$60,C1935)=0,"⚠ หมวดไม่ตรงประเภท","✓"))))</f>
        <v/>
      </c>
    </row>
    <row r="1936">
      <c r="B1936" s="113" t="n"/>
      <c r="C1936" s="114" t="n"/>
      <c r="D1936" s="115" t="n"/>
      <c r="E1936" s="116" t="n"/>
      <c r="F1936" s="115" t="n"/>
      <c r="G1936" s="117">
        <f>IF(COUNTA(B1936:E1936)=0,"",IF(COUNTA(B1936:E1936)&lt;4,"⚠ กรอกไม่ครบ",IF(NOT(ISNUMBER(B1936)),"⚠ วันที่ไม่ถูกต้อง",IF(COUNTIFS(Setup!$L$6:$L$60,D1936,Setup!$M$6:$M$60,C1936)=0,"⚠ หมวดไม่ตรงประเภท","✓"))))</f>
        <v/>
      </c>
    </row>
    <row r="1937">
      <c r="B1937" s="113" t="n"/>
      <c r="C1937" s="114" t="n"/>
      <c r="D1937" s="115" t="n"/>
      <c r="E1937" s="116" t="n"/>
      <c r="F1937" s="115" t="n"/>
      <c r="G1937" s="117">
        <f>IF(COUNTA(B1937:E1937)=0,"",IF(COUNTA(B1937:E1937)&lt;4,"⚠ กรอกไม่ครบ",IF(NOT(ISNUMBER(B1937)),"⚠ วันที่ไม่ถูกต้อง",IF(COUNTIFS(Setup!$L$6:$L$60,D1937,Setup!$M$6:$M$60,C1937)=0,"⚠ หมวดไม่ตรงประเภท","✓"))))</f>
        <v/>
      </c>
    </row>
    <row r="1938">
      <c r="B1938" s="113" t="n"/>
      <c r="C1938" s="114" t="n"/>
      <c r="D1938" s="115" t="n"/>
      <c r="E1938" s="116" t="n"/>
      <c r="F1938" s="115" t="n"/>
      <c r="G1938" s="117">
        <f>IF(COUNTA(B1938:E1938)=0,"",IF(COUNTA(B1938:E1938)&lt;4,"⚠ กรอกไม่ครบ",IF(NOT(ISNUMBER(B1938)),"⚠ วันที่ไม่ถูกต้อง",IF(COUNTIFS(Setup!$L$6:$L$60,D1938,Setup!$M$6:$M$60,C1938)=0,"⚠ หมวดไม่ตรงประเภท","✓"))))</f>
        <v/>
      </c>
    </row>
    <row r="1939">
      <c r="B1939" s="113" t="n"/>
      <c r="C1939" s="114" t="n"/>
      <c r="D1939" s="115" t="n"/>
      <c r="E1939" s="116" t="n"/>
      <c r="F1939" s="115" t="n"/>
      <c r="G1939" s="117">
        <f>IF(COUNTA(B1939:E1939)=0,"",IF(COUNTA(B1939:E1939)&lt;4,"⚠ กรอกไม่ครบ",IF(NOT(ISNUMBER(B1939)),"⚠ วันที่ไม่ถูกต้อง",IF(COUNTIFS(Setup!$L$6:$L$60,D1939,Setup!$M$6:$M$60,C1939)=0,"⚠ หมวดไม่ตรงประเภท","✓"))))</f>
        <v/>
      </c>
    </row>
    <row r="1940">
      <c r="B1940" s="113" t="n"/>
      <c r="C1940" s="114" t="n"/>
      <c r="D1940" s="115" t="n"/>
      <c r="E1940" s="116" t="n"/>
      <c r="F1940" s="115" t="n"/>
      <c r="G1940" s="117">
        <f>IF(COUNTA(B1940:E1940)=0,"",IF(COUNTA(B1940:E1940)&lt;4,"⚠ กรอกไม่ครบ",IF(NOT(ISNUMBER(B1940)),"⚠ วันที่ไม่ถูกต้อง",IF(COUNTIFS(Setup!$L$6:$L$60,D1940,Setup!$M$6:$M$60,C1940)=0,"⚠ หมวดไม่ตรงประเภท","✓"))))</f>
        <v/>
      </c>
    </row>
    <row r="1941">
      <c r="B1941" s="113" t="n"/>
      <c r="C1941" s="114" t="n"/>
      <c r="D1941" s="115" t="n"/>
      <c r="E1941" s="116" t="n"/>
      <c r="F1941" s="115" t="n"/>
      <c r="G1941" s="117">
        <f>IF(COUNTA(B1941:E1941)=0,"",IF(COUNTA(B1941:E1941)&lt;4,"⚠ กรอกไม่ครบ",IF(NOT(ISNUMBER(B1941)),"⚠ วันที่ไม่ถูกต้อง",IF(COUNTIFS(Setup!$L$6:$L$60,D1941,Setup!$M$6:$M$60,C1941)=0,"⚠ หมวดไม่ตรงประเภท","✓"))))</f>
        <v/>
      </c>
    </row>
    <row r="1942">
      <c r="B1942" s="113" t="n"/>
      <c r="C1942" s="114" t="n"/>
      <c r="D1942" s="115" t="n"/>
      <c r="E1942" s="116" t="n"/>
      <c r="F1942" s="115" t="n"/>
      <c r="G1942" s="117">
        <f>IF(COUNTA(B1942:E1942)=0,"",IF(COUNTA(B1942:E1942)&lt;4,"⚠ กรอกไม่ครบ",IF(NOT(ISNUMBER(B1942)),"⚠ วันที่ไม่ถูกต้อง",IF(COUNTIFS(Setup!$L$6:$L$60,D1942,Setup!$M$6:$M$60,C1942)=0,"⚠ หมวดไม่ตรงประเภท","✓"))))</f>
        <v/>
      </c>
    </row>
    <row r="1943">
      <c r="B1943" s="113" t="n"/>
      <c r="C1943" s="114" t="n"/>
      <c r="D1943" s="115" t="n"/>
      <c r="E1943" s="116" t="n"/>
      <c r="F1943" s="115" t="n"/>
      <c r="G1943" s="117">
        <f>IF(COUNTA(B1943:E1943)=0,"",IF(COUNTA(B1943:E1943)&lt;4,"⚠ กรอกไม่ครบ",IF(NOT(ISNUMBER(B1943)),"⚠ วันที่ไม่ถูกต้อง",IF(COUNTIFS(Setup!$L$6:$L$60,D1943,Setup!$M$6:$M$60,C1943)=0,"⚠ หมวดไม่ตรงประเภท","✓"))))</f>
        <v/>
      </c>
    </row>
    <row r="1944">
      <c r="B1944" s="113" t="n"/>
      <c r="C1944" s="114" t="n"/>
      <c r="D1944" s="115" t="n"/>
      <c r="E1944" s="116" t="n"/>
      <c r="F1944" s="115" t="n"/>
      <c r="G1944" s="117">
        <f>IF(COUNTA(B1944:E1944)=0,"",IF(COUNTA(B1944:E1944)&lt;4,"⚠ กรอกไม่ครบ",IF(NOT(ISNUMBER(B1944)),"⚠ วันที่ไม่ถูกต้อง",IF(COUNTIFS(Setup!$L$6:$L$60,D1944,Setup!$M$6:$M$60,C1944)=0,"⚠ หมวดไม่ตรงประเภท","✓"))))</f>
        <v/>
      </c>
    </row>
    <row r="1945">
      <c r="B1945" s="113" t="n"/>
      <c r="C1945" s="114" t="n"/>
      <c r="D1945" s="115" t="n"/>
      <c r="E1945" s="116" t="n"/>
      <c r="F1945" s="115" t="n"/>
      <c r="G1945" s="117">
        <f>IF(COUNTA(B1945:E1945)=0,"",IF(COUNTA(B1945:E1945)&lt;4,"⚠ กรอกไม่ครบ",IF(NOT(ISNUMBER(B1945)),"⚠ วันที่ไม่ถูกต้อง",IF(COUNTIFS(Setup!$L$6:$L$60,D1945,Setup!$M$6:$M$60,C1945)=0,"⚠ หมวดไม่ตรงประเภท","✓"))))</f>
        <v/>
      </c>
    </row>
    <row r="1946">
      <c r="B1946" s="113" t="n"/>
      <c r="C1946" s="114" t="n"/>
      <c r="D1946" s="115" t="n"/>
      <c r="E1946" s="116" t="n"/>
      <c r="F1946" s="115" t="n"/>
      <c r="G1946" s="117">
        <f>IF(COUNTA(B1946:E1946)=0,"",IF(COUNTA(B1946:E1946)&lt;4,"⚠ กรอกไม่ครบ",IF(NOT(ISNUMBER(B1946)),"⚠ วันที่ไม่ถูกต้อง",IF(COUNTIFS(Setup!$L$6:$L$60,D1946,Setup!$M$6:$M$60,C1946)=0,"⚠ หมวดไม่ตรงประเภท","✓"))))</f>
        <v/>
      </c>
    </row>
    <row r="1947">
      <c r="B1947" s="113" t="n"/>
      <c r="C1947" s="114" t="n"/>
      <c r="D1947" s="115" t="n"/>
      <c r="E1947" s="116" t="n"/>
      <c r="F1947" s="115" t="n"/>
      <c r="G1947" s="117">
        <f>IF(COUNTA(B1947:E1947)=0,"",IF(COUNTA(B1947:E1947)&lt;4,"⚠ กรอกไม่ครบ",IF(NOT(ISNUMBER(B1947)),"⚠ วันที่ไม่ถูกต้อง",IF(COUNTIFS(Setup!$L$6:$L$60,D1947,Setup!$M$6:$M$60,C1947)=0,"⚠ หมวดไม่ตรงประเภท","✓"))))</f>
        <v/>
      </c>
    </row>
    <row r="1948">
      <c r="B1948" s="113" t="n"/>
      <c r="C1948" s="114" t="n"/>
      <c r="D1948" s="115" t="n"/>
      <c r="E1948" s="116" t="n"/>
      <c r="F1948" s="115" t="n"/>
      <c r="G1948" s="117">
        <f>IF(COUNTA(B1948:E1948)=0,"",IF(COUNTA(B1948:E1948)&lt;4,"⚠ กรอกไม่ครบ",IF(NOT(ISNUMBER(B1948)),"⚠ วันที่ไม่ถูกต้อง",IF(COUNTIFS(Setup!$L$6:$L$60,D1948,Setup!$M$6:$M$60,C1948)=0,"⚠ หมวดไม่ตรงประเภท","✓"))))</f>
        <v/>
      </c>
    </row>
    <row r="1949">
      <c r="B1949" s="113" t="n"/>
      <c r="C1949" s="114" t="n"/>
      <c r="D1949" s="115" t="n"/>
      <c r="E1949" s="116" t="n"/>
      <c r="F1949" s="115" t="n"/>
      <c r="G1949" s="117">
        <f>IF(COUNTA(B1949:E1949)=0,"",IF(COUNTA(B1949:E1949)&lt;4,"⚠ กรอกไม่ครบ",IF(NOT(ISNUMBER(B1949)),"⚠ วันที่ไม่ถูกต้อง",IF(COUNTIFS(Setup!$L$6:$L$60,D1949,Setup!$M$6:$M$60,C1949)=0,"⚠ หมวดไม่ตรงประเภท","✓"))))</f>
        <v/>
      </c>
    </row>
    <row r="1950">
      <c r="B1950" s="113" t="n"/>
      <c r="C1950" s="114" t="n"/>
      <c r="D1950" s="115" t="n"/>
      <c r="E1950" s="116" t="n"/>
      <c r="F1950" s="115" t="n"/>
      <c r="G1950" s="117">
        <f>IF(COUNTA(B1950:E1950)=0,"",IF(COUNTA(B1950:E1950)&lt;4,"⚠ กรอกไม่ครบ",IF(NOT(ISNUMBER(B1950)),"⚠ วันที่ไม่ถูกต้อง",IF(COUNTIFS(Setup!$L$6:$L$60,D1950,Setup!$M$6:$M$60,C1950)=0,"⚠ หมวดไม่ตรงประเภท","✓"))))</f>
        <v/>
      </c>
    </row>
    <row r="1951">
      <c r="B1951" s="113" t="n"/>
      <c r="C1951" s="114" t="n"/>
      <c r="D1951" s="115" t="n"/>
      <c r="E1951" s="116" t="n"/>
      <c r="F1951" s="115" t="n"/>
      <c r="G1951" s="117">
        <f>IF(COUNTA(B1951:E1951)=0,"",IF(COUNTA(B1951:E1951)&lt;4,"⚠ กรอกไม่ครบ",IF(NOT(ISNUMBER(B1951)),"⚠ วันที่ไม่ถูกต้อง",IF(COUNTIFS(Setup!$L$6:$L$60,D1951,Setup!$M$6:$M$60,C1951)=0,"⚠ หมวดไม่ตรงประเภท","✓"))))</f>
        <v/>
      </c>
    </row>
    <row r="1952">
      <c r="B1952" s="113" t="n"/>
      <c r="C1952" s="114" t="n"/>
      <c r="D1952" s="115" t="n"/>
      <c r="E1952" s="116" t="n"/>
      <c r="F1952" s="115" t="n"/>
      <c r="G1952" s="117">
        <f>IF(COUNTA(B1952:E1952)=0,"",IF(COUNTA(B1952:E1952)&lt;4,"⚠ กรอกไม่ครบ",IF(NOT(ISNUMBER(B1952)),"⚠ วันที่ไม่ถูกต้อง",IF(COUNTIFS(Setup!$L$6:$L$60,D1952,Setup!$M$6:$M$60,C1952)=0,"⚠ หมวดไม่ตรงประเภท","✓"))))</f>
        <v/>
      </c>
    </row>
    <row r="1953">
      <c r="B1953" s="113" t="n"/>
      <c r="C1953" s="114" t="n"/>
      <c r="D1953" s="115" t="n"/>
      <c r="E1953" s="116" t="n"/>
      <c r="F1953" s="115" t="n"/>
      <c r="G1953" s="117">
        <f>IF(COUNTA(B1953:E1953)=0,"",IF(COUNTA(B1953:E1953)&lt;4,"⚠ กรอกไม่ครบ",IF(NOT(ISNUMBER(B1953)),"⚠ วันที่ไม่ถูกต้อง",IF(COUNTIFS(Setup!$L$6:$L$60,D1953,Setup!$M$6:$M$60,C1953)=0,"⚠ หมวดไม่ตรงประเภท","✓"))))</f>
        <v/>
      </c>
    </row>
    <row r="1954">
      <c r="B1954" s="113" t="n"/>
      <c r="C1954" s="114" t="n"/>
      <c r="D1954" s="115" t="n"/>
      <c r="E1954" s="116" t="n"/>
      <c r="F1954" s="115" t="n"/>
      <c r="G1954" s="117">
        <f>IF(COUNTA(B1954:E1954)=0,"",IF(COUNTA(B1954:E1954)&lt;4,"⚠ กรอกไม่ครบ",IF(NOT(ISNUMBER(B1954)),"⚠ วันที่ไม่ถูกต้อง",IF(COUNTIFS(Setup!$L$6:$L$60,D1954,Setup!$M$6:$M$60,C1954)=0,"⚠ หมวดไม่ตรงประเภท","✓"))))</f>
        <v/>
      </c>
    </row>
    <row r="1955">
      <c r="B1955" s="113" t="n"/>
      <c r="C1955" s="114" t="n"/>
      <c r="D1955" s="115" t="n"/>
      <c r="E1955" s="116" t="n"/>
      <c r="F1955" s="115" t="n"/>
      <c r="G1955" s="117">
        <f>IF(COUNTA(B1955:E1955)=0,"",IF(COUNTA(B1955:E1955)&lt;4,"⚠ กรอกไม่ครบ",IF(NOT(ISNUMBER(B1955)),"⚠ วันที่ไม่ถูกต้อง",IF(COUNTIFS(Setup!$L$6:$L$60,D1955,Setup!$M$6:$M$60,C1955)=0,"⚠ หมวดไม่ตรงประเภท","✓"))))</f>
        <v/>
      </c>
    </row>
    <row r="1956">
      <c r="B1956" s="113" t="n"/>
      <c r="C1956" s="114" t="n"/>
      <c r="D1956" s="115" t="n"/>
      <c r="E1956" s="116" t="n"/>
      <c r="F1956" s="115" t="n"/>
      <c r="G1956" s="117">
        <f>IF(COUNTA(B1956:E1956)=0,"",IF(COUNTA(B1956:E1956)&lt;4,"⚠ กรอกไม่ครบ",IF(NOT(ISNUMBER(B1956)),"⚠ วันที่ไม่ถูกต้อง",IF(COUNTIFS(Setup!$L$6:$L$60,D1956,Setup!$M$6:$M$60,C1956)=0,"⚠ หมวดไม่ตรงประเภท","✓"))))</f>
        <v/>
      </c>
    </row>
    <row r="1957">
      <c r="B1957" s="113" t="n"/>
      <c r="C1957" s="114" t="n"/>
      <c r="D1957" s="115" t="n"/>
      <c r="E1957" s="116" t="n"/>
      <c r="F1957" s="115" t="n"/>
      <c r="G1957" s="117">
        <f>IF(COUNTA(B1957:E1957)=0,"",IF(COUNTA(B1957:E1957)&lt;4,"⚠ กรอกไม่ครบ",IF(NOT(ISNUMBER(B1957)),"⚠ วันที่ไม่ถูกต้อง",IF(COUNTIFS(Setup!$L$6:$L$60,D1957,Setup!$M$6:$M$60,C1957)=0,"⚠ หมวดไม่ตรงประเภท","✓"))))</f>
        <v/>
      </c>
    </row>
    <row r="1958">
      <c r="B1958" s="113" t="n"/>
      <c r="C1958" s="114" t="n"/>
      <c r="D1958" s="115" t="n"/>
      <c r="E1958" s="116" t="n"/>
      <c r="F1958" s="115" t="n"/>
      <c r="G1958" s="117">
        <f>IF(COUNTA(B1958:E1958)=0,"",IF(COUNTA(B1958:E1958)&lt;4,"⚠ กรอกไม่ครบ",IF(NOT(ISNUMBER(B1958)),"⚠ วันที่ไม่ถูกต้อง",IF(COUNTIFS(Setup!$L$6:$L$60,D1958,Setup!$M$6:$M$60,C1958)=0,"⚠ หมวดไม่ตรงประเภท","✓"))))</f>
        <v/>
      </c>
    </row>
    <row r="1959">
      <c r="B1959" s="113" t="n"/>
      <c r="C1959" s="114" t="n"/>
      <c r="D1959" s="115" t="n"/>
      <c r="E1959" s="116" t="n"/>
      <c r="F1959" s="115" t="n"/>
      <c r="G1959" s="117">
        <f>IF(COUNTA(B1959:E1959)=0,"",IF(COUNTA(B1959:E1959)&lt;4,"⚠ กรอกไม่ครบ",IF(NOT(ISNUMBER(B1959)),"⚠ วันที่ไม่ถูกต้อง",IF(COUNTIFS(Setup!$L$6:$L$60,D1959,Setup!$M$6:$M$60,C1959)=0,"⚠ หมวดไม่ตรงประเภท","✓"))))</f>
        <v/>
      </c>
    </row>
    <row r="1960">
      <c r="B1960" s="113" t="n"/>
      <c r="C1960" s="114" t="n"/>
      <c r="D1960" s="115" t="n"/>
      <c r="E1960" s="116" t="n"/>
      <c r="F1960" s="115" t="n"/>
      <c r="G1960" s="117">
        <f>IF(COUNTA(B1960:E1960)=0,"",IF(COUNTA(B1960:E1960)&lt;4,"⚠ กรอกไม่ครบ",IF(NOT(ISNUMBER(B1960)),"⚠ วันที่ไม่ถูกต้อง",IF(COUNTIFS(Setup!$L$6:$L$60,D1960,Setup!$M$6:$M$60,C1960)=0,"⚠ หมวดไม่ตรงประเภท","✓"))))</f>
        <v/>
      </c>
    </row>
    <row r="1961">
      <c r="B1961" s="113" t="n"/>
      <c r="C1961" s="114" t="n"/>
      <c r="D1961" s="115" t="n"/>
      <c r="E1961" s="116" t="n"/>
      <c r="F1961" s="115" t="n"/>
      <c r="G1961" s="117">
        <f>IF(COUNTA(B1961:E1961)=0,"",IF(COUNTA(B1961:E1961)&lt;4,"⚠ กรอกไม่ครบ",IF(NOT(ISNUMBER(B1961)),"⚠ วันที่ไม่ถูกต้อง",IF(COUNTIFS(Setup!$L$6:$L$60,D1961,Setup!$M$6:$M$60,C1961)=0,"⚠ หมวดไม่ตรงประเภท","✓"))))</f>
        <v/>
      </c>
    </row>
    <row r="1962">
      <c r="B1962" s="113" t="n"/>
      <c r="C1962" s="114" t="n"/>
      <c r="D1962" s="115" t="n"/>
      <c r="E1962" s="116" t="n"/>
      <c r="F1962" s="115" t="n"/>
      <c r="G1962" s="117">
        <f>IF(COUNTA(B1962:E1962)=0,"",IF(COUNTA(B1962:E1962)&lt;4,"⚠ กรอกไม่ครบ",IF(NOT(ISNUMBER(B1962)),"⚠ วันที่ไม่ถูกต้อง",IF(COUNTIFS(Setup!$L$6:$L$60,D1962,Setup!$M$6:$M$60,C1962)=0,"⚠ หมวดไม่ตรงประเภท","✓"))))</f>
        <v/>
      </c>
    </row>
    <row r="1963">
      <c r="B1963" s="113" t="n"/>
      <c r="C1963" s="114" t="n"/>
      <c r="D1963" s="115" t="n"/>
      <c r="E1963" s="116" t="n"/>
      <c r="F1963" s="115" t="n"/>
      <c r="G1963" s="117">
        <f>IF(COUNTA(B1963:E1963)=0,"",IF(COUNTA(B1963:E1963)&lt;4,"⚠ กรอกไม่ครบ",IF(NOT(ISNUMBER(B1963)),"⚠ วันที่ไม่ถูกต้อง",IF(COUNTIFS(Setup!$L$6:$L$60,D1963,Setup!$M$6:$M$60,C1963)=0,"⚠ หมวดไม่ตรงประเภท","✓"))))</f>
        <v/>
      </c>
    </row>
    <row r="1964">
      <c r="B1964" s="113" t="n"/>
      <c r="C1964" s="114" t="n"/>
      <c r="D1964" s="115" t="n"/>
      <c r="E1964" s="116" t="n"/>
      <c r="F1964" s="115" t="n"/>
      <c r="G1964" s="117">
        <f>IF(COUNTA(B1964:E1964)=0,"",IF(COUNTA(B1964:E1964)&lt;4,"⚠ กรอกไม่ครบ",IF(NOT(ISNUMBER(B1964)),"⚠ วันที่ไม่ถูกต้อง",IF(COUNTIFS(Setup!$L$6:$L$60,D1964,Setup!$M$6:$M$60,C1964)=0,"⚠ หมวดไม่ตรงประเภท","✓"))))</f>
        <v/>
      </c>
    </row>
    <row r="1965">
      <c r="B1965" s="113" t="n"/>
      <c r="C1965" s="114" t="n"/>
      <c r="D1965" s="115" t="n"/>
      <c r="E1965" s="116" t="n"/>
      <c r="F1965" s="115" t="n"/>
      <c r="G1965" s="117">
        <f>IF(COUNTA(B1965:E1965)=0,"",IF(COUNTA(B1965:E1965)&lt;4,"⚠ กรอกไม่ครบ",IF(NOT(ISNUMBER(B1965)),"⚠ วันที่ไม่ถูกต้อง",IF(COUNTIFS(Setup!$L$6:$L$60,D1965,Setup!$M$6:$M$60,C1965)=0,"⚠ หมวดไม่ตรงประเภท","✓"))))</f>
        <v/>
      </c>
    </row>
    <row r="1966">
      <c r="B1966" s="113" t="n"/>
      <c r="C1966" s="114" t="n"/>
      <c r="D1966" s="115" t="n"/>
      <c r="E1966" s="116" t="n"/>
      <c r="F1966" s="115" t="n"/>
      <c r="G1966" s="117">
        <f>IF(COUNTA(B1966:E1966)=0,"",IF(COUNTA(B1966:E1966)&lt;4,"⚠ กรอกไม่ครบ",IF(NOT(ISNUMBER(B1966)),"⚠ วันที่ไม่ถูกต้อง",IF(COUNTIFS(Setup!$L$6:$L$60,D1966,Setup!$M$6:$M$60,C1966)=0,"⚠ หมวดไม่ตรงประเภท","✓"))))</f>
        <v/>
      </c>
    </row>
    <row r="1967">
      <c r="B1967" s="113" t="n"/>
      <c r="C1967" s="114" t="n"/>
      <c r="D1967" s="115" t="n"/>
      <c r="E1967" s="116" t="n"/>
      <c r="F1967" s="115" t="n"/>
      <c r="G1967" s="117">
        <f>IF(COUNTA(B1967:E1967)=0,"",IF(COUNTA(B1967:E1967)&lt;4,"⚠ กรอกไม่ครบ",IF(NOT(ISNUMBER(B1967)),"⚠ วันที่ไม่ถูกต้อง",IF(COUNTIFS(Setup!$L$6:$L$60,D1967,Setup!$M$6:$M$60,C1967)=0,"⚠ หมวดไม่ตรงประเภท","✓"))))</f>
        <v/>
      </c>
    </row>
    <row r="1968">
      <c r="B1968" s="113" t="n"/>
      <c r="C1968" s="114" t="n"/>
      <c r="D1968" s="115" t="n"/>
      <c r="E1968" s="116" t="n"/>
      <c r="F1968" s="115" t="n"/>
      <c r="G1968" s="117">
        <f>IF(COUNTA(B1968:E1968)=0,"",IF(COUNTA(B1968:E1968)&lt;4,"⚠ กรอกไม่ครบ",IF(NOT(ISNUMBER(B1968)),"⚠ วันที่ไม่ถูกต้อง",IF(COUNTIFS(Setup!$L$6:$L$60,D1968,Setup!$M$6:$M$60,C1968)=0,"⚠ หมวดไม่ตรงประเภท","✓"))))</f>
        <v/>
      </c>
    </row>
    <row r="1969">
      <c r="B1969" s="113" t="n"/>
      <c r="C1969" s="114" t="n"/>
      <c r="D1969" s="115" t="n"/>
      <c r="E1969" s="116" t="n"/>
      <c r="F1969" s="115" t="n"/>
      <c r="G1969" s="117">
        <f>IF(COUNTA(B1969:E1969)=0,"",IF(COUNTA(B1969:E1969)&lt;4,"⚠ กรอกไม่ครบ",IF(NOT(ISNUMBER(B1969)),"⚠ วันที่ไม่ถูกต้อง",IF(COUNTIFS(Setup!$L$6:$L$60,D1969,Setup!$M$6:$M$60,C1969)=0,"⚠ หมวดไม่ตรงประเภท","✓"))))</f>
        <v/>
      </c>
    </row>
    <row r="1970">
      <c r="B1970" s="113" t="n"/>
      <c r="C1970" s="114" t="n"/>
      <c r="D1970" s="115" t="n"/>
      <c r="E1970" s="116" t="n"/>
      <c r="F1970" s="115" t="n"/>
      <c r="G1970" s="117">
        <f>IF(COUNTA(B1970:E1970)=0,"",IF(COUNTA(B1970:E1970)&lt;4,"⚠ กรอกไม่ครบ",IF(NOT(ISNUMBER(B1970)),"⚠ วันที่ไม่ถูกต้อง",IF(COUNTIFS(Setup!$L$6:$L$60,D1970,Setup!$M$6:$M$60,C1970)=0,"⚠ หมวดไม่ตรงประเภท","✓"))))</f>
        <v/>
      </c>
    </row>
    <row r="1971">
      <c r="B1971" s="113" t="n"/>
      <c r="C1971" s="114" t="n"/>
      <c r="D1971" s="115" t="n"/>
      <c r="E1971" s="116" t="n"/>
      <c r="F1971" s="115" t="n"/>
      <c r="G1971" s="117">
        <f>IF(COUNTA(B1971:E1971)=0,"",IF(COUNTA(B1971:E1971)&lt;4,"⚠ กรอกไม่ครบ",IF(NOT(ISNUMBER(B1971)),"⚠ วันที่ไม่ถูกต้อง",IF(COUNTIFS(Setup!$L$6:$L$60,D1971,Setup!$M$6:$M$60,C1971)=0,"⚠ หมวดไม่ตรงประเภท","✓"))))</f>
        <v/>
      </c>
    </row>
    <row r="1972">
      <c r="B1972" s="113" t="n"/>
      <c r="C1972" s="114" t="n"/>
      <c r="D1972" s="115" t="n"/>
      <c r="E1972" s="116" t="n"/>
      <c r="F1972" s="115" t="n"/>
      <c r="G1972" s="117">
        <f>IF(COUNTA(B1972:E1972)=0,"",IF(COUNTA(B1972:E1972)&lt;4,"⚠ กรอกไม่ครบ",IF(NOT(ISNUMBER(B1972)),"⚠ วันที่ไม่ถูกต้อง",IF(COUNTIFS(Setup!$L$6:$L$60,D1972,Setup!$M$6:$M$60,C1972)=0,"⚠ หมวดไม่ตรงประเภท","✓"))))</f>
        <v/>
      </c>
    </row>
    <row r="1973">
      <c r="B1973" s="113" t="n"/>
      <c r="C1973" s="114" t="n"/>
      <c r="D1973" s="115" t="n"/>
      <c r="E1973" s="116" t="n"/>
      <c r="F1973" s="115" t="n"/>
      <c r="G1973" s="117">
        <f>IF(COUNTA(B1973:E1973)=0,"",IF(COUNTA(B1973:E1973)&lt;4,"⚠ กรอกไม่ครบ",IF(NOT(ISNUMBER(B1973)),"⚠ วันที่ไม่ถูกต้อง",IF(COUNTIFS(Setup!$L$6:$L$60,D1973,Setup!$M$6:$M$60,C1973)=0,"⚠ หมวดไม่ตรงประเภท","✓"))))</f>
        <v/>
      </c>
    </row>
    <row r="1974">
      <c r="B1974" s="113" t="n"/>
      <c r="C1974" s="114" t="n"/>
      <c r="D1974" s="115" t="n"/>
      <c r="E1974" s="116" t="n"/>
      <c r="F1974" s="115" t="n"/>
      <c r="G1974" s="117">
        <f>IF(COUNTA(B1974:E1974)=0,"",IF(COUNTA(B1974:E1974)&lt;4,"⚠ กรอกไม่ครบ",IF(NOT(ISNUMBER(B1974)),"⚠ วันที่ไม่ถูกต้อง",IF(COUNTIFS(Setup!$L$6:$L$60,D1974,Setup!$M$6:$M$60,C1974)=0,"⚠ หมวดไม่ตรงประเภท","✓"))))</f>
        <v/>
      </c>
    </row>
    <row r="1975">
      <c r="B1975" s="113" t="n"/>
      <c r="C1975" s="114" t="n"/>
      <c r="D1975" s="115" t="n"/>
      <c r="E1975" s="116" t="n"/>
      <c r="F1975" s="115" t="n"/>
      <c r="G1975" s="117">
        <f>IF(COUNTA(B1975:E1975)=0,"",IF(COUNTA(B1975:E1975)&lt;4,"⚠ กรอกไม่ครบ",IF(NOT(ISNUMBER(B1975)),"⚠ วันที่ไม่ถูกต้อง",IF(COUNTIFS(Setup!$L$6:$L$60,D1975,Setup!$M$6:$M$60,C1975)=0,"⚠ หมวดไม่ตรงประเภท","✓"))))</f>
        <v/>
      </c>
    </row>
    <row r="1976">
      <c r="B1976" s="113" t="n"/>
      <c r="C1976" s="114" t="n"/>
      <c r="D1976" s="115" t="n"/>
      <c r="E1976" s="116" t="n"/>
      <c r="F1976" s="115" t="n"/>
      <c r="G1976" s="117">
        <f>IF(COUNTA(B1976:E1976)=0,"",IF(COUNTA(B1976:E1976)&lt;4,"⚠ กรอกไม่ครบ",IF(NOT(ISNUMBER(B1976)),"⚠ วันที่ไม่ถูกต้อง",IF(COUNTIFS(Setup!$L$6:$L$60,D1976,Setup!$M$6:$M$60,C1976)=0,"⚠ หมวดไม่ตรงประเภท","✓"))))</f>
        <v/>
      </c>
    </row>
    <row r="1977">
      <c r="B1977" s="113" t="n"/>
      <c r="C1977" s="114" t="n"/>
      <c r="D1977" s="115" t="n"/>
      <c r="E1977" s="116" t="n"/>
      <c r="F1977" s="115" t="n"/>
      <c r="G1977" s="117">
        <f>IF(COUNTA(B1977:E1977)=0,"",IF(COUNTA(B1977:E1977)&lt;4,"⚠ กรอกไม่ครบ",IF(NOT(ISNUMBER(B1977)),"⚠ วันที่ไม่ถูกต้อง",IF(COUNTIFS(Setup!$L$6:$L$60,D1977,Setup!$M$6:$M$60,C1977)=0,"⚠ หมวดไม่ตรงประเภท","✓"))))</f>
        <v/>
      </c>
    </row>
    <row r="1978">
      <c r="B1978" s="113" t="n"/>
      <c r="C1978" s="114" t="n"/>
      <c r="D1978" s="115" t="n"/>
      <c r="E1978" s="116" t="n"/>
      <c r="F1978" s="115" t="n"/>
      <c r="G1978" s="117">
        <f>IF(COUNTA(B1978:E1978)=0,"",IF(COUNTA(B1978:E1978)&lt;4,"⚠ กรอกไม่ครบ",IF(NOT(ISNUMBER(B1978)),"⚠ วันที่ไม่ถูกต้อง",IF(COUNTIFS(Setup!$L$6:$L$60,D1978,Setup!$M$6:$M$60,C1978)=0,"⚠ หมวดไม่ตรงประเภท","✓"))))</f>
        <v/>
      </c>
    </row>
    <row r="1979">
      <c r="B1979" s="113" t="n"/>
      <c r="C1979" s="114" t="n"/>
      <c r="D1979" s="115" t="n"/>
      <c r="E1979" s="116" t="n"/>
      <c r="F1979" s="115" t="n"/>
      <c r="G1979" s="117">
        <f>IF(COUNTA(B1979:E1979)=0,"",IF(COUNTA(B1979:E1979)&lt;4,"⚠ กรอกไม่ครบ",IF(NOT(ISNUMBER(B1979)),"⚠ วันที่ไม่ถูกต้อง",IF(COUNTIFS(Setup!$L$6:$L$60,D1979,Setup!$M$6:$M$60,C1979)=0,"⚠ หมวดไม่ตรงประเภท","✓"))))</f>
        <v/>
      </c>
    </row>
    <row r="1980">
      <c r="B1980" s="113" t="n"/>
      <c r="C1980" s="114" t="n"/>
      <c r="D1980" s="115" t="n"/>
      <c r="E1980" s="116" t="n"/>
      <c r="F1980" s="115" t="n"/>
      <c r="G1980" s="117">
        <f>IF(COUNTA(B1980:E1980)=0,"",IF(COUNTA(B1980:E1980)&lt;4,"⚠ กรอกไม่ครบ",IF(NOT(ISNUMBER(B1980)),"⚠ วันที่ไม่ถูกต้อง",IF(COUNTIFS(Setup!$L$6:$L$60,D1980,Setup!$M$6:$M$60,C1980)=0,"⚠ หมวดไม่ตรงประเภท","✓"))))</f>
        <v/>
      </c>
    </row>
    <row r="1981">
      <c r="B1981" s="113" t="n"/>
      <c r="C1981" s="114" t="n"/>
      <c r="D1981" s="115" t="n"/>
      <c r="E1981" s="116" t="n"/>
      <c r="F1981" s="115" t="n"/>
      <c r="G1981" s="117">
        <f>IF(COUNTA(B1981:E1981)=0,"",IF(COUNTA(B1981:E1981)&lt;4,"⚠ กรอกไม่ครบ",IF(NOT(ISNUMBER(B1981)),"⚠ วันที่ไม่ถูกต้อง",IF(COUNTIFS(Setup!$L$6:$L$60,D1981,Setup!$M$6:$M$60,C1981)=0,"⚠ หมวดไม่ตรงประเภท","✓"))))</f>
        <v/>
      </c>
    </row>
    <row r="1982">
      <c r="B1982" s="113" t="n"/>
      <c r="C1982" s="114" t="n"/>
      <c r="D1982" s="115" t="n"/>
      <c r="E1982" s="116" t="n"/>
      <c r="F1982" s="115" t="n"/>
      <c r="G1982" s="117">
        <f>IF(COUNTA(B1982:E1982)=0,"",IF(COUNTA(B1982:E1982)&lt;4,"⚠ กรอกไม่ครบ",IF(NOT(ISNUMBER(B1982)),"⚠ วันที่ไม่ถูกต้อง",IF(COUNTIFS(Setup!$L$6:$L$60,D1982,Setup!$M$6:$M$60,C1982)=0,"⚠ หมวดไม่ตรงประเภท","✓"))))</f>
        <v/>
      </c>
    </row>
    <row r="1983">
      <c r="B1983" s="113" t="n"/>
      <c r="C1983" s="114" t="n"/>
      <c r="D1983" s="115" t="n"/>
      <c r="E1983" s="116" t="n"/>
      <c r="F1983" s="115" t="n"/>
      <c r="G1983" s="117">
        <f>IF(COUNTA(B1983:E1983)=0,"",IF(COUNTA(B1983:E1983)&lt;4,"⚠ กรอกไม่ครบ",IF(NOT(ISNUMBER(B1983)),"⚠ วันที่ไม่ถูกต้อง",IF(COUNTIFS(Setup!$L$6:$L$60,D1983,Setup!$M$6:$M$60,C1983)=0,"⚠ หมวดไม่ตรงประเภท","✓"))))</f>
        <v/>
      </c>
    </row>
    <row r="1984">
      <c r="B1984" s="113" t="n"/>
      <c r="C1984" s="114" t="n"/>
      <c r="D1984" s="115" t="n"/>
      <c r="E1984" s="116" t="n"/>
      <c r="F1984" s="115" t="n"/>
      <c r="G1984" s="117">
        <f>IF(COUNTA(B1984:E1984)=0,"",IF(COUNTA(B1984:E1984)&lt;4,"⚠ กรอกไม่ครบ",IF(NOT(ISNUMBER(B1984)),"⚠ วันที่ไม่ถูกต้อง",IF(COUNTIFS(Setup!$L$6:$L$60,D1984,Setup!$M$6:$M$60,C1984)=0,"⚠ หมวดไม่ตรงประเภท","✓"))))</f>
        <v/>
      </c>
    </row>
    <row r="1985">
      <c r="B1985" s="113" t="n"/>
      <c r="C1985" s="114" t="n"/>
      <c r="D1985" s="115" t="n"/>
      <c r="E1985" s="116" t="n"/>
      <c r="F1985" s="115" t="n"/>
      <c r="G1985" s="117">
        <f>IF(COUNTA(B1985:E1985)=0,"",IF(COUNTA(B1985:E1985)&lt;4,"⚠ กรอกไม่ครบ",IF(NOT(ISNUMBER(B1985)),"⚠ วันที่ไม่ถูกต้อง",IF(COUNTIFS(Setup!$L$6:$L$60,D1985,Setup!$M$6:$M$60,C1985)=0,"⚠ หมวดไม่ตรงประเภท","✓"))))</f>
        <v/>
      </c>
    </row>
    <row r="1986">
      <c r="B1986" s="113" t="n"/>
      <c r="C1986" s="114" t="n"/>
      <c r="D1986" s="115" t="n"/>
      <c r="E1986" s="116" t="n"/>
      <c r="F1986" s="115" t="n"/>
      <c r="G1986" s="117">
        <f>IF(COUNTA(B1986:E1986)=0,"",IF(COUNTA(B1986:E1986)&lt;4,"⚠ กรอกไม่ครบ",IF(NOT(ISNUMBER(B1986)),"⚠ วันที่ไม่ถูกต้อง",IF(COUNTIFS(Setup!$L$6:$L$60,D1986,Setup!$M$6:$M$60,C1986)=0,"⚠ หมวดไม่ตรงประเภท","✓"))))</f>
        <v/>
      </c>
    </row>
    <row r="1987">
      <c r="B1987" s="113" t="n"/>
      <c r="C1987" s="114" t="n"/>
      <c r="D1987" s="115" t="n"/>
      <c r="E1987" s="116" t="n"/>
      <c r="F1987" s="115" t="n"/>
      <c r="G1987" s="117">
        <f>IF(COUNTA(B1987:E1987)=0,"",IF(COUNTA(B1987:E1987)&lt;4,"⚠ กรอกไม่ครบ",IF(NOT(ISNUMBER(B1987)),"⚠ วันที่ไม่ถูกต้อง",IF(COUNTIFS(Setup!$L$6:$L$60,D1987,Setup!$M$6:$M$60,C1987)=0,"⚠ หมวดไม่ตรงประเภท","✓"))))</f>
        <v/>
      </c>
    </row>
    <row r="1988">
      <c r="B1988" s="113" t="n"/>
      <c r="C1988" s="114" t="n"/>
      <c r="D1988" s="115" t="n"/>
      <c r="E1988" s="116" t="n"/>
      <c r="F1988" s="115" t="n"/>
      <c r="G1988" s="117">
        <f>IF(COUNTA(B1988:E1988)=0,"",IF(COUNTA(B1988:E1988)&lt;4,"⚠ กรอกไม่ครบ",IF(NOT(ISNUMBER(B1988)),"⚠ วันที่ไม่ถูกต้อง",IF(COUNTIFS(Setup!$L$6:$L$60,D1988,Setup!$M$6:$M$60,C1988)=0,"⚠ หมวดไม่ตรงประเภท","✓"))))</f>
        <v/>
      </c>
    </row>
    <row r="1989">
      <c r="B1989" s="113" t="n"/>
      <c r="C1989" s="114" t="n"/>
      <c r="D1989" s="115" t="n"/>
      <c r="E1989" s="116" t="n"/>
      <c r="F1989" s="115" t="n"/>
      <c r="G1989" s="117">
        <f>IF(COUNTA(B1989:E1989)=0,"",IF(COUNTA(B1989:E1989)&lt;4,"⚠ กรอกไม่ครบ",IF(NOT(ISNUMBER(B1989)),"⚠ วันที่ไม่ถูกต้อง",IF(COUNTIFS(Setup!$L$6:$L$60,D1989,Setup!$M$6:$M$60,C1989)=0,"⚠ หมวดไม่ตรงประเภท","✓"))))</f>
        <v/>
      </c>
    </row>
    <row r="1990">
      <c r="B1990" s="113" t="n"/>
      <c r="C1990" s="114" t="n"/>
      <c r="D1990" s="115" t="n"/>
      <c r="E1990" s="116" t="n"/>
      <c r="F1990" s="115" t="n"/>
      <c r="G1990" s="117">
        <f>IF(COUNTA(B1990:E1990)=0,"",IF(COUNTA(B1990:E1990)&lt;4,"⚠ กรอกไม่ครบ",IF(NOT(ISNUMBER(B1990)),"⚠ วันที่ไม่ถูกต้อง",IF(COUNTIFS(Setup!$L$6:$L$60,D1990,Setup!$M$6:$M$60,C1990)=0,"⚠ หมวดไม่ตรงประเภท","✓"))))</f>
        <v/>
      </c>
    </row>
    <row r="1991">
      <c r="B1991" s="113" t="n"/>
      <c r="C1991" s="114" t="n"/>
      <c r="D1991" s="115" t="n"/>
      <c r="E1991" s="116" t="n"/>
      <c r="F1991" s="115" t="n"/>
      <c r="G1991" s="117">
        <f>IF(COUNTA(B1991:E1991)=0,"",IF(COUNTA(B1991:E1991)&lt;4,"⚠ กรอกไม่ครบ",IF(NOT(ISNUMBER(B1991)),"⚠ วันที่ไม่ถูกต้อง",IF(COUNTIFS(Setup!$L$6:$L$60,D1991,Setup!$M$6:$M$60,C1991)=0,"⚠ หมวดไม่ตรงประเภท","✓"))))</f>
        <v/>
      </c>
    </row>
    <row r="1992">
      <c r="B1992" s="113" t="n"/>
      <c r="C1992" s="114" t="n"/>
      <c r="D1992" s="115" t="n"/>
      <c r="E1992" s="116" t="n"/>
      <c r="F1992" s="115" t="n"/>
      <c r="G1992" s="117">
        <f>IF(COUNTA(B1992:E1992)=0,"",IF(COUNTA(B1992:E1992)&lt;4,"⚠ กรอกไม่ครบ",IF(NOT(ISNUMBER(B1992)),"⚠ วันที่ไม่ถูกต้อง",IF(COUNTIFS(Setup!$L$6:$L$60,D1992,Setup!$M$6:$M$60,C1992)=0,"⚠ หมวดไม่ตรงประเภท","✓"))))</f>
        <v/>
      </c>
    </row>
    <row r="1993">
      <c r="B1993" s="113" t="n"/>
      <c r="C1993" s="114" t="n"/>
      <c r="D1993" s="115" t="n"/>
      <c r="E1993" s="116" t="n"/>
      <c r="F1993" s="115" t="n"/>
      <c r="G1993" s="117">
        <f>IF(COUNTA(B1993:E1993)=0,"",IF(COUNTA(B1993:E1993)&lt;4,"⚠ กรอกไม่ครบ",IF(NOT(ISNUMBER(B1993)),"⚠ วันที่ไม่ถูกต้อง",IF(COUNTIFS(Setup!$L$6:$L$60,D1993,Setup!$M$6:$M$60,C1993)=0,"⚠ หมวดไม่ตรงประเภท","✓"))))</f>
        <v/>
      </c>
    </row>
    <row r="1994">
      <c r="B1994" s="113" t="n"/>
      <c r="C1994" s="114" t="n"/>
      <c r="D1994" s="115" t="n"/>
      <c r="E1994" s="116" t="n"/>
      <c r="F1994" s="115" t="n"/>
      <c r="G1994" s="117">
        <f>IF(COUNTA(B1994:E1994)=0,"",IF(COUNTA(B1994:E1994)&lt;4,"⚠ กรอกไม่ครบ",IF(NOT(ISNUMBER(B1994)),"⚠ วันที่ไม่ถูกต้อง",IF(COUNTIFS(Setup!$L$6:$L$60,D1994,Setup!$M$6:$M$60,C1994)=0,"⚠ หมวดไม่ตรงประเภท","✓"))))</f>
        <v/>
      </c>
    </row>
    <row r="1995">
      <c r="B1995" s="113" t="n"/>
      <c r="C1995" s="114" t="n"/>
      <c r="D1995" s="115" t="n"/>
      <c r="E1995" s="116" t="n"/>
      <c r="F1995" s="115" t="n"/>
      <c r="G1995" s="117">
        <f>IF(COUNTA(B1995:E1995)=0,"",IF(COUNTA(B1995:E1995)&lt;4,"⚠ กรอกไม่ครบ",IF(NOT(ISNUMBER(B1995)),"⚠ วันที่ไม่ถูกต้อง",IF(COUNTIFS(Setup!$L$6:$L$60,D1995,Setup!$M$6:$M$60,C1995)=0,"⚠ หมวดไม่ตรงประเภท","✓"))))</f>
        <v/>
      </c>
    </row>
    <row r="1996">
      <c r="B1996" s="113" t="n"/>
      <c r="C1996" s="114" t="n"/>
      <c r="D1996" s="115" t="n"/>
      <c r="E1996" s="116" t="n"/>
      <c r="F1996" s="115" t="n"/>
      <c r="G1996" s="117">
        <f>IF(COUNTA(B1996:E1996)=0,"",IF(COUNTA(B1996:E1996)&lt;4,"⚠ กรอกไม่ครบ",IF(NOT(ISNUMBER(B1996)),"⚠ วันที่ไม่ถูกต้อง",IF(COUNTIFS(Setup!$L$6:$L$60,D1996,Setup!$M$6:$M$60,C1996)=0,"⚠ หมวดไม่ตรงประเภท","✓"))))</f>
        <v/>
      </c>
    </row>
    <row r="1997">
      <c r="B1997" s="113" t="n"/>
      <c r="C1997" s="114" t="n"/>
      <c r="D1997" s="115" t="n"/>
      <c r="E1997" s="116" t="n"/>
      <c r="F1997" s="115" t="n"/>
      <c r="G1997" s="117">
        <f>IF(COUNTA(B1997:E1997)=0,"",IF(COUNTA(B1997:E1997)&lt;4,"⚠ กรอกไม่ครบ",IF(NOT(ISNUMBER(B1997)),"⚠ วันที่ไม่ถูกต้อง",IF(COUNTIFS(Setup!$L$6:$L$60,D1997,Setup!$M$6:$M$60,C1997)=0,"⚠ หมวดไม่ตรงประเภท","✓"))))</f>
        <v/>
      </c>
    </row>
    <row r="1998">
      <c r="B1998" s="113" t="n"/>
      <c r="C1998" s="114" t="n"/>
      <c r="D1998" s="115" t="n"/>
      <c r="E1998" s="116" t="n"/>
      <c r="F1998" s="115" t="n"/>
      <c r="G1998" s="117">
        <f>IF(COUNTA(B1998:E1998)=0,"",IF(COUNTA(B1998:E1998)&lt;4,"⚠ กรอกไม่ครบ",IF(NOT(ISNUMBER(B1998)),"⚠ วันที่ไม่ถูกต้อง",IF(COUNTIFS(Setup!$L$6:$L$60,D1998,Setup!$M$6:$M$60,C1998)=0,"⚠ หมวดไม่ตรงประเภท","✓"))))</f>
        <v/>
      </c>
    </row>
    <row r="1999">
      <c r="B1999" s="113" t="n"/>
      <c r="C1999" s="114" t="n"/>
      <c r="D1999" s="115" t="n"/>
      <c r="E1999" s="116" t="n"/>
      <c r="F1999" s="115" t="n"/>
      <c r="G1999" s="117">
        <f>IF(COUNTA(B1999:E1999)=0,"",IF(COUNTA(B1999:E1999)&lt;4,"⚠ กรอกไม่ครบ",IF(NOT(ISNUMBER(B1999)),"⚠ วันที่ไม่ถูกต้อง",IF(COUNTIFS(Setup!$L$6:$L$60,D1999,Setup!$M$6:$M$60,C1999)=0,"⚠ หมวดไม่ตรงประเภท","✓"))))</f>
        <v/>
      </c>
    </row>
    <row r="2000">
      <c r="B2000" s="113" t="n"/>
      <c r="C2000" s="114" t="n"/>
      <c r="D2000" s="115" t="n"/>
      <c r="E2000" s="116" t="n"/>
      <c r="F2000" s="115" t="n"/>
      <c r="G2000" s="117">
        <f>IF(COUNTA(B2000:E2000)=0,"",IF(COUNTA(B2000:E2000)&lt;4,"⚠ กรอกไม่ครบ",IF(NOT(ISNUMBER(B2000)),"⚠ วันที่ไม่ถูกต้อง",IF(COUNTIFS(Setup!$L$6:$L$60,D2000,Setup!$M$6:$M$60,C2000)=0,"⚠ หมวดไม่ตรงประเภท","✓"))))</f>
        <v/>
      </c>
    </row>
    <row r="2001">
      <c r="B2001" s="113" t="n"/>
      <c r="C2001" s="114" t="n"/>
      <c r="D2001" s="115" t="n"/>
      <c r="E2001" s="116" t="n"/>
      <c r="F2001" s="115" t="n"/>
      <c r="G2001" s="117">
        <f>IF(COUNTA(B2001:E2001)=0,"",IF(COUNTA(B2001:E2001)&lt;4,"⚠ กรอกไม่ครบ",IF(NOT(ISNUMBER(B2001)),"⚠ วันที่ไม่ถูกต้อง",IF(COUNTIFS(Setup!$L$6:$L$60,D2001,Setup!$M$6:$M$60,C2001)=0,"⚠ หมวดไม่ตรงประเภท","✓"))))</f>
        <v/>
      </c>
    </row>
    <row r="2002">
      <c r="B2002" s="113" t="n"/>
      <c r="C2002" s="114" t="n"/>
      <c r="D2002" s="115" t="n"/>
      <c r="E2002" s="116" t="n"/>
      <c r="F2002" s="115" t="n"/>
      <c r="G2002" s="117">
        <f>IF(COUNTA(B2002:E2002)=0,"",IF(COUNTA(B2002:E2002)&lt;4,"⚠ กรอกไม่ครบ",IF(NOT(ISNUMBER(B2002)),"⚠ วันที่ไม่ถูกต้อง",IF(COUNTIFS(Setup!$L$6:$L$60,D2002,Setup!$M$6:$M$60,C2002)=0,"⚠ หมวดไม่ตรงประเภท","✓"))))</f>
        <v/>
      </c>
    </row>
    <row r="2003">
      <c r="B2003" s="113" t="n"/>
      <c r="C2003" s="114" t="n"/>
      <c r="D2003" s="115" t="n"/>
      <c r="E2003" s="116" t="n"/>
      <c r="F2003" s="115" t="n"/>
      <c r="G2003" s="117">
        <f>IF(COUNTA(B2003:E2003)=0,"",IF(COUNTA(B2003:E2003)&lt;4,"⚠ กรอกไม่ครบ",IF(NOT(ISNUMBER(B2003)),"⚠ วันที่ไม่ถูกต้อง",IF(COUNTIFS(Setup!$L$6:$L$60,D2003,Setup!$M$6:$M$60,C2003)=0,"⚠ หมวดไม่ตรงประเภท","✓"))))</f>
        <v/>
      </c>
    </row>
    <row r="2004">
      <c r="B2004" s="113" t="n"/>
      <c r="C2004" s="114" t="n"/>
      <c r="D2004" s="115" t="n"/>
      <c r="E2004" s="116" t="n"/>
      <c r="F2004" s="115" t="n"/>
      <c r="G2004" s="117">
        <f>IF(COUNTA(B2004:E2004)=0,"",IF(COUNTA(B2004:E2004)&lt;4,"⚠ กรอกไม่ครบ",IF(NOT(ISNUMBER(B2004)),"⚠ วันที่ไม่ถูกต้อง",IF(COUNTIFS(Setup!$L$6:$L$60,D2004,Setup!$M$6:$M$60,C2004)=0,"⚠ หมวดไม่ตรงประเภท","✓"))))</f>
        <v/>
      </c>
    </row>
    <row r="2005">
      <c r="B2005" s="113" t="n"/>
      <c r="C2005" s="114" t="n"/>
      <c r="D2005" s="115" t="n"/>
      <c r="E2005" s="116" t="n"/>
      <c r="F2005" s="115" t="n"/>
      <c r="G2005" s="117">
        <f>IF(COUNTA(B2005:E2005)=0,"",IF(COUNTA(B2005:E2005)&lt;4,"⚠ กรอกไม่ครบ",IF(NOT(ISNUMBER(B2005)),"⚠ วันที่ไม่ถูกต้อง",IF(COUNTIFS(Setup!$L$6:$L$60,D2005,Setup!$M$6:$M$60,C2005)=0,"⚠ หมวดไม่ตรงประเภท","✓"))))</f>
        <v/>
      </c>
    </row>
    <row r="2006">
      <c r="B2006" s="113" t="n"/>
      <c r="C2006" s="114" t="n"/>
      <c r="D2006" s="115" t="n"/>
      <c r="E2006" s="116" t="n"/>
      <c r="F2006" s="115" t="n"/>
      <c r="G2006" s="117">
        <f>IF(COUNTA(B2006:E2006)=0,"",IF(COUNTA(B2006:E2006)&lt;4,"⚠ กรอกไม่ครบ",IF(NOT(ISNUMBER(B2006)),"⚠ วันที่ไม่ถูกต้อง",IF(COUNTIFS(Setup!$L$6:$L$60,D2006,Setup!$M$6:$M$60,C2006)=0,"⚠ หมวดไม่ตรงประเภท","✓"))))</f>
        <v/>
      </c>
    </row>
    <row r="2007">
      <c r="B2007" s="113" t="n"/>
      <c r="C2007" s="114" t="n"/>
      <c r="D2007" s="115" t="n"/>
      <c r="E2007" s="116" t="n"/>
      <c r="F2007" s="115" t="n"/>
      <c r="G2007" s="117">
        <f>IF(COUNTA(B2007:E2007)=0,"",IF(COUNTA(B2007:E2007)&lt;4,"⚠ กรอกไม่ครบ",IF(NOT(ISNUMBER(B2007)),"⚠ วันที่ไม่ถูกต้อง",IF(COUNTIFS(Setup!$L$6:$L$60,D2007,Setup!$M$6:$M$60,C2007)=0,"⚠ หมวดไม่ตรงประเภท","✓"))))</f>
        <v/>
      </c>
    </row>
    <row r="2008">
      <c r="B2008" s="113" t="n"/>
      <c r="C2008" s="114" t="n"/>
      <c r="D2008" s="115" t="n"/>
      <c r="E2008" s="116" t="n"/>
      <c r="F2008" s="115" t="n"/>
      <c r="G2008" s="117">
        <f>IF(COUNTA(B2008:E2008)=0,"",IF(COUNTA(B2008:E2008)&lt;4,"⚠ กรอกไม่ครบ",IF(NOT(ISNUMBER(B2008)),"⚠ วันที่ไม่ถูกต้อง",IF(COUNTIFS(Setup!$L$6:$L$60,D2008,Setup!$M$6:$M$60,C2008)=0,"⚠ หมวดไม่ตรงประเภท","✓"))))</f>
        <v/>
      </c>
    </row>
    <row r="2009">
      <c r="B2009" s="113" t="n"/>
      <c r="C2009" s="114" t="n"/>
      <c r="D2009" s="115" t="n"/>
      <c r="E2009" s="116" t="n"/>
      <c r="F2009" s="115" t="n"/>
      <c r="G2009" s="117">
        <f>IF(COUNTA(B2009:E2009)=0,"",IF(COUNTA(B2009:E2009)&lt;4,"⚠ กรอกไม่ครบ",IF(NOT(ISNUMBER(B2009)),"⚠ วันที่ไม่ถูกต้อง",IF(COUNTIFS(Setup!$L$6:$L$60,D2009,Setup!$M$6:$M$60,C2009)=0,"⚠ หมวดไม่ตรงประเภท","✓"))))</f>
        <v/>
      </c>
    </row>
    <row r="2010">
      <c r="B2010" s="113" t="n"/>
      <c r="C2010" s="114" t="n"/>
      <c r="D2010" s="115" t="n"/>
      <c r="E2010" s="116" t="n"/>
      <c r="F2010" s="115" t="n"/>
      <c r="G2010" s="117">
        <f>IF(COUNTA(B2010:E2010)=0,"",IF(COUNTA(B2010:E2010)&lt;4,"⚠ กรอกไม่ครบ",IF(NOT(ISNUMBER(B2010)),"⚠ วันที่ไม่ถูกต้อง",IF(COUNTIFS(Setup!$L$6:$L$60,D2010,Setup!$M$6:$M$60,C2010)=0,"⚠ หมวดไม่ตรงประเภท","✓"))))</f>
        <v/>
      </c>
    </row>
    <row r="2011">
      <c r="B2011" s="113" t="n"/>
      <c r="C2011" s="114" t="n"/>
      <c r="D2011" s="115" t="n"/>
      <c r="E2011" s="116" t="n"/>
      <c r="F2011" s="115" t="n"/>
      <c r="G2011" s="117">
        <f>IF(COUNTA(B2011:E2011)=0,"",IF(COUNTA(B2011:E2011)&lt;4,"⚠ กรอกไม่ครบ",IF(NOT(ISNUMBER(B2011)),"⚠ วันที่ไม่ถูกต้อง",IF(COUNTIFS(Setup!$L$6:$L$60,D2011,Setup!$M$6:$M$60,C2011)=0,"⚠ หมวดไม่ตรงประเภท","✓"))))</f>
        <v/>
      </c>
    </row>
    <row r="2012">
      <c r="B2012" s="113" t="n"/>
      <c r="C2012" s="114" t="n"/>
      <c r="D2012" s="115" t="n"/>
      <c r="E2012" s="116" t="n"/>
      <c r="F2012" s="115" t="n"/>
      <c r="G2012" s="117">
        <f>IF(COUNTA(B2012:E2012)=0,"",IF(COUNTA(B2012:E2012)&lt;4,"⚠ กรอกไม่ครบ",IF(NOT(ISNUMBER(B2012)),"⚠ วันที่ไม่ถูกต้อง",IF(COUNTIFS(Setup!$L$6:$L$60,D2012,Setup!$M$6:$M$60,C2012)=0,"⚠ หมวดไม่ตรงประเภท","✓"))))</f>
        <v/>
      </c>
    </row>
    <row r="2013">
      <c r="B2013" s="113" t="n"/>
      <c r="C2013" s="114" t="n"/>
      <c r="D2013" s="115" t="n"/>
      <c r="E2013" s="116" t="n"/>
      <c r="F2013" s="115" t="n"/>
      <c r="G2013" s="117">
        <f>IF(COUNTA(B2013:E2013)=0,"",IF(COUNTA(B2013:E2013)&lt;4,"⚠ กรอกไม่ครบ",IF(NOT(ISNUMBER(B2013)),"⚠ วันที่ไม่ถูกต้อง",IF(COUNTIFS(Setup!$L$6:$L$60,D2013,Setup!$M$6:$M$60,C2013)=0,"⚠ หมวดไม่ตรงประเภท","✓"))))</f>
        <v/>
      </c>
    </row>
    <row r="2014">
      <c r="B2014" s="113" t="n"/>
      <c r="C2014" s="114" t="n"/>
      <c r="D2014" s="115" t="n"/>
      <c r="E2014" s="116" t="n"/>
      <c r="F2014" s="115" t="n"/>
      <c r="G2014" s="117">
        <f>IF(COUNTA(B2014:E2014)=0,"",IF(COUNTA(B2014:E2014)&lt;4,"⚠ กรอกไม่ครบ",IF(NOT(ISNUMBER(B2014)),"⚠ วันที่ไม่ถูกต้อง",IF(COUNTIFS(Setup!$L$6:$L$60,D2014,Setup!$M$6:$M$60,C2014)=0,"⚠ หมวดไม่ตรงประเภท","✓"))))</f>
        <v/>
      </c>
    </row>
    <row r="2015">
      <c r="B2015" s="113" t="n"/>
      <c r="C2015" s="114" t="n"/>
      <c r="D2015" s="115" t="n"/>
      <c r="E2015" s="116" t="n"/>
      <c r="F2015" s="115" t="n"/>
      <c r="G2015" s="117">
        <f>IF(COUNTA(B2015:E2015)=0,"",IF(COUNTA(B2015:E2015)&lt;4,"⚠ กรอกไม่ครบ",IF(NOT(ISNUMBER(B2015)),"⚠ วันที่ไม่ถูกต้อง",IF(COUNTIFS(Setup!$L$6:$L$60,D2015,Setup!$M$6:$M$60,C2015)=0,"⚠ หมวดไม่ตรงประเภท","✓"))))</f>
        <v/>
      </c>
    </row>
    <row r="2016">
      <c r="B2016" s="113" t="n"/>
      <c r="C2016" s="114" t="n"/>
      <c r="D2016" s="115" t="n"/>
      <c r="E2016" s="116" t="n"/>
      <c r="F2016" s="115" t="n"/>
      <c r="G2016" s="117">
        <f>IF(COUNTA(B2016:E2016)=0,"",IF(COUNTA(B2016:E2016)&lt;4,"⚠ กรอกไม่ครบ",IF(NOT(ISNUMBER(B2016)),"⚠ วันที่ไม่ถูกต้อง",IF(COUNTIFS(Setup!$L$6:$L$60,D2016,Setup!$M$6:$M$60,C2016)=0,"⚠ หมวดไม่ตรงประเภท","✓"))))</f>
        <v/>
      </c>
    </row>
    <row r="2017">
      <c r="B2017" s="113" t="n"/>
      <c r="C2017" s="114" t="n"/>
      <c r="D2017" s="115" t="n"/>
      <c r="E2017" s="116" t="n"/>
      <c r="F2017" s="115" t="n"/>
      <c r="G2017" s="117">
        <f>IF(COUNTA(B2017:E2017)=0,"",IF(COUNTA(B2017:E2017)&lt;4,"⚠ กรอกไม่ครบ",IF(NOT(ISNUMBER(B2017)),"⚠ วันที่ไม่ถูกต้อง",IF(COUNTIFS(Setup!$L$6:$L$60,D2017,Setup!$M$6:$M$60,C2017)=0,"⚠ หมวดไม่ตรงประเภท","✓"))))</f>
        <v/>
      </c>
    </row>
    <row r="2018">
      <c r="B2018" s="113" t="n"/>
      <c r="C2018" s="114" t="n"/>
      <c r="D2018" s="115" t="n"/>
      <c r="E2018" s="116" t="n"/>
      <c r="F2018" s="115" t="n"/>
      <c r="G2018" s="117">
        <f>IF(COUNTA(B2018:E2018)=0,"",IF(COUNTA(B2018:E2018)&lt;4,"⚠ กรอกไม่ครบ",IF(NOT(ISNUMBER(B2018)),"⚠ วันที่ไม่ถูกต้อง",IF(COUNTIFS(Setup!$L$6:$L$60,D2018,Setup!$M$6:$M$60,C2018)=0,"⚠ หมวดไม่ตรงประเภท","✓"))))</f>
        <v/>
      </c>
    </row>
    <row r="2019">
      <c r="B2019" s="113" t="n"/>
      <c r="C2019" s="114" t="n"/>
      <c r="D2019" s="115" t="n"/>
      <c r="E2019" s="116" t="n"/>
      <c r="F2019" s="115" t="n"/>
      <c r="G2019" s="117">
        <f>IF(COUNTA(B2019:E2019)=0,"",IF(COUNTA(B2019:E2019)&lt;4,"⚠ กรอกไม่ครบ",IF(NOT(ISNUMBER(B2019)),"⚠ วันที่ไม่ถูกต้อง",IF(COUNTIFS(Setup!$L$6:$L$60,D2019,Setup!$M$6:$M$60,C2019)=0,"⚠ หมวดไม่ตรงประเภท","✓"))))</f>
        <v/>
      </c>
    </row>
    <row r="2020">
      <c r="B2020" s="113" t="n"/>
      <c r="C2020" s="114" t="n"/>
      <c r="D2020" s="115" t="n"/>
      <c r="E2020" s="116" t="n"/>
      <c r="F2020" s="115" t="n"/>
      <c r="G2020" s="117">
        <f>IF(COUNTA(B2020:E2020)=0,"",IF(COUNTA(B2020:E2020)&lt;4,"⚠ กรอกไม่ครบ",IF(NOT(ISNUMBER(B2020)),"⚠ วันที่ไม่ถูกต้อง",IF(COUNTIFS(Setup!$L$6:$L$60,D2020,Setup!$M$6:$M$60,C2020)=0,"⚠ หมวดไม่ตรงประเภท","✓"))))</f>
        <v/>
      </c>
    </row>
    <row r="2021">
      <c r="B2021" s="113" t="n"/>
      <c r="C2021" s="114" t="n"/>
      <c r="D2021" s="115" t="n"/>
      <c r="E2021" s="116" t="n"/>
      <c r="F2021" s="115" t="n"/>
      <c r="G2021" s="117">
        <f>IF(COUNTA(B2021:E2021)=0,"",IF(COUNTA(B2021:E2021)&lt;4,"⚠ กรอกไม่ครบ",IF(NOT(ISNUMBER(B2021)),"⚠ วันที่ไม่ถูกต้อง",IF(COUNTIFS(Setup!$L$6:$L$60,D2021,Setup!$M$6:$M$60,C2021)=0,"⚠ หมวดไม่ตรงประเภท","✓"))))</f>
        <v/>
      </c>
    </row>
    <row r="2022">
      <c r="B2022" s="113" t="n"/>
      <c r="C2022" s="114" t="n"/>
      <c r="D2022" s="115" t="n"/>
      <c r="E2022" s="116" t="n"/>
      <c r="F2022" s="115" t="n"/>
      <c r="G2022" s="117">
        <f>IF(COUNTA(B2022:E2022)=0,"",IF(COUNTA(B2022:E2022)&lt;4,"⚠ กรอกไม่ครบ",IF(NOT(ISNUMBER(B2022)),"⚠ วันที่ไม่ถูกต้อง",IF(COUNTIFS(Setup!$L$6:$L$60,D2022,Setup!$M$6:$M$60,C2022)=0,"⚠ หมวดไม่ตรงประเภท","✓"))))</f>
        <v/>
      </c>
    </row>
    <row r="2023">
      <c r="B2023" s="113" t="n"/>
      <c r="C2023" s="114" t="n"/>
      <c r="D2023" s="115" t="n"/>
      <c r="E2023" s="116" t="n"/>
      <c r="F2023" s="115" t="n"/>
      <c r="G2023" s="117">
        <f>IF(COUNTA(B2023:E2023)=0,"",IF(COUNTA(B2023:E2023)&lt;4,"⚠ กรอกไม่ครบ",IF(NOT(ISNUMBER(B2023)),"⚠ วันที่ไม่ถูกต้อง",IF(COUNTIFS(Setup!$L$6:$L$60,D2023,Setup!$M$6:$M$60,C2023)=0,"⚠ หมวดไม่ตรงประเภท","✓"))))</f>
        <v/>
      </c>
    </row>
    <row r="2024">
      <c r="B2024" s="113" t="n"/>
      <c r="C2024" s="114" t="n"/>
      <c r="D2024" s="115" t="n"/>
      <c r="E2024" s="116" t="n"/>
      <c r="F2024" s="115" t="n"/>
      <c r="G2024" s="117">
        <f>IF(COUNTA(B2024:E2024)=0,"",IF(COUNTA(B2024:E2024)&lt;4,"⚠ กรอกไม่ครบ",IF(NOT(ISNUMBER(B2024)),"⚠ วันที่ไม่ถูกต้อง",IF(COUNTIFS(Setup!$L$6:$L$60,D2024,Setup!$M$6:$M$60,C2024)=0,"⚠ หมวดไม่ตรงประเภท","✓"))))</f>
        <v/>
      </c>
    </row>
    <row r="2025">
      <c r="B2025" s="113" t="n"/>
      <c r="C2025" s="114" t="n"/>
      <c r="D2025" s="115" t="n"/>
      <c r="E2025" s="116" t="n"/>
      <c r="F2025" s="115" t="n"/>
      <c r="G2025" s="117">
        <f>IF(COUNTA(B2025:E2025)=0,"",IF(COUNTA(B2025:E2025)&lt;4,"⚠ กรอกไม่ครบ",IF(NOT(ISNUMBER(B2025)),"⚠ วันที่ไม่ถูกต้อง",IF(COUNTIFS(Setup!$L$6:$L$60,D2025,Setup!$M$6:$M$60,C2025)=0,"⚠ หมวดไม่ตรงประเภท","✓"))))</f>
        <v/>
      </c>
    </row>
    <row r="2026">
      <c r="B2026" s="113" t="n"/>
      <c r="C2026" s="114" t="n"/>
      <c r="D2026" s="115" t="n"/>
      <c r="E2026" s="116" t="n"/>
      <c r="F2026" s="115" t="n"/>
      <c r="G2026" s="117">
        <f>IF(COUNTA(B2026:E2026)=0,"",IF(COUNTA(B2026:E2026)&lt;4,"⚠ กรอกไม่ครบ",IF(NOT(ISNUMBER(B2026)),"⚠ วันที่ไม่ถูกต้อง",IF(COUNTIFS(Setup!$L$6:$L$60,D2026,Setup!$M$6:$M$60,C2026)=0,"⚠ หมวดไม่ตรงประเภท","✓"))))</f>
        <v/>
      </c>
    </row>
    <row r="2027">
      <c r="B2027" s="113" t="n"/>
      <c r="C2027" s="114" t="n"/>
      <c r="D2027" s="115" t="n"/>
      <c r="E2027" s="116" t="n"/>
      <c r="F2027" s="115" t="n"/>
      <c r="G2027" s="117">
        <f>IF(COUNTA(B2027:E2027)=0,"",IF(COUNTA(B2027:E2027)&lt;4,"⚠ กรอกไม่ครบ",IF(NOT(ISNUMBER(B2027)),"⚠ วันที่ไม่ถูกต้อง",IF(COUNTIFS(Setup!$L$6:$L$60,D2027,Setup!$M$6:$M$60,C2027)=0,"⚠ หมวดไม่ตรงประเภท","✓"))))</f>
        <v/>
      </c>
    </row>
    <row r="2028">
      <c r="B2028" s="113" t="n"/>
      <c r="C2028" s="114" t="n"/>
      <c r="D2028" s="115" t="n"/>
      <c r="E2028" s="116" t="n"/>
      <c r="F2028" s="115" t="n"/>
      <c r="G2028" s="117">
        <f>IF(COUNTA(B2028:E2028)=0,"",IF(COUNTA(B2028:E2028)&lt;4,"⚠ กรอกไม่ครบ",IF(NOT(ISNUMBER(B2028)),"⚠ วันที่ไม่ถูกต้อง",IF(COUNTIFS(Setup!$L$6:$L$60,D2028,Setup!$M$6:$M$60,C2028)=0,"⚠ หมวดไม่ตรงประเภท","✓"))))</f>
        <v/>
      </c>
    </row>
    <row r="2029">
      <c r="B2029" s="113" t="n"/>
      <c r="C2029" s="114" t="n"/>
      <c r="D2029" s="115" t="n"/>
      <c r="E2029" s="116" t="n"/>
      <c r="F2029" s="115" t="n"/>
      <c r="G2029" s="117">
        <f>IF(COUNTA(B2029:E2029)=0,"",IF(COUNTA(B2029:E2029)&lt;4,"⚠ กรอกไม่ครบ",IF(NOT(ISNUMBER(B2029)),"⚠ วันที่ไม่ถูกต้อง",IF(COUNTIFS(Setup!$L$6:$L$60,D2029,Setup!$M$6:$M$60,C2029)=0,"⚠ หมวดไม่ตรงประเภท","✓"))))</f>
        <v/>
      </c>
    </row>
    <row r="2030">
      <c r="B2030" s="113" t="n"/>
      <c r="C2030" s="114" t="n"/>
      <c r="D2030" s="115" t="n"/>
      <c r="E2030" s="116" t="n"/>
      <c r="F2030" s="115" t="n"/>
      <c r="G2030" s="117">
        <f>IF(COUNTA(B2030:E2030)=0,"",IF(COUNTA(B2030:E2030)&lt;4,"⚠ กรอกไม่ครบ",IF(NOT(ISNUMBER(B2030)),"⚠ วันที่ไม่ถูกต้อง",IF(COUNTIFS(Setup!$L$6:$L$60,D2030,Setup!$M$6:$M$60,C2030)=0,"⚠ หมวดไม่ตรงประเภท","✓"))))</f>
        <v/>
      </c>
    </row>
    <row r="2031">
      <c r="B2031" s="113" t="n"/>
      <c r="C2031" s="114" t="n"/>
      <c r="D2031" s="115" t="n"/>
      <c r="E2031" s="116" t="n"/>
      <c r="F2031" s="115" t="n"/>
      <c r="G2031" s="117">
        <f>IF(COUNTA(B2031:E2031)=0,"",IF(COUNTA(B2031:E2031)&lt;4,"⚠ กรอกไม่ครบ",IF(NOT(ISNUMBER(B2031)),"⚠ วันที่ไม่ถูกต้อง",IF(COUNTIFS(Setup!$L$6:$L$60,D2031,Setup!$M$6:$M$60,C2031)=0,"⚠ หมวดไม่ตรงประเภท","✓"))))</f>
        <v/>
      </c>
    </row>
    <row r="2032">
      <c r="B2032" s="113" t="n"/>
      <c r="C2032" s="114" t="n"/>
      <c r="D2032" s="115" t="n"/>
      <c r="E2032" s="116" t="n"/>
      <c r="F2032" s="115" t="n"/>
      <c r="G2032" s="117">
        <f>IF(COUNTA(B2032:E2032)=0,"",IF(COUNTA(B2032:E2032)&lt;4,"⚠ กรอกไม่ครบ",IF(NOT(ISNUMBER(B2032)),"⚠ วันที่ไม่ถูกต้อง",IF(COUNTIFS(Setup!$L$6:$L$60,D2032,Setup!$M$6:$M$60,C2032)=0,"⚠ หมวดไม่ตรงประเภท","✓"))))</f>
        <v/>
      </c>
    </row>
    <row r="2033">
      <c r="B2033" s="113" t="n"/>
      <c r="C2033" s="114" t="n"/>
      <c r="D2033" s="115" t="n"/>
      <c r="E2033" s="116" t="n"/>
      <c r="F2033" s="115" t="n"/>
      <c r="G2033" s="117">
        <f>IF(COUNTA(B2033:E2033)=0,"",IF(COUNTA(B2033:E2033)&lt;4,"⚠ กรอกไม่ครบ",IF(NOT(ISNUMBER(B2033)),"⚠ วันที่ไม่ถูกต้อง",IF(COUNTIFS(Setup!$L$6:$L$60,D2033,Setup!$M$6:$M$60,C2033)=0,"⚠ หมวดไม่ตรงประเภท","✓"))))</f>
        <v/>
      </c>
    </row>
    <row r="2034">
      <c r="B2034" s="113" t="n"/>
      <c r="C2034" s="114" t="n"/>
      <c r="D2034" s="115" t="n"/>
      <c r="E2034" s="116" t="n"/>
      <c r="F2034" s="115" t="n"/>
      <c r="G2034" s="117">
        <f>IF(COUNTA(B2034:E2034)=0,"",IF(COUNTA(B2034:E2034)&lt;4,"⚠ กรอกไม่ครบ",IF(NOT(ISNUMBER(B2034)),"⚠ วันที่ไม่ถูกต้อง",IF(COUNTIFS(Setup!$L$6:$L$60,D2034,Setup!$M$6:$M$60,C2034)=0,"⚠ หมวดไม่ตรงประเภท","✓"))))</f>
        <v/>
      </c>
    </row>
    <row r="2035">
      <c r="B2035" s="113" t="n"/>
      <c r="C2035" s="114" t="n"/>
      <c r="D2035" s="115" t="n"/>
      <c r="E2035" s="116" t="n"/>
      <c r="F2035" s="115" t="n"/>
      <c r="G2035" s="117">
        <f>IF(COUNTA(B2035:E2035)=0,"",IF(COUNTA(B2035:E2035)&lt;4,"⚠ กรอกไม่ครบ",IF(NOT(ISNUMBER(B2035)),"⚠ วันที่ไม่ถูกต้อง",IF(COUNTIFS(Setup!$L$6:$L$60,D2035,Setup!$M$6:$M$60,C2035)=0,"⚠ หมวดไม่ตรงประเภท","✓"))))</f>
        <v/>
      </c>
    </row>
    <row r="2036">
      <c r="B2036" s="113" t="n"/>
      <c r="C2036" s="114" t="n"/>
      <c r="D2036" s="115" t="n"/>
      <c r="E2036" s="116" t="n"/>
      <c r="F2036" s="115" t="n"/>
      <c r="G2036" s="117">
        <f>IF(COUNTA(B2036:E2036)=0,"",IF(COUNTA(B2036:E2036)&lt;4,"⚠ กรอกไม่ครบ",IF(NOT(ISNUMBER(B2036)),"⚠ วันที่ไม่ถูกต้อง",IF(COUNTIFS(Setup!$L$6:$L$60,D2036,Setup!$M$6:$M$60,C2036)=0,"⚠ หมวดไม่ตรงประเภท","✓"))))</f>
        <v/>
      </c>
    </row>
    <row r="2037">
      <c r="B2037" s="113" t="n"/>
      <c r="C2037" s="114" t="n"/>
      <c r="D2037" s="115" t="n"/>
      <c r="E2037" s="116" t="n"/>
      <c r="F2037" s="115" t="n"/>
      <c r="G2037" s="117">
        <f>IF(COUNTA(B2037:E2037)=0,"",IF(COUNTA(B2037:E2037)&lt;4,"⚠ กรอกไม่ครบ",IF(NOT(ISNUMBER(B2037)),"⚠ วันที่ไม่ถูกต้อง",IF(COUNTIFS(Setup!$L$6:$L$60,D2037,Setup!$M$6:$M$60,C2037)=0,"⚠ หมวดไม่ตรงประเภท","✓"))))</f>
        <v/>
      </c>
    </row>
    <row r="2038">
      <c r="B2038" s="113" t="n"/>
      <c r="C2038" s="114" t="n"/>
      <c r="D2038" s="115" t="n"/>
      <c r="E2038" s="116" t="n"/>
      <c r="F2038" s="115" t="n"/>
      <c r="G2038" s="117">
        <f>IF(COUNTA(B2038:E2038)=0,"",IF(COUNTA(B2038:E2038)&lt;4,"⚠ กรอกไม่ครบ",IF(NOT(ISNUMBER(B2038)),"⚠ วันที่ไม่ถูกต้อง",IF(COUNTIFS(Setup!$L$6:$L$60,D2038,Setup!$M$6:$M$60,C2038)=0,"⚠ หมวดไม่ตรงประเภท","✓"))))</f>
        <v/>
      </c>
    </row>
    <row r="2039">
      <c r="B2039" s="113" t="n"/>
      <c r="C2039" s="114" t="n"/>
      <c r="D2039" s="115" t="n"/>
      <c r="E2039" s="116" t="n"/>
      <c r="F2039" s="115" t="n"/>
      <c r="G2039" s="117">
        <f>IF(COUNTA(B2039:E2039)=0,"",IF(COUNTA(B2039:E2039)&lt;4,"⚠ กรอกไม่ครบ",IF(NOT(ISNUMBER(B2039)),"⚠ วันที่ไม่ถูกต้อง",IF(COUNTIFS(Setup!$L$6:$L$60,D2039,Setup!$M$6:$M$60,C2039)=0,"⚠ หมวดไม่ตรงประเภท","✓"))))</f>
        <v/>
      </c>
    </row>
    <row r="2040">
      <c r="B2040" s="113" t="n"/>
      <c r="C2040" s="114" t="n"/>
      <c r="D2040" s="115" t="n"/>
      <c r="E2040" s="116" t="n"/>
      <c r="F2040" s="115" t="n"/>
      <c r="G2040" s="117">
        <f>IF(COUNTA(B2040:E2040)=0,"",IF(COUNTA(B2040:E2040)&lt;4,"⚠ กรอกไม่ครบ",IF(NOT(ISNUMBER(B2040)),"⚠ วันที่ไม่ถูกต้อง",IF(COUNTIFS(Setup!$L$6:$L$60,D2040,Setup!$M$6:$M$60,C2040)=0,"⚠ หมวดไม่ตรงประเภท","✓"))))</f>
        <v/>
      </c>
    </row>
    <row r="2041">
      <c r="B2041" s="113" t="n"/>
      <c r="C2041" s="114" t="n"/>
      <c r="D2041" s="115" t="n"/>
      <c r="E2041" s="116" t="n"/>
      <c r="F2041" s="115" t="n"/>
      <c r="G2041" s="117">
        <f>IF(COUNTA(B2041:E2041)=0,"",IF(COUNTA(B2041:E2041)&lt;4,"⚠ กรอกไม่ครบ",IF(NOT(ISNUMBER(B2041)),"⚠ วันที่ไม่ถูกต้อง",IF(COUNTIFS(Setup!$L$6:$L$60,D2041,Setup!$M$6:$M$60,C2041)=0,"⚠ หมวดไม่ตรงประเภท","✓"))))</f>
        <v/>
      </c>
    </row>
    <row r="2042">
      <c r="B2042" s="113" t="n"/>
      <c r="C2042" s="114" t="n"/>
      <c r="D2042" s="115" t="n"/>
      <c r="E2042" s="116" t="n"/>
      <c r="F2042" s="115" t="n"/>
      <c r="G2042" s="117">
        <f>IF(COUNTA(B2042:E2042)=0,"",IF(COUNTA(B2042:E2042)&lt;4,"⚠ กรอกไม่ครบ",IF(NOT(ISNUMBER(B2042)),"⚠ วันที่ไม่ถูกต้อง",IF(COUNTIFS(Setup!$L$6:$L$60,D2042,Setup!$M$6:$M$60,C2042)=0,"⚠ หมวดไม่ตรงประเภท","✓"))))</f>
        <v/>
      </c>
    </row>
    <row r="2043">
      <c r="B2043" s="113" t="n"/>
      <c r="C2043" s="114" t="n"/>
      <c r="D2043" s="115" t="n"/>
      <c r="E2043" s="116" t="n"/>
      <c r="F2043" s="115" t="n"/>
      <c r="G2043" s="117">
        <f>IF(COUNTA(B2043:E2043)=0,"",IF(COUNTA(B2043:E2043)&lt;4,"⚠ กรอกไม่ครบ",IF(NOT(ISNUMBER(B2043)),"⚠ วันที่ไม่ถูกต้อง",IF(COUNTIFS(Setup!$L$6:$L$60,D2043,Setup!$M$6:$M$60,C2043)=0,"⚠ หมวดไม่ตรงประเภท","✓"))))</f>
        <v/>
      </c>
    </row>
    <row r="2044">
      <c r="B2044" s="113" t="n"/>
      <c r="C2044" s="114" t="n"/>
      <c r="D2044" s="115" t="n"/>
      <c r="E2044" s="116" t="n"/>
      <c r="F2044" s="115" t="n"/>
      <c r="G2044" s="117">
        <f>IF(COUNTA(B2044:E2044)=0,"",IF(COUNTA(B2044:E2044)&lt;4,"⚠ กรอกไม่ครบ",IF(NOT(ISNUMBER(B2044)),"⚠ วันที่ไม่ถูกต้อง",IF(COUNTIFS(Setup!$L$6:$L$60,D2044,Setup!$M$6:$M$60,C2044)=0,"⚠ หมวดไม่ตรงประเภท","✓"))))</f>
        <v/>
      </c>
    </row>
    <row r="2045">
      <c r="B2045" s="113" t="n"/>
      <c r="C2045" s="114" t="n"/>
      <c r="D2045" s="115" t="n"/>
      <c r="E2045" s="116" t="n"/>
      <c r="F2045" s="115" t="n"/>
      <c r="G2045" s="117">
        <f>IF(COUNTA(B2045:E2045)=0,"",IF(COUNTA(B2045:E2045)&lt;4,"⚠ กรอกไม่ครบ",IF(NOT(ISNUMBER(B2045)),"⚠ วันที่ไม่ถูกต้อง",IF(COUNTIFS(Setup!$L$6:$L$60,D2045,Setup!$M$6:$M$60,C2045)=0,"⚠ หมวดไม่ตรงประเภท","✓"))))</f>
        <v/>
      </c>
    </row>
    <row r="2046">
      <c r="B2046" s="113" t="n"/>
      <c r="C2046" s="114" t="n"/>
      <c r="D2046" s="115" t="n"/>
      <c r="E2046" s="116" t="n"/>
      <c r="F2046" s="115" t="n"/>
      <c r="G2046" s="117">
        <f>IF(COUNTA(B2046:E2046)=0,"",IF(COUNTA(B2046:E2046)&lt;4,"⚠ กรอกไม่ครบ",IF(NOT(ISNUMBER(B2046)),"⚠ วันที่ไม่ถูกต้อง",IF(COUNTIFS(Setup!$L$6:$L$60,D2046,Setup!$M$6:$M$60,C2046)=0,"⚠ หมวดไม่ตรงประเภท","✓"))))</f>
        <v/>
      </c>
    </row>
    <row r="2047">
      <c r="B2047" s="113" t="n"/>
      <c r="C2047" s="114" t="n"/>
      <c r="D2047" s="115" t="n"/>
      <c r="E2047" s="116" t="n"/>
      <c r="F2047" s="115" t="n"/>
      <c r="G2047" s="117">
        <f>IF(COUNTA(B2047:E2047)=0,"",IF(COUNTA(B2047:E2047)&lt;4,"⚠ กรอกไม่ครบ",IF(NOT(ISNUMBER(B2047)),"⚠ วันที่ไม่ถูกต้อง",IF(COUNTIFS(Setup!$L$6:$L$60,D2047,Setup!$M$6:$M$60,C2047)=0,"⚠ หมวดไม่ตรงประเภท","✓"))))</f>
        <v/>
      </c>
    </row>
    <row r="2048">
      <c r="B2048" s="113" t="n"/>
      <c r="C2048" s="114" t="n"/>
      <c r="D2048" s="115" t="n"/>
      <c r="E2048" s="116" t="n"/>
      <c r="F2048" s="115" t="n"/>
      <c r="G2048" s="117">
        <f>IF(COUNTA(B2048:E2048)=0,"",IF(COUNTA(B2048:E2048)&lt;4,"⚠ กรอกไม่ครบ",IF(NOT(ISNUMBER(B2048)),"⚠ วันที่ไม่ถูกต้อง",IF(COUNTIFS(Setup!$L$6:$L$60,D2048,Setup!$M$6:$M$60,C2048)=0,"⚠ หมวดไม่ตรงประเภท","✓"))))</f>
        <v/>
      </c>
    </row>
    <row r="2049">
      <c r="B2049" s="113" t="n"/>
      <c r="C2049" s="114" t="n"/>
      <c r="D2049" s="115" t="n"/>
      <c r="E2049" s="116" t="n"/>
      <c r="F2049" s="115" t="n"/>
      <c r="G2049" s="117">
        <f>IF(COUNTA(B2049:E2049)=0,"",IF(COUNTA(B2049:E2049)&lt;4,"⚠ กรอกไม่ครบ",IF(NOT(ISNUMBER(B2049)),"⚠ วันที่ไม่ถูกต้อง",IF(COUNTIFS(Setup!$L$6:$L$60,D2049,Setup!$M$6:$M$60,C2049)=0,"⚠ หมวดไม่ตรงประเภท","✓"))))</f>
        <v/>
      </c>
    </row>
    <row r="2050">
      <c r="B2050" s="113" t="n"/>
      <c r="C2050" s="114" t="n"/>
      <c r="D2050" s="115" t="n"/>
      <c r="E2050" s="116" t="n"/>
      <c r="F2050" s="115" t="n"/>
      <c r="G2050" s="117">
        <f>IF(COUNTA(B2050:E2050)=0,"",IF(COUNTA(B2050:E2050)&lt;4,"⚠ กรอกไม่ครบ",IF(NOT(ISNUMBER(B2050)),"⚠ วันที่ไม่ถูกต้อง",IF(COUNTIFS(Setup!$L$6:$L$60,D2050,Setup!$M$6:$M$60,C2050)=0,"⚠ หมวดไม่ตรงประเภท","✓"))))</f>
        <v/>
      </c>
    </row>
    <row r="2051">
      <c r="B2051" s="113" t="n"/>
      <c r="C2051" s="114" t="n"/>
      <c r="D2051" s="115" t="n"/>
      <c r="E2051" s="116" t="n"/>
      <c r="F2051" s="115" t="n"/>
      <c r="G2051" s="117">
        <f>IF(COUNTA(B2051:E2051)=0,"",IF(COUNTA(B2051:E2051)&lt;4,"⚠ กรอกไม่ครบ",IF(NOT(ISNUMBER(B2051)),"⚠ วันที่ไม่ถูกต้อง",IF(COUNTIFS(Setup!$L$6:$L$60,D2051,Setup!$M$6:$M$60,C2051)=0,"⚠ หมวดไม่ตรงประเภท","✓"))))</f>
        <v/>
      </c>
    </row>
    <row r="2052">
      <c r="B2052" s="113" t="n"/>
      <c r="C2052" s="114" t="n"/>
      <c r="D2052" s="115" t="n"/>
      <c r="E2052" s="116" t="n"/>
      <c r="F2052" s="115" t="n"/>
      <c r="G2052" s="117">
        <f>IF(COUNTA(B2052:E2052)=0,"",IF(COUNTA(B2052:E2052)&lt;4,"⚠ กรอกไม่ครบ",IF(NOT(ISNUMBER(B2052)),"⚠ วันที่ไม่ถูกต้อง",IF(COUNTIFS(Setup!$L$6:$L$60,D2052,Setup!$M$6:$M$60,C2052)=0,"⚠ หมวดไม่ตรงประเภท","✓"))))</f>
        <v/>
      </c>
    </row>
    <row r="2053">
      <c r="B2053" s="113" t="n"/>
      <c r="C2053" s="114" t="n"/>
      <c r="D2053" s="115" t="n"/>
      <c r="E2053" s="116" t="n"/>
      <c r="F2053" s="115" t="n"/>
      <c r="G2053" s="117">
        <f>IF(COUNTA(B2053:E2053)=0,"",IF(COUNTA(B2053:E2053)&lt;4,"⚠ กรอกไม่ครบ",IF(NOT(ISNUMBER(B2053)),"⚠ วันที่ไม่ถูกต้อง",IF(COUNTIFS(Setup!$L$6:$L$60,D2053,Setup!$M$6:$M$60,C2053)=0,"⚠ หมวดไม่ตรงประเภท","✓"))))</f>
        <v/>
      </c>
    </row>
    <row r="2054">
      <c r="B2054" s="113" t="n"/>
      <c r="C2054" s="114" t="n"/>
      <c r="D2054" s="115" t="n"/>
      <c r="E2054" s="116" t="n"/>
      <c r="F2054" s="115" t="n"/>
      <c r="G2054" s="117">
        <f>IF(COUNTA(B2054:E2054)=0,"",IF(COUNTA(B2054:E2054)&lt;4,"⚠ กรอกไม่ครบ",IF(NOT(ISNUMBER(B2054)),"⚠ วันที่ไม่ถูกต้อง",IF(COUNTIFS(Setup!$L$6:$L$60,D2054,Setup!$M$6:$M$60,C2054)=0,"⚠ หมวดไม่ตรงประเภท","✓"))))</f>
        <v/>
      </c>
    </row>
    <row r="2055">
      <c r="B2055" s="113" t="n"/>
      <c r="C2055" s="114" t="n"/>
      <c r="D2055" s="115" t="n"/>
      <c r="E2055" s="116" t="n"/>
      <c r="F2055" s="115" t="n"/>
      <c r="G2055" s="117">
        <f>IF(COUNTA(B2055:E2055)=0,"",IF(COUNTA(B2055:E2055)&lt;4,"⚠ กรอกไม่ครบ",IF(NOT(ISNUMBER(B2055)),"⚠ วันที่ไม่ถูกต้อง",IF(COUNTIFS(Setup!$L$6:$L$60,D2055,Setup!$M$6:$M$60,C2055)=0,"⚠ หมวดไม่ตรงประเภท","✓"))))</f>
        <v/>
      </c>
    </row>
    <row r="2056">
      <c r="B2056" s="113" t="n"/>
      <c r="C2056" s="114" t="n"/>
      <c r="D2056" s="115" t="n"/>
      <c r="E2056" s="116" t="n"/>
      <c r="F2056" s="115" t="n"/>
      <c r="G2056" s="117">
        <f>IF(COUNTA(B2056:E2056)=0,"",IF(COUNTA(B2056:E2056)&lt;4,"⚠ กรอกไม่ครบ",IF(NOT(ISNUMBER(B2056)),"⚠ วันที่ไม่ถูกต้อง",IF(COUNTIFS(Setup!$L$6:$L$60,D2056,Setup!$M$6:$M$60,C2056)=0,"⚠ หมวดไม่ตรงประเภท","✓"))))</f>
        <v/>
      </c>
    </row>
    <row r="2057">
      <c r="B2057" s="113" t="n"/>
      <c r="C2057" s="114" t="n"/>
      <c r="D2057" s="115" t="n"/>
      <c r="E2057" s="116" t="n"/>
      <c r="F2057" s="115" t="n"/>
      <c r="G2057" s="117">
        <f>IF(COUNTA(B2057:E2057)=0,"",IF(COUNTA(B2057:E2057)&lt;4,"⚠ กรอกไม่ครบ",IF(NOT(ISNUMBER(B2057)),"⚠ วันที่ไม่ถูกต้อง",IF(COUNTIFS(Setup!$L$6:$L$60,D2057,Setup!$M$6:$M$60,C2057)=0,"⚠ หมวดไม่ตรงประเภท","✓"))))</f>
        <v/>
      </c>
    </row>
    <row r="2058">
      <c r="B2058" s="113" t="n"/>
      <c r="C2058" s="114" t="n"/>
      <c r="D2058" s="115" t="n"/>
      <c r="E2058" s="116" t="n"/>
      <c r="F2058" s="115" t="n"/>
      <c r="G2058" s="117">
        <f>IF(COUNTA(B2058:E2058)=0,"",IF(COUNTA(B2058:E2058)&lt;4,"⚠ กรอกไม่ครบ",IF(NOT(ISNUMBER(B2058)),"⚠ วันที่ไม่ถูกต้อง",IF(COUNTIFS(Setup!$L$6:$L$60,D2058,Setup!$M$6:$M$60,C2058)=0,"⚠ หมวดไม่ตรงประเภท","✓"))))</f>
        <v/>
      </c>
    </row>
    <row r="2059">
      <c r="B2059" s="113" t="n"/>
      <c r="C2059" s="114" t="n"/>
      <c r="D2059" s="115" t="n"/>
      <c r="E2059" s="116" t="n"/>
      <c r="F2059" s="115" t="n"/>
      <c r="G2059" s="117">
        <f>IF(COUNTA(B2059:E2059)=0,"",IF(COUNTA(B2059:E2059)&lt;4,"⚠ กรอกไม่ครบ",IF(NOT(ISNUMBER(B2059)),"⚠ วันที่ไม่ถูกต้อง",IF(COUNTIFS(Setup!$L$6:$L$60,D2059,Setup!$M$6:$M$60,C2059)=0,"⚠ หมวดไม่ตรงประเภท","✓"))))</f>
        <v/>
      </c>
    </row>
    <row r="2060">
      <c r="B2060" s="113" t="n"/>
      <c r="C2060" s="114" t="n"/>
      <c r="D2060" s="115" t="n"/>
      <c r="E2060" s="116" t="n"/>
      <c r="F2060" s="115" t="n"/>
      <c r="G2060" s="117">
        <f>IF(COUNTA(B2060:E2060)=0,"",IF(COUNTA(B2060:E2060)&lt;4,"⚠ กรอกไม่ครบ",IF(NOT(ISNUMBER(B2060)),"⚠ วันที่ไม่ถูกต้อง",IF(COUNTIFS(Setup!$L$6:$L$60,D2060,Setup!$M$6:$M$60,C2060)=0,"⚠ หมวดไม่ตรงประเภท","✓"))))</f>
        <v/>
      </c>
    </row>
    <row r="2061">
      <c r="B2061" s="113" t="n"/>
      <c r="C2061" s="114" t="n"/>
      <c r="D2061" s="115" t="n"/>
      <c r="E2061" s="116" t="n"/>
      <c r="F2061" s="115" t="n"/>
      <c r="G2061" s="117">
        <f>IF(COUNTA(B2061:E2061)=0,"",IF(COUNTA(B2061:E2061)&lt;4,"⚠ กรอกไม่ครบ",IF(NOT(ISNUMBER(B2061)),"⚠ วันที่ไม่ถูกต้อง",IF(COUNTIFS(Setup!$L$6:$L$60,D2061,Setup!$M$6:$M$60,C2061)=0,"⚠ หมวดไม่ตรงประเภท","✓"))))</f>
        <v/>
      </c>
    </row>
    <row r="2062">
      <c r="B2062" s="113" t="n"/>
      <c r="C2062" s="114" t="n"/>
      <c r="D2062" s="115" t="n"/>
      <c r="E2062" s="116" t="n"/>
      <c r="F2062" s="115" t="n"/>
      <c r="G2062" s="117">
        <f>IF(COUNTA(B2062:E2062)=0,"",IF(COUNTA(B2062:E2062)&lt;4,"⚠ กรอกไม่ครบ",IF(NOT(ISNUMBER(B2062)),"⚠ วันที่ไม่ถูกต้อง",IF(COUNTIFS(Setup!$L$6:$L$60,D2062,Setup!$M$6:$M$60,C2062)=0,"⚠ หมวดไม่ตรงประเภท","✓"))))</f>
        <v/>
      </c>
    </row>
    <row r="2063">
      <c r="B2063" s="113" t="n"/>
      <c r="C2063" s="114" t="n"/>
      <c r="D2063" s="115" t="n"/>
      <c r="E2063" s="116" t="n"/>
      <c r="F2063" s="115" t="n"/>
      <c r="G2063" s="117">
        <f>IF(COUNTA(B2063:E2063)=0,"",IF(COUNTA(B2063:E2063)&lt;4,"⚠ กรอกไม่ครบ",IF(NOT(ISNUMBER(B2063)),"⚠ วันที่ไม่ถูกต้อง",IF(COUNTIFS(Setup!$L$6:$L$60,D2063,Setup!$M$6:$M$60,C2063)=0,"⚠ หมวดไม่ตรงประเภท","✓"))))</f>
        <v/>
      </c>
    </row>
    <row r="2064">
      <c r="B2064" s="113" t="n"/>
      <c r="C2064" s="114" t="n"/>
      <c r="D2064" s="115" t="n"/>
      <c r="E2064" s="116" t="n"/>
      <c r="F2064" s="115" t="n"/>
      <c r="G2064" s="117">
        <f>IF(COUNTA(B2064:E2064)=0,"",IF(COUNTA(B2064:E2064)&lt;4,"⚠ กรอกไม่ครบ",IF(NOT(ISNUMBER(B2064)),"⚠ วันที่ไม่ถูกต้อง",IF(COUNTIFS(Setup!$L$6:$L$60,D2064,Setup!$M$6:$M$60,C2064)=0,"⚠ หมวดไม่ตรงประเภท","✓"))))</f>
        <v/>
      </c>
    </row>
    <row r="2065">
      <c r="B2065" s="113" t="n"/>
      <c r="C2065" s="114" t="n"/>
      <c r="D2065" s="115" t="n"/>
      <c r="E2065" s="116" t="n"/>
      <c r="F2065" s="115" t="n"/>
      <c r="G2065" s="117">
        <f>IF(COUNTA(B2065:E2065)=0,"",IF(COUNTA(B2065:E2065)&lt;4,"⚠ กรอกไม่ครบ",IF(NOT(ISNUMBER(B2065)),"⚠ วันที่ไม่ถูกต้อง",IF(COUNTIFS(Setup!$L$6:$L$60,D2065,Setup!$M$6:$M$60,C2065)=0,"⚠ หมวดไม่ตรงประเภท","✓"))))</f>
        <v/>
      </c>
    </row>
    <row r="2066">
      <c r="B2066" s="113" t="n"/>
      <c r="C2066" s="114" t="n"/>
      <c r="D2066" s="115" t="n"/>
      <c r="E2066" s="116" t="n"/>
      <c r="F2066" s="115" t="n"/>
      <c r="G2066" s="117">
        <f>IF(COUNTA(B2066:E2066)=0,"",IF(COUNTA(B2066:E2066)&lt;4,"⚠ กรอกไม่ครบ",IF(NOT(ISNUMBER(B2066)),"⚠ วันที่ไม่ถูกต้อง",IF(COUNTIFS(Setup!$L$6:$L$60,D2066,Setup!$M$6:$M$60,C2066)=0,"⚠ หมวดไม่ตรงประเภท","✓"))))</f>
        <v/>
      </c>
    </row>
    <row r="2067">
      <c r="B2067" s="113" t="n"/>
      <c r="C2067" s="114" t="n"/>
      <c r="D2067" s="115" t="n"/>
      <c r="E2067" s="116" t="n"/>
      <c r="F2067" s="115" t="n"/>
      <c r="G2067" s="117">
        <f>IF(COUNTA(B2067:E2067)=0,"",IF(COUNTA(B2067:E2067)&lt;4,"⚠ กรอกไม่ครบ",IF(NOT(ISNUMBER(B2067)),"⚠ วันที่ไม่ถูกต้อง",IF(COUNTIFS(Setup!$L$6:$L$60,D2067,Setup!$M$6:$M$60,C2067)=0,"⚠ หมวดไม่ตรงประเภท","✓"))))</f>
        <v/>
      </c>
    </row>
    <row r="2068">
      <c r="B2068" s="113" t="n"/>
      <c r="C2068" s="114" t="n"/>
      <c r="D2068" s="115" t="n"/>
      <c r="E2068" s="116" t="n"/>
      <c r="F2068" s="115" t="n"/>
      <c r="G2068" s="117">
        <f>IF(COUNTA(B2068:E2068)=0,"",IF(COUNTA(B2068:E2068)&lt;4,"⚠ กรอกไม่ครบ",IF(NOT(ISNUMBER(B2068)),"⚠ วันที่ไม่ถูกต้อง",IF(COUNTIFS(Setup!$L$6:$L$60,D2068,Setup!$M$6:$M$60,C2068)=0,"⚠ หมวดไม่ตรงประเภท","✓"))))</f>
        <v/>
      </c>
    </row>
    <row r="2069">
      <c r="B2069" s="113" t="n"/>
      <c r="C2069" s="114" t="n"/>
      <c r="D2069" s="115" t="n"/>
      <c r="E2069" s="116" t="n"/>
      <c r="F2069" s="115" t="n"/>
      <c r="G2069" s="117">
        <f>IF(COUNTA(B2069:E2069)=0,"",IF(COUNTA(B2069:E2069)&lt;4,"⚠ กรอกไม่ครบ",IF(NOT(ISNUMBER(B2069)),"⚠ วันที่ไม่ถูกต้อง",IF(COUNTIFS(Setup!$L$6:$L$60,D2069,Setup!$M$6:$M$60,C2069)=0,"⚠ หมวดไม่ตรงประเภท","✓"))))</f>
        <v/>
      </c>
    </row>
    <row r="2070">
      <c r="B2070" s="113" t="n"/>
      <c r="C2070" s="114" t="n"/>
      <c r="D2070" s="115" t="n"/>
      <c r="E2070" s="116" t="n"/>
      <c r="F2070" s="115" t="n"/>
      <c r="G2070" s="117">
        <f>IF(COUNTA(B2070:E2070)=0,"",IF(COUNTA(B2070:E2070)&lt;4,"⚠ กรอกไม่ครบ",IF(NOT(ISNUMBER(B2070)),"⚠ วันที่ไม่ถูกต้อง",IF(COUNTIFS(Setup!$L$6:$L$60,D2070,Setup!$M$6:$M$60,C2070)=0,"⚠ หมวดไม่ตรงประเภท","✓"))))</f>
        <v/>
      </c>
    </row>
    <row r="2071">
      <c r="B2071" s="113" t="n"/>
      <c r="C2071" s="114" t="n"/>
      <c r="D2071" s="115" t="n"/>
      <c r="E2071" s="116" t="n"/>
      <c r="F2071" s="115" t="n"/>
      <c r="G2071" s="117">
        <f>IF(COUNTA(B2071:E2071)=0,"",IF(COUNTA(B2071:E2071)&lt;4,"⚠ กรอกไม่ครบ",IF(NOT(ISNUMBER(B2071)),"⚠ วันที่ไม่ถูกต้อง",IF(COUNTIFS(Setup!$L$6:$L$60,D2071,Setup!$M$6:$M$60,C2071)=0,"⚠ หมวดไม่ตรงประเภท","✓"))))</f>
        <v/>
      </c>
    </row>
    <row r="2072">
      <c r="B2072" s="113" t="n"/>
      <c r="C2072" s="114" t="n"/>
      <c r="D2072" s="115" t="n"/>
      <c r="E2072" s="116" t="n"/>
      <c r="F2072" s="115" t="n"/>
      <c r="G2072" s="117">
        <f>IF(COUNTA(B2072:E2072)=0,"",IF(COUNTA(B2072:E2072)&lt;4,"⚠ กรอกไม่ครบ",IF(NOT(ISNUMBER(B2072)),"⚠ วันที่ไม่ถูกต้อง",IF(COUNTIFS(Setup!$L$6:$L$60,D2072,Setup!$M$6:$M$60,C2072)=0,"⚠ หมวดไม่ตรงประเภท","✓"))))</f>
        <v/>
      </c>
    </row>
    <row r="2073">
      <c r="B2073" s="113" t="n"/>
      <c r="C2073" s="114" t="n"/>
      <c r="D2073" s="115" t="n"/>
      <c r="E2073" s="116" t="n"/>
      <c r="F2073" s="115" t="n"/>
      <c r="G2073" s="117">
        <f>IF(COUNTA(B2073:E2073)=0,"",IF(COUNTA(B2073:E2073)&lt;4,"⚠ กรอกไม่ครบ",IF(NOT(ISNUMBER(B2073)),"⚠ วันที่ไม่ถูกต้อง",IF(COUNTIFS(Setup!$L$6:$L$60,D2073,Setup!$M$6:$M$60,C2073)=0,"⚠ หมวดไม่ตรงประเภท","✓"))))</f>
        <v/>
      </c>
    </row>
    <row r="2074">
      <c r="B2074" s="113" t="n"/>
      <c r="C2074" s="114" t="n"/>
      <c r="D2074" s="115" t="n"/>
      <c r="E2074" s="116" t="n"/>
      <c r="F2074" s="115" t="n"/>
      <c r="G2074" s="117">
        <f>IF(COUNTA(B2074:E2074)=0,"",IF(COUNTA(B2074:E2074)&lt;4,"⚠ กรอกไม่ครบ",IF(NOT(ISNUMBER(B2074)),"⚠ วันที่ไม่ถูกต้อง",IF(COUNTIFS(Setup!$L$6:$L$60,D2074,Setup!$M$6:$M$60,C2074)=0,"⚠ หมวดไม่ตรงประเภท","✓"))))</f>
        <v/>
      </c>
    </row>
    <row r="2075">
      <c r="B2075" s="113" t="n"/>
      <c r="C2075" s="114" t="n"/>
      <c r="D2075" s="115" t="n"/>
      <c r="E2075" s="116" t="n"/>
      <c r="F2075" s="115" t="n"/>
      <c r="G2075" s="117">
        <f>IF(COUNTA(B2075:E2075)=0,"",IF(COUNTA(B2075:E2075)&lt;4,"⚠ กรอกไม่ครบ",IF(NOT(ISNUMBER(B2075)),"⚠ วันที่ไม่ถูกต้อง",IF(COUNTIFS(Setup!$L$6:$L$60,D2075,Setup!$M$6:$M$60,C2075)=0,"⚠ หมวดไม่ตรงประเภท","✓"))))</f>
        <v/>
      </c>
    </row>
    <row r="2076">
      <c r="B2076" s="113" t="n"/>
      <c r="C2076" s="114" t="n"/>
      <c r="D2076" s="115" t="n"/>
      <c r="E2076" s="116" t="n"/>
      <c r="F2076" s="115" t="n"/>
      <c r="G2076" s="117">
        <f>IF(COUNTA(B2076:E2076)=0,"",IF(COUNTA(B2076:E2076)&lt;4,"⚠ กรอกไม่ครบ",IF(NOT(ISNUMBER(B2076)),"⚠ วันที่ไม่ถูกต้อง",IF(COUNTIFS(Setup!$L$6:$L$60,D2076,Setup!$M$6:$M$60,C2076)=0,"⚠ หมวดไม่ตรงประเภท","✓"))))</f>
        <v/>
      </c>
    </row>
    <row r="2077">
      <c r="B2077" s="113" t="n"/>
      <c r="C2077" s="114" t="n"/>
      <c r="D2077" s="115" t="n"/>
      <c r="E2077" s="116" t="n"/>
      <c r="F2077" s="115" t="n"/>
      <c r="G2077" s="117">
        <f>IF(COUNTA(B2077:E2077)=0,"",IF(COUNTA(B2077:E2077)&lt;4,"⚠ กรอกไม่ครบ",IF(NOT(ISNUMBER(B2077)),"⚠ วันที่ไม่ถูกต้อง",IF(COUNTIFS(Setup!$L$6:$L$60,D2077,Setup!$M$6:$M$60,C2077)=0,"⚠ หมวดไม่ตรงประเภท","✓"))))</f>
        <v/>
      </c>
    </row>
    <row r="2078">
      <c r="B2078" s="113" t="n"/>
      <c r="C2078" s="114" t="n"/>
      <c r="D2078" s="115" t="n"/>
      <c r="E2078" s="116" t="n"/>
      <c r="F2078" s="115" t="n"/>
      <c r="G2078" s="117">
        <f>IF(COUNTA(B2078:E2078)=0,"",IF(COUNTA(B2078:E2078)&lt;4,"⚠ กรอกไม่ครบ",IF(NOT(ISNUMBER(B2078)),"⚠ วันที่ไม่ถูกต้อง",IF(COUNTIFS(Setup!$L$6:$L$60,D2078,Setup!$M$6:$M$60,C2078)=0,"⚠ หมวดไม่ตรงประเภท","✓"))))</f>
        <v/>
      </c>
    </row>
    <row r="2079">
      <c r="B2079" s="113" t="n"/>
      <c r="C2079" s="114" t="n"/>
      <c r="D2079" s="115" t="n"/>
      <c r="E2079" s="116" t="n"/>
      <c r="F2079" s="115" t="n"/>
      <c r="G2079" s="117">
        <f>IF(COUNTA(B2079:E2079)=0,"",IF(COUNTA(B2079:E2079)&lt;4,"⚠ กรอกไม่ครบ",IF(NOT(ISNUMBER(B2079)),"⚠ วันที่ไม่ถูกต้อง",IF(COUNTIFS(Setup!$L$6:$L$60,D2079,Setup!$M$6:$M$60,C2079)=0,"⚠ หมวดไม่ตรงประเภท","✓"))))</f>
        <v/>
      </c>
    </row>
    <row r="2080">
      <c r="B2080" s="113" t="n"/>
      <c r="C2080" s="114" t="n"/>
      <c r="D2080" s="115" t="n"/>
      <c r="E2080" s="116" t="n"/>
      <c r="F2080" s="115" t="n"/>
      <c r="G2080" s="117">
        <f>IF(COUNTA(B2080:E2080)=0,"",IF(COUNTA(B2080:E2080)&lt;4,"⚠ กรอกไม่ครบ",IF(NOT(ISNUMBER(B2080)),"⚠ วันที่ไม่ถูกต้อง",IF(COUNTIFS(Setup!$L$6:$L$60,D2080,Setup!$M$6:$M$60,C2080)=0,"⚠ หมวดไม่ตรงประเภท","✓"))))</f>
        <v/>
      </c>
    </row>
    <row r="2081">
      <c r="B2081" s="113" t="n"/>
      <c r="C2081" s="114" t="n"/>
      <c r="D2081" s="115" t="n"/>
      <c r="E2081" s="116" t="n"/>
      <c r="F2081" s="115" t="n"/>
      <c r="G2081" s="117">
        <f>IF(COUNTA(B2081:E2081)=0,"",IF(COUNTA(B2081:E2081)&lt;4,"⚠ กรอกไม่ครบ",IF(NOT(ISNUMBER(B2081)),"⚠ วันที่ไม่ถูกต้อง",IF(COUNTIFS(Setup!$L$6:$L$60,D2081,Setup!$M$6:$M$60,C2081)=0,"⚠ หมวดไม่ตรงประเภท","✓"))))</f>
        <v/>
      </c>
    </row>
    <row r="2082">
      <c r="B2082" s="113" t="n"/>
      <c r="C2082" s="114" t="n"/>
      <c r="D2082" s="115" t="n"/>
      <c r="E2082" s="116" t="n"/>
      <c r="F2082" s="115" t="n"/>
      <c r="G2082" s="117">
        <f>IF(COUNTA(B2082:E2082)=0,"",IF(COUNTA(B2082:E2082)&lt;4,"⚠ กรอกไม่ครบ",IF(NOT(ISNUMBER(B2082)),"⚠ วันที่ไม่ถูกต้อง",IF(COUNTIFS(Setup!$L$6:$L$60,D2082,Setup!$M$6:$M$60,C2082)=0,"⚠ หมวดไม่ตรงประเภท","✓"))))</f>
        <v/>
      </c>
    </row>
    <row r="2083">
      <c r="B2083" s="113" t="n"/>
      <c r="C2083" s="114" t="n"/>
      <c r="D2083" s="115" t="n"/>
      <c r="E2083" s="116" t="n"/>
      <c r="F2083" s="115" t="n"/>
      <c r="G2083" s="117">
        <f>IF(COUNTA(B2083:E2083)=0,"",IF(COUNTA(B2083:E2083)&lt;4,"⚠ กรอกไม่ครบ",IF(NOT(ISNUMBER(B2083)),"⚠ วันที่ไม่ถูกต้อง",IF(COUNTIFS(Setup!$L$6:$L$60,D2083,Setup!$M$6:$M$60,C2083)=0,"⚠ หมวดไม่ตรงประเภท","✓"))))</f>
        <v/>
      </c>
    </row>
    <row r="2084">
      <c r="B2084" s="113" t="n"/>
      <c r="C2084" s="114" t="n"/>
      <c r="D2084" s="115" t="n"/>
      <c r="E2084" s="116" t="n"/>
      <c r="F2084" s="115" t="n"/>
      <c r="G2084" s="117">
        <f>IF(COUNTA(B2084:E2084)=0,"",IF(COUNTA(B2084:E2084)&lt;4,"⚠ กรอกไม่ครบ",IF(NOT(ISNUMBER(B2084)),"⚠ วันที่ไม่ถูกต้อง",IF(COUNTIFS(Setup!$L$6:$L$60,D2084,Setup!$M$6:$M$60,C2084)=0,"⚠ หมวดไม่ตรงประเภท","✓"))))</f>
        <v/>
      </c>
    </row>
    <row r="2085">
      <c r="B2085" s="113" t="n"/>
      <c r="C2085" s="114" t="n"/>
      <c r="D2085" s="115" t="n"/>
      <c r="E2085" s="116" t="n"/>
      <c r="F2085" s="115" t="n"/>
      <c r="G2085" s="117">
        <f>IF(COUNTA(B2085:E2085)=0,"",IF(COUNTA(B2085:E2085)&lt;4,"⚠ กรอกไม่ครบ",IF(NOT(ISNUMBER(B2085)),"⚠ วันที่ไม่ถูกต้อง",IF(COUNTIFS(Setup!$L$6:$L$60,D2085,Setup!$M$6:$M$60,C2085)=0,"⚠ หมวดไม่ตรงประเภท","✓"))))</f>
        <v/>
      </c>
    </row>
    <row r="2086">
      <c r="B2086" s="113" t="n"/>
      <c r="C2086" s="114" t="n"/>
      <c r="D2086" s="115" t="n"/>
      <c r="E2086" s="116" t="n"/>
      <c r="F2086" s="115" t="n"/>
      <c r="G2086" s="117">
        <f>IF(COUNTA(B2086:E2086)=0,"",IF(COUNTA(B2086:E2086)&lt;4,"⚠ กรอกไม่ครบ",IF(NOT(ISNUMBER(B2086)),"⚠ วันที่ไม่ถูกต้อง",IF(COUNTIFS(Setup!$L$6:$L$60,D2086,Setup!$M$6:$M$60,C2086)=0,"⚠ หมวดไม่ตรงประเภท","✓"))))</f>
        <v/>
      </c>
    </row>
    <row r="2087">
      <c r="B2087" s="113" t="n"/>
      <c r="C2087" s="114" t="n"/>
      <c r="D2087" s="115" t="n"/>
      <c r="E2087" s="116" t="n"/>
      <c r="F2087" s="115" t="n"/>
      <c r="G2087" s="117">
        <f>IF(COUNTA(B2087:E2087)=0,"",IF(COUNTA(B2087:E2087)&lt;4,"⚠ กรอกไม่ครบ",IF(NOT(ISNUMBER(B2087)),"⚠ วันที่ไม่ถูกต้อง",IF(COUNTIFS(Setup!$L$6:$L$60,D2087,Setup!$M$6:$M$60,C2087)=0,"⚠ หมวดไม่ตรงประเภท","✓"))))</f>
        <v/>
      </c>
    </row>
    <row r="2088">
      <c r="B2088" s="113" t="n"/>
      <c r="C2088" s="114" t="n"/>
      <c r="D2088" s="115" t="n"/>
      <c r="E2088" s="116" t="n"/>
      <c r="F2088" s="115" t="n"/>
      <c r="G2088" s="117">
        <f>IF(COUNTA(B2088:E2088)=0,"",IF(COUNTA(B2088:E2088)&lt;4,"⚠ กรอกไม่ครบ",IF(NOT(ISNUMBER(B2088)),"⚠ วันที่ไม่ถูกต้อง",IF(COUNTIFS(Setup!$L$6:$L$60,D2088,Setup!$M$6:$M$60,C2088)=0,"⚠ หมวดไม่ตรงประเภท","✓"))))</f>
        <v/>
      </c>
    </row>
    <row r="2089">
      <c r="B2089" s="113" t="n"/>
      <c r="C2089" s="114" t="n"/>
      <c r="D2089" s="115" t="n"/>
      <c r="E2089" s="116" t="n"/>
      <c r="F2089" s="115" t="n"/>
      <c r="G2089" s="117">
        <f>IF(COUNTA(B2089:E2089)=0,"",IF(COUNTA(B2089:E2089)&lt;4,"⚠ กรอกไม่ครบ",IF(NOT(ISNUMBER(B2089)),"⚠ วันที่ไม่ถูกต้อง",IF(COUNTIFS(Setup!$L$6:$L$60,D2089,Setup!$M$6:$M$60,C2089)=0,"⚠ หมวดไม่ตรงประเภท","✓"))))</f>
        <v/>
      </c>
    </row>
    <row r="2090">
      <c r="B2090" s="113" t="n"/>
      <c r="C2090" s="114" t="n"/>
      <c r="D2090" s="115" t="n"/>
      <c r="E2090" s="116" t="n"/>
      <c r="F2090" s="115" t="n"/>
      <c r="G2090" s="117">
        <f>IF(COUNTA(B2090:E2090)=0,"",IF(COUNTA(B2090:E2090)&lt;4,"⚠ กรอกไม่ครบ",IF(NOT(ISNUMBER(B2090)),"⚠ วันที่ไม่ถูกต้อง",IF(COUNTIFS(Setup!$L$6:$L$60,D2090,Setup!$M$6:$M$60,C2090)=0,"⚠ หมวดไม่ตรงประเภท","✓"))))</f>
        <v/>
      </c>
    </row>
    <row r="2091">
      <c r="B2091" s="113" t="n"/>
      <c r="C2091" s="114" t="n"/>
      <c r="D2091" s="115" t="n"/>
      <c r="E2091" s="116" t="n"/>
      <c r="F2091" s="115" t="n"/>
      <c r="G2091" s="117">
        <f>IF(COUNTA(B2091:E2091)=0,"",IF(COUNTA(B2091:E2091)&lt;4,"⚠ กรอกไม่ครบ",IF(NOT(ISNUMBER(B2091)),"⚠ วันที่ไม่ถูกต้อง",IF(COUNTIFS(Setup!$L$6:$L$60,D2091,Setup!$M$6:$M$60,C2091)=0,"⚠ หมวดไม่ตรงประเภท","✓"))))</f>
        <v/>
      </c>
    </row>
    <row r="2092">
      <c r="B2092" s="113" t="n"/>
      <c r="C2092" s="114" t="n"/>
      <c r="D2092" s="115" t="n"/>
      <c r="E2092" s="116" t="n"/>
      <c r="F2092" s="115" t="n"/>
      <c r="G2092" s="117">
        <f>IF(COUNTA(B2092:E2092)=0,"",IF(COUNTA(B2092:E2092)&lt;4,"⚠ กรอกไม่ครบ",IF(NOT(ISNUMBER(B2092)),"⚠ วันที่ไม่ถูกต้อง",IF(COUNTIFS(Setup!$L$6:$L$60,D2092,Setup!$M$6:$M$60,C2092)=0,"⚠ หมวดไม่ตรงประเภท","✓"))))</f>
        <v/>
      </c>
    </row>
    <row r="2093">
      <c r="B2093" s="113" t="n"/>
      <c r="C2093" s="114" t="n"/>
      <c r="D2093" s="115" t="n"/>
      <c r="E2093" s="116" t="n"/>
      <c r="F2093" s="115" t="n"/>
      <c r="G2093" s="117">
        <f>IF(COUNTA(B2093:E2093)=0,"",IF(COUNTA(B2093:E2093)&lt;4,"⚠ กรอกไม่ครบ",IF(NOT(ISNUMBER(B2093)),"⚠ วันที่ไม่ถูกต้อง",IF(COUNTIFS(Setup!$L$6:$L$60,D2093,Setup!$M$6:$M$60,C2093)=0,"⚠ หมวดไม่ตรงประเภท","✓"))))</f>
        <v/>
      </c>
    </row>
    <row r="2094">
      <c r="B2094" s="113" t="n"/>
      <c r="C2094" s="114" t="n"/>
      <c r="D2094" s="115" t="n"/>
      <c r="E2094" s="116" t="n"/>
      <c r="F2094" s="115" t="n"/>
      <c r="G2094" s="117">
        <f>IF(COUNTA(B2094:E2094)=0,"",IF(COUNTA(B2094:E2094)&lt;4,"⚠ กรอกไม่ครบ",IF(NOT(ISNUMBER(B2094)),"⚠ วันที่ไม่ถูกต้อง",IF(COUNTIFS(Setup!$L$6:$L$60,D2094,Setup!$M$6:$M$60,C2094)=0,"⚠ หมวดไม่ตรงประเภท","✓"))))</f>
        <v/>
      </c>
    </row>
    <row r="2095">
      <c r="B2095" s="113" t="n"/>
      <c r="C2095" s="114" t="n"/>
      <c r="D2095" s="115" t="n"/>
      <c r="E2095" s="116" t="n"/>
      <c r="F2095" s="115" t="n"/>
      <c r="G2095" s="117">
        <f>IF(COUNTA(B2095:E2095)=0,"",IF(COUNTA(B2095:E2095)&lt;4,"⚠ กรอกไม่ครบ",IF(NOT(ISNUMBER(B2095)),"⚠ วันที่ไม่ถูกต้อง",IF(COUNTIFS(Setup!$L$6:$L$60,D2095,Setup!$M$6:$M$60,C2095)=0,"⚠ หมวดไม่ตรงประเภท","✓"))))</f>
        <v/>
      </c>
    </row>
    <row r="2096">
      <c r="B2096" s="113" t="n"/>
      <c r="C2096" s="114" t="n"/>
      <c r="D2096" s="115" t="n"/>
      <c r="E2096" s="116" t="n"/>
      <c r="F2096" s="115" t="n"/>
      <c r="G2096" s="117">
        <f>IF(COUNTA(B2096:E2096)=0,"",IF(COUNTA(B2096:E2096)&lt;4,"⚠ กรอกไม่ครบ",IF(NOT(ISNUMBER(B2096)),"⚠ วันที่ไม่ถูกต้อง",IF(COUNTIFS(Setup!$L$6:$L$60,D2096,Setup!$M$6:$M$60,C2096)=0,"⚠ หมวดไม่ตรงประเภท","✓"))))</f>
        <v/>
      </c>
    </row>
    <row r="2097">
      <c r="B2097" s="113" t="n"/>
      <c r="C2097" s="114" t="n"/>
      <c r="D2097" s="115" t="n"/>
      <c r="E2097" s="116" t="n"/>
      <c r="F2097" s="115" t="n"/>
      <c r="G2097" s="117">
        <f>IF(COUNTA(B2097:E2097)=0,"",IF(COUNTA(B2097:E2097)&lt;4,"⚠ กรอกไม่ครบ",IF(NOT(ISNUMBER(B2097)),"⚠ วันที่ไม่ถูกต้อง",IF(COUNTIFS(Setup!$L$6:$L$60,D2097,Setup!$M$6:$M$60,C2097)=0,"⚠ หมวดไม่ตรงประเภท","✓"))))</f>
        <v/>
      </c>
    </row>
    <row r="2098">
      <c r="B2098" s="113" t="n"/>
      <c r="C2098" s="114" t="n"/>
      <c r="D2098" s="115" t="n"/>
      <c r="E2098" s="116" t="n"/>
      <c r="F2098" s="115" t="n"/>
      <c r="G2098" s="117">
        <f>IF(COUNTA(B2098:E2098)=0,"",IF(COUNTA(B2098:E2098)&lt;4,"⚠ กรอกไม่ครบ",IF(NOT(ISNUMBER(B2098)),"⚠ วันที่ไม่ถูกต้อง",IF(COUNTIFS(Setup!$L$6:$L$60,D2098,Setup!$M$6:$M$60,C2098)=0,"⚠ หมวดไม่ตรงประเภท","✓"))))</f>
        <v/>
      </c>
    </row>
    <row r="2099">
      <c r="B2099" s="113" t="n"/>
      <c r="C2099" s="114" t="n"/>
      <c r="D2099" s="115" t="n"/>
      <c r="E2099" s="116" t="n"/>
      <c r="F2099" s="115" t="n"/>
      <c r="G2099" s="117">
        <f>IF(COUNTA(B2099:E2099)=0,"",IF(COUNTA(B2099:E2099)&lt;4,"⚠ กรอกไม่ครบ",IF(NOT(ISNUMBER(B2099)),"⚠ วันที่ไม่ถูกต้อง",IF(COUNTIFS(Setup!$L$6:$L$60,D2099,Setup!$M$6:$M$60,C2099)=0,"⚠ หมวดไม่ตรงประเภท","✓"))))</f>
        <v/>
      </c>
    </row>
    <row r="2100">
      <c r="B2100" s="113" t="n"/>
      <c r="C2100" s="114" t="n"/>
      <c r="D2100" s="115" t="n"/>
      <c r="E2100" s="116" t="n"/>
      <c r="F2100" s="115" t="n"/>
      <c r="G2100" s="117">
        <f>IF(COUNTA(B2100:E2100)=0,"",IF(COUNTA(B2100:E2100)&lt;4,"⚠ กรอกไม่ครบ",IF(NOT(ISNUMBER(B2100)),"⚠ วันที่ไม่ถูกต้อง",IF(COUNTIFS(Setup!$L$6:$L$60,D2100,Setup!$M$6:$M$60,C2100)=0,"⚠ หมวดไม่ตรงประเภท","✓"))))</f>
        <v/>
      </c>
    </row>
    <row r="2101">
      <c r="B2101" s="113" t="n"/>
      <c r="C2101" s="114" t="n"/>
      <c r="D2101" s="115" t="n"/>
      <c r="E2101" s="116" t="n"/>
      <c r="F2101" s="115" t="n"/>
      <c r="G2101" s="117">
        <f>IF(COUNTA(B2101:E2101)=0,"",IF(COUNTA(B2101:E2101)&lt;4,"⚠ กรอกไม่ครบ",IF(NOT(ISNUMBER(B2101)),"⚠ วันที่ไม่ถูกต้อง",IF(COUNTIFS(Setup!$L$6:$L$60,D2101,Setup!$M$6:$M$60,C2101)=0,"⚠ หมวดไม่ตรงประเภท","✓"))))</f>
        <v/>
      </c>
    </row>
    <row r="2102">
      <c r="B2102" s="113" t="n"/>
      <c r="C2102" s="114" t="n"/>
      <c r="D2102" s="115" t="n"/>
      <c r="E2102" s="116" t="n"/>
      <c r="F2102" s="115" t="n"/>
      <c r="G2102" s="117">
        <f>IF(COUNTA(B2102:E2102)=0,"",IF(COUNTA(B2102:E2102)&lt;4,"⚠ กรอกไม่ครบ",IF(NOT(ISNUMBER(B2102)),"⚠ วันที่ไม่ถูกต้อง",IF(COUNTIFS(Setup!$L$6:$L$60,D2102,Setup!$M$6:$M$60,C2102)=0,"⚠ หมวดไม่ตรงประเภท","✓"))))</f>
        <v/>
      </c>
    </row>
    <row r="2103">
      <c r="B2103" s="113" t="n"/>
      <c r="C2103" s="114" t="n"/>
      <c r="D2103" s="115" t="n"/>
      <c r="E2103" s="116" t="n"/>
      <c r="F2103" s="115" t="n"/>
      <c r="G2103" s="117">
        <f>IF(COUNTA(B2103:E2103)=0,"",IF(COUNTA(B2103:E2103)&lt;4,"⚠ กรอกไม่ครบ",IF(NOT(ISNUMBER(B2103)),"⚠ วันที่ไม่ถูกต้อง",IF(COUNTIFS(Setup!$L$6:$L$60,D2103,Setup!$M$6:$M$60,C2103)=0,"⚠ หมวดไม่ตรงประเภท","✓"))))</f>
        <v/>
      </c>
    </row>
    <row r="2104">
      <c r="B2104" s="113" t="n"/>
      <c r="C2104" s="114" t="n"/>
      <c r="D2104" s="115" t="n"/>
      <c r="E2104" s="116" t="n"/>
      <c r="F2104" s="115" t="n"/>
      <c r="G2104" s="117">
        <f>IF(COUNTA(B2104:E2104)=0,"",IF(COUNTA(B2104:E2104)&lt;4,"⚠ กรอกไม่ครบ",IF(NOT(ISNUMBER(B2104)),"⚠ วันที่ไม่ถูกต้อง",IF(COUNTIFS(Setup!$L$6:$L$60,D2104,Setup!$M$6:$M$60,C2104)=0,"⚠ หมวดไม่ตรงประเภท","✓"))))</f>
        <v/>
      </c>
    </row>
    <row r="2105">
      <c r="B2105" s="113" t="n"/>
      <c r="C2105" s="114" t="n"/>
      <c r="D2105" s="115" t="n"/>
      <c r="E2105" s="116" t="n"/>
      <c r="F2105" s="115" t="n"/>
      <c r="G2105" s="117">
        <f>IF(COUNTA(B2105:E2105)=0,"",IF(COUNTA(B2105:E2105)&lt;4,"⚠ กรอกไม่ครบ",IF(NOT(ISNUMBER(B2105)),"⚠ วันที่ไม่ถูกต้อง",IF(COUNTIFS(Setup!$L$6:$L$60,D2105,Setup!$M$6:$M$60,C2105)=0,"⚠ หมวดไม่ตรงประเภท","✓"))))</f>
        <v/>
      </c>
    </row>
    <row r="2106">
      <c r="B2106" s="113" t="n"/>
      <c r="C2106" s="114" t="n"/>
      <c r="D2106" s="115" t="n"/>
      <c r="E2106" s="116" t="n"/>
      <c r="F2106" s="115" t="n"/>
      <c r="G2106" s="117">
        <f>IF(COUNTA(B2106:E2106)=0,"",IF(COUNTA(B2106:E2106)&lt;4,"⚠ กรอกไม่ครบ",IF(NOT(ISNUMBER(B2106)),"⚠ วันที่ไม่ถูกต้อง",IF(COUNTIFS(Setup!$L$6:$L$60,D2106,Setup!$M$6:$M$60,C2106)=0,"⚠ หมวดไม่ตรงประเภท","✓"))))</f>
        <v/>
      </c>
    </row>
    <row r="2107">
      <c r="B2107" s="113" t="n"/>
      <c r="C2107" s="114" t="n"/>
      <c r="D2107" s="115" t="n"/>
      <c r="E2107" s="116" t="n"/>
      <c r="F2107" s="115" t="n"/>
      <c r="G2107" s="117">
        <f>IF(COUNTA(B2107:E2107)=0,"",IF(COUNTA(B2107:E2107)&lt;4,"⚠ กรอกไม่ครบ",IF(NOT(ISNUMBER(B2107)),"⚠ วันที่ไม่ถูกต้อง",IF(COUNTIFS(Setup!$L$6:$L$60,D2107,Setup!$M$6:$M$60,C2107)=0,"⚠ หมวดไม่ตรงประเภท","✓"))))</f>
        <v/>
      </c>
    </row>
    <row r="2108">
      <c r="B2108" s="113" t="n"/>
      <c r="C2108" s="114" t="n"/>
      <c r="D2108" s="115" t="n"/>
      <c r="E2108" s="116" t="n"/>
      <c r="F2108" s="115" t="n"/>
      <c r="G2108" s="117">
        <f>IF(COUNTA(B2108:E2108)=0,"",IF(COUNTA(B2108:E2108)&lt;4,"⚠ กรอกไม่ครบ",IF(NOT(ISNUMBER(B2108)),"⚠ วันที่ไม่ถูกต้อง",IF(COUNTIFS(Setup!$L$6:$L$60,D2108,Setup!$M$6:$M$60,C2108)=0,"⚠ หมวดไม่ตรงประเภท","✓"))))</f>
        <v/>
      </c>
    </row>
    <row r="2109">
      <c r="B2109" s="113" t="n"/>
      <c r="C2109" s="114" t="n"/>
      <c r="D2109" s="115" t="n"/>
      <c r="E2109" s="116" t="n"/>
      <c r="F2109" s="115" t="n"/>
      <c r="G2109" s="117">
        <f>IF(COUNTA(B2109:E2109)=0,"",IF(COUNTA(B2109:E2109)&lt;4,"⚠ กรอกไม่ครบ",IF(NOT(ISNUMBER(B2109)),"⚠ วันที่ไม่ถูกต้อง",IF(COUNTIFS(Setup!$L$6:$L$60,D2109,Setup!$M$6:$M$60,C2109)=0,"⚠ หมวดไม่ตรงประเภท","✓"))))</f>
        <v/>
      </c>
    </row>
    <row r="2110">
      <c r="B2110" s="113" t="n"/>
      <c r="C2110" s="114" t="n"/>
      <c r="D2110" s="115" t="n"/>
      <c r="E2110" s="116" t="n"/>
      <c r="F2110" s="115" t="n"/>
      <c r="G2110" s="117">
        <f>IF(COUNTA(B2110:E2110)=0,"",IF(COUNTA(B2110:E2110)&lt;4,"⚠ กรอกไม่ครบ",IF(NOT(ISNUMBER(B2110)),"⚠ วันที่ไม่ถูกต้อง",IF(COUNTIFS(Setup!$L$6:$L$60,D2110,Setup!$M$6:$M$60,C2110)=0,"⚠ หมวดไม่ตรงประเภท","✓"))))</f>
        <v/>
      </c>
    </row>
    <row r="2111">
      <c r="B2111" s="113" t="n"/>
      <c r="C2111" s="114" t="n"/>
      <c r="D2111" s="115" t="n"/>
      <c r="E2111" s="116" t="n"/>
      <c r="F2111" s="115" t="n"/>
      <c r="G2111" s="117">
        <f>IF(COUNTA(B2111:E2111)=0,"",IF(COUNTA(B2111:E2111)&lt;4,"⚠ กรอกไม่ครบ",IF(NOT(ISNUMBER(B2111)),"⚠ วันที่ไม่ถูกต้อง",IF(COUNTIFS(Setup!$L$6:$L$60,D2111,Setup!$M$6:$M$60,C2111)=0,"⚠ หมวดไม่ตรงประเภท","✓"))))</f>
        <v/>
      </c>
    </row>
    <row r="2112">
      <c r="B2112" s="113" t="n"/>
      <c r="C2112" s="114" t="n"/>
      <c r="D2112" s="115" t="n"/>
      <c r="E2112" s="116" t="n"/>
      <c r="F2112" s="115" t="n"/>
      <c r="G2112" s="117">
        <f>IF(COUNTA(B2112:E2112)=0,"",IF(COUNTA(B2112:E2112)&lt;4,"⚠ กรอกไม่ครบ",IF(NOT(ISNUMBER(B2112)),"⚠ วันที่ไม่ถูกต้อง",IF(COUNTIFS(Setup!$L$6:$L$60,D2112,Setup!$M$6:$M$60,C2112)=0,"⚠ หมวดไม่ตรงประเภท","✓"))))</f>
        <v/>
      </c>
    </row>
    <row r="2113">
      <c r="B2113" s="113" t="n"/>
      <c r="C2113" s="114" t="n"/>
      <c r="D2113" s="115" t="n"/>
      <c r="E2113" s="116" t="n"/>
      <c r="F2113" s="115" t="n"/>
      <c r="G2113" s="117">
        <f>IF(COUNTA(B2113:E2113)=0,"",IF(COUNTA(B2113:E2113)&lt;4,"⚠ กรอกไม่ครบ",IF(NOT(ISNUMBER(B2113)),"⚠ วันที่ไม่ถูกต้อง",IF(COUNTIFS(Setup!$L$6:$L$60,D2113,Setup!$M$6:$M$60,C2113)=0,"⚠ หมวดไม่ตรงประเภท","✓"))))</f>
        <v/>
      </c>
    </row>
    <row r="2114">
      <c r="B2114" s="113" t="n"/>
      <c r="C2114" s="114" t="n"/>
      <c r="D2114" s="115" t="n"/>
      <c r="E2114" s="116" t="n"/>
      <c r="F2114" s="115" t="n"/>
      <c r="G2114" s="117">
        <f>IF(COUNTA(B2114:E2114)=0,"",IF(COUNTA(B2114:E2114)&lt;4,"⚠ กรอกไม่ครบ",IF(NOT(ISNUMBER(B2114)),"⚠ วันที่ไม่ถูกต้อง",IF(COUNTIFS(Setup!$L$6:$L$60,D2114,Setup!$M$6:$M$60,C2114)=0,"⚠ หมวดไม่ตรงประเภท","✓"))))</f>
        <v/>
      </c>
    </row>
    <row r="2115">
      <c r="B2115" s="113" t="n"/>
      <c r="C2115" s="114" t="n"/>
      <c r="D2115" s="115" t="n"/>
      <c r="E2115" s="116" t="n"/>
      <c r="F2115" s="115" t="n"/>
      <c r="G2115" s="117">
        <f>IF(COUNTA(B2115:E2115)=0,"",IF(COUNTA(B2115:E2115)&lt;4,"⚠ กรอกไม่ครบ",IF(NOT(ISNUMBER(B2115)),"⚠ วันที่ไม่ถูกต้อง",IF(COUNTIFS(Setup!$L$6:$L$60,D2115,Setup!$M$6:$M$60,C2115)=0,"⚠ หมวดไม่ตรงประเภท","✓"))))</f>
        <v/>
      </c>
    </row>
    <row r="2116">
      <c r="B2116" s="113" t="n"/>
      <c r="C2116" s="114" t="n"/>
      <c r="D2116" s="115" t="n"/>
      <c r="E2116" s="116" t="n"/>
      <c r="F2116" s="115" t="n"/>
      <c r="G2116" s="117">
        <f>IF(COUNTA(B2116:E2116)=0,"",IF(COUNTA(B2116:E2116)&lt;4,"⚠ กรอกไม่ครบ",IF(NOT(ISNUMBER(B2116)),"⚠ วันที่ไม่ถูกต้อง",IF(COUNTIFS(Setup!$L$6:$L$60,D2116,Setup!$M$6:$M$60,C2116)=0,"⚠ หมวดไม่ตรงประเภท","✓"))))</f>
        <v/>
      </c>
    </row>
    <row r="2117">
      <c r="B2117" s="113" t="n"/>
      <c r="C2117" s="114" t="n"/>
      <c r="D2117" s="115" t="n"/>
      <c r="E2117" s="116" t="n"/>
      <c r="F2117" s="115" t="n"/>
      <c r="G2117" s="117">
        <f>IF(COUNTA(B2117:E2117)=0,"",IF(COUNTA(B2117:E2117)&lt;4,"⚠ กรอกไม่ครบ",IF(NOT(ISNUMBER(B2117)),"⚠ วันที่ไม่ถูกต้อง",IF(COUNTIFS(Setup!$L$6:$L$60,D2117,Setup!$M$6:$M$60,C2117)=0,"⚠ หมวดไม่ตรงประเภท","✓"))))</f>
        <v/>
      </c>
    </row>
    <row r="2118">
      <c r="B2118" s="113" t="n"/>
      <c r="C2118" s="114" t="n"/>
      <c r="D2118" s="115" t="n"/>
      <c r="E2118" s="116" t="n"/>
      <c r="F2118" s="115" t="n"/>
      <c r="G2118" s="117">
        <f>IF(COUNTA(B2118:E2118)=0,"",IF(COUNTA(B2118:E2118)&lt;4,"⚠ กรอกไม่ครบ",IF(NOT(ISNUMBER(B2118)),"⚠ วันที่ไม่ถูกต้อง",IF(COUNTIFS(Setup!$L$6:$L$60,D2118,Setup!$M$6:$M$60,C2118)=0,"⚠ หมวดไม่ตรงประเภท","✓"))))</f>
        <v/>
      </c>
    </row>
    <row r="2119">
      <c r="B2119" s="113" t="n"/>
      <c r="C2119" s="114" t="n"/>
      <c r="D2119" s="115" t="n"/>
      <c r="E2119" s="116" t="n"/>
      <c r="F2119" s="115" t="n"/>
      <c r="G2119" s="117">
        <f>IF(COUNTA(B2119:E2119)=0,"",IF(COUNTA(B2119:E2119)&lt;4,"⚠ กรอกไม่ครบ",IF(NOT(ISNUMBER(B2119)),"⚠ วันที่ไม่ถูกต้อง",IF(COUNTIFS(Setup!$L$6:$L$60,D2119,Setup!$M$6:$M$60,C2119)=0,"⚠ หมวดไม่ตรงประเภท","✓"))))</f>
        <v/>
      </c>
    </row>
    <row r="2120">
      <c r="B2120" s="113" t="n"/>
      <c r="C2120" s="114" t="n"/>
      <c r="D2120" s="115" t="n"/>
      <c r="E2120" s="116" t="n"/>
      <c r="F2120" s="115" t="n"/>
      <c r="G2120" s="117">
        <f>IF(COUNTA(B2120:E2120)=0,"",IF(COUNTA(B2120:E2120)&lt;4,"⚠ กรอกไม่ครบ",IF(NOT(ISNUMBER(B2120)),"⚠ วันที่ไม่ถูกต้อง",IF(COUNTIFS(Setup!$L$6:$L$60,D2120,Setup!$M$6:$M$60,C2120)=0,"⚠ หมวดไม่ตรงประเภท","✓"))))</f>
        <v/>
      </c>
    </row>
    <row r="2121">
      <c r="B2121" s="113" t="n"/>
      <c r="C2121" s="114" t="n"/>
      <c r="D2121" s="115" t="n"/>
      <c r="E2121" s="116" t="n"/>
      <c r="F2121" s="115" t="n"/>
      <c r="G2121" s="117">
        <f>IF(COUNTA(B2121:E2121)=0,"",IF(COUNTA(B2121:E2121)&lt;4,"⚠ กรอกไม่ครบ",IF(NOT(ISNUMBER(B2121)),"⚠ วันที่ไม่ถูกต้อง",IF(COUNTIFS(Setup!$L$6:$L$60,D2121,Setup!$M$6:$M$60,C2121)=0,"⚠ หมวดไม่ตรงประเภท","✓"))))</f>
        <v/>
      </c>
    </row>
    <row r="2122">
      <c r="B2122" s="113" t="n"/>
      <c r="C2122" s="114" t="n"/>
      <c r="D2122" s="115" t="n"/>
      <c r="E2122" s="116" t="n"/>
      <c r="F2122" s="115" t="n"/>
      <c r="G2122" s="117">
        <f>IF(COUNTA(B2122:E2122)=0,"",IF(COUNTA(B2122:E2122)&lt;4,"⚠ กรอกไม่ครบ",IF(NOT(ISNUMBER(B2122)),"⚠ วันที่ไม่ถูกต้อง",IF(COUNTIFS(Setup!$L$6:$L$60,D2122,Setup!$M$6:$M$60,C2122)=0,"⚠ หมวดไม่ตรงประเภท","✓"))))</f>
        <v/>
      </c>
    </row>
    <row r="2123">
      <c r="B2123" s="113" t="n"/>
      <c r="C2123" s="114" t="n"/>
      <c r="D2123" s="115" t="n"/>
      <c r="E2123" s="116" t="n"/>
      <c r="F2123" s="115" t="n"/>
      <c r="G2123" s="117">
        <f>IF(COUNTA(B2123:E2123)=0,"",IF(COUNTA(B2123:E2123)&lt;4,"⚠ กรอกไม่ครบ",IF(NOT(ISNUMBER(B2123)),"⚠ วันที่ไม่ถูกต้อง",IF(COUNTIFS(Setup!$L$6:$L$60,D2123,Setup!$M$6:$M$60,C2123)=0,"⚠ หมวดไม่ตรงประเภท","✓"))))</f>
        <v/>
      </c>
    </row>
    <row r="2124">
      <c r="B2124" s="113" t="n"/>
      <c r="C2124" s="114" t="n"/>
      <c r="D2124" s="115" t="n"/>
      <c r="E2124" s="116" t="n"/>
      <c r="F2124" s="115" t="n"/>
      <c r="G2124" s="117">
        <f>IF(COUNTA(B2124:E2124)=0,"",IF(COUNTA(B2124:E2124)&lt;4,"⚠ กรอกไม่ครบ",IF(NOT(ISNUMBER(B2124)),"⚠ วันที่ไม่ถูกต้อง",IF(COUNTIFS(Setup!$L$6:$L$60,D2124,Setup!$M$6:$M$60,C2124)=0,"⚠ หมวดไม่ตรงประเภท","✓"))))</f>
        <v/>
      </c>
    </row>
    <row r="2125">
      <c r="B2125" s="113" t="n"/>
      <c r="C2125" s="114" t="n"/>
      <c r="D2125" s="115" t="n"/>
      <c r="E2125" s="116" t="n"/>
      <c r="F2125" s="115" t="n"/>
      <c r="G2125" s="117">
        <f>IF(COUNTA(B2125:E2125)=0,"",IF(COUNTA(B2125:E2125)&lt;4,"⚠ กรอกไม่ครบ",IF(NOT(ISNUMBER(B2125)),"⚠ วันที่ไม่ถูกต้อง",IF(COUNTIFS(Setup!$L$6:$L$60,D2125,Setup!$M$6:$M$60,C2125)=0,"⚠ หมวดไม่ตรงประเภท","✓"))))</f>
        <v/>
      </c>
    </row>
    <row r="2126">
      <c r="B2126" s="113" t="n"/>
      <c r="C2126" s="114" t="n"/>
      <c r="D2126" s="115" t="n"/>
      <c r="E2126" s="116" t="n"/>
      <c r="F2126" s="115" t="n"/>
      <c r="G2126" s="117">
        <f>IF(COUNTA(B2126:E2126)=0,"",IF(COUNTA(B2126:E2126)&lt;4,"⚠ กรอกไม่ครบ",IF(NOT(ISNUMBER(B2126)),"⚠ วันที่ไม่ถูกต้อง",IF(COUNTIFS(Setup!$L$6:$L$60,D2126,Setup!$M$6:$M$60,C2126)=0,"⚠ หมวดไม่ตรงประเภท","✓"))))</f>
        <v/>
      </c>
    </row>
    <row r="2127">
      <c r="B2127" s="113" t="n"/>
      <c r="C2127" s="114" t="n"/>
      <c r="D2127" s="115" t="n"/>
      <c r="E2127" s="116" t="n"/>
      <c r="F2127" s="115" t="n"/>
      <c r="G2127" s="117">
        <f>IF(COUNTA(B2127:E2127)=0,"",IF(COUNTA(B2127:E2127)&lt;4,"⚠ กรอกไม่ครบ",IF(NOT(ISNUMBER(B2127)),"⚠ วันที่ไม่ถูกต้อง",IF(COUNTIFS(Setup!$L$6:$L$60,D2127,Setup!$M$6:$M$60,C2127)=0,"⚠ หมวดไม่ตรงประเภท","✓"))))</f>
        <v/>
      </c>
    </row>
    <row r="2128">
      <c r="B2128" s="113" t="n"/>
      <c r="C2128" s="114" t="n"/>
      <c r="D2128" s="115" t="n"/>
      <c r="E2128" s="116" t="n"/>
      <c r="F2128" s="115" t="n"/>
      <c r="G2128" s="117">
        <f>IF(COUNTA(B2128:E2128)=0,"",IF(COUNTA(B2128:E2128)&lt;4,"⚠ กรอกไม่ครบ",IF(NOT(ISNUMBER(B2128)),"⚠ วันที่ไม่ถูกต้อง",IF(COUNTIFS(Setup!$L$6:$L$60,D2128,Setup!$M$6:$M$60,C2128)=0,"⚠ หมวดไม่ตรงประเภท","✓"))))</f>
        <v/>
      </c>
    </row>
    <row r="2129">
      <c r="B2129" s="113" t="n"/>
      <c r="C2129" s="114" t="n"/>
      <c r="D2129" s="115" t="n"/>
      <c r="E2129" s="116" t="n"/>
      <c r="F2129" s="115" t="n"/>
      <c r="G2129" s="117">
        <f>IF(COUNTA(B2129:E2129)=0,"",IF(COUNTA(B2129:E2129)&lt;4,"⚠ กรอกไม่ครบ",IF(NOT(ISNUMBER(B2129)),"⚠ วันที่ไม่ถูกต้อง",IF(COUNTIFS(Setup!$L$6:$L$60,D2129,Setup!$M$6:$M$60,C2129)=0,"⚠ หมวดไม่ตรงประเภท","✓"))))</f>
        <v/>
      </c>
    </row>
    <row r="2130">
      <c r="B2130" s="113" t="n"/>
      <c r="C2130" s="114" t="n"/>
      <c r="D2130" s="115" t="n"/>
      <c r="E2130" s="116" t="n"/>
      <c r="F2130" s="115" t="n"/>
      <c r="G2130" s="117">
        <f>IF(COUNTA(B2130:E2130)=0,"",IF(COUNTA(B2130:E2130)&lt;4,"⚠ กรอกไม่ครบ",IF(NOT(ISNUMBER(B2130)),"⚠ วันที่ไม่ถูกต้อง",IF(COUNTIFS(Setup!$L$6:$L$60,D2130,Setup!$M$6:$M$60,C2130)=0,"⚠ หมวดไม่ตรงประเภท","✓"))))</f>
        <v/>
      </c>
    </row>
    <row r="2131">
      <c r="B2131" s="113" t="n"/>
      <c r="C2131" s="114" t="n"/>
      <c r="D2131" s="115" t="n"/>
      <c r="E2131" s="116" t="n"/>
      <c r="F2131" s="115" t="n"/>
      <c r="G2131" s="117">
        <f>IF(COUNTA(B2131:E2131)=0,"",IF(COUNTA(B2131:E2131)&lt;4,"⚠ กรอกไม่ครบ",IF(NOT(ISNUMBER(B2131)),"⚠ วันที่ไม่ถูกต้อง",IF(COUNTIFS(Setup!$L$6:$L$60,D2131,Setup!$M$6:$M$60,C2131)=0,"⚠ หมวดไม่ตรงประเภท","✓"))))</f>
        <v/>
      </c>
    </row>
    <row r="2132">
      <c r="B2132" s="113" t="n"/>
      <c r="C2132" s="114" t="n"/>
      <c r="D2132" s="115" t="n"/>
      <c r="E2132" s="116" t="n"/>
      <c r="F2132" s="115" t="n"/>
      <c r="G2132" s="117">
        <f>IF(COUNTA(B2132:E2132)=0,"",IF(COUNTA(B2132:E2132)&lt;4,"⚠ กรอกไม่ครบ",IF(NOT(ISNUMBER(B2132)),"⚠ วันที่ไม่ถูกต้อง",IF(COUNTIFS(Setup!$L$6:$L$60,D2132,Setup!$M$6:$M$60,C2132)=0,"⚠ หมวดไม่ตรงประเภท","✓"))))</f>
        <v/>
      </c>
    </row>
    <row r="2133">
      <c r="B2133" s="113" t="n"/>
      <c r="C2133" s="114" t="n"/>
      <c r="D2133" s="115" t="n"/>
      <c r="E2133" s="116" t="n"/>
      <c r="F2133" s="115" t="n"/>
      <c r="G2133" s="117">
        <f>IF(COUNTA(B2133:E2133)=0,"",IF(COUNTA(B2133:E2133)&lt;4,"⚠ กรอกไม่ครบ",IF(NOT(ISNUMBER(B2133)),"⚠ วันที่ไม่ถูกต้อง",IF(COUNTIFS(Setup!$L$6:$L$60,D2133,Setup!$M$6:$M$60,C2133)=0,"⚠ หมวดไม่ตรงประเภท","✓"))))</f>
        <v/>
      </c>
    </row>
    <row r="2134">
      <c r="B2134" s="113" t="n"/>
      <c r="C2134" s="114" t="n"/>
      <c r="D2134" s="115" t="n"/>
      <c r="E2134" s="116" t="n"/>
      <c r="F2134" s="115" t="n"/>
      <c r="G2134" s="117">
        <f>IF(COUNTA(B2134:E2134)=0,"",IF(COUNTA(B2134:E2134)&lt;4,"⚠ กรอกไม่ครบ",IF(NOT(ISNUMBER(B2134)),"⚠ วันที่ไม่ถูกต้อง",IF(COUNTIFS(Setup!$L$6:$L$60,D2134,Setup!$M$6:$M$60,C2134)=0,"⚠ หมวดไม่ตรงประเภท","✓"))))</f>
        <v/>
      </c>
    </row>
    <row r="2135">
      <c r="B2135" s="113" t="n"/>
      <c r="C2135" s="114" t="n"/>
      <c r="D2135" s="115" t="n"/>
      <c r="E2135" s="116" t="n"/>
      <c r="F2135" s="115" t="n"/>
      <c r="G2135" s="117">
        <f>IF(COUNTA(B2135:E2135)=0,"",IF(COUNTA(B2135:E2135)&lt;4,"⚠ กรอกไม่ครบ",IF(NOT(ISNUMBER(B2135)),"⚠ วันที่ไม่ถูกต้อง",IF(COUNTIFS(Setup!$L$6:$L$60,D2135,Setup!$M$6:$M$60,C2135)=0,"⚠ หมวดไม่ตรงประเภท","✓"))))</f>
        <v/>
      </c>
    </row>
    <row r="2136">
      <c r="B2136" s="113" t="n"/>
      <c r="C2136" s="114" t="n"/>
      <c r="D2136" s="115" t="n"/>
      <c r="E2136" s="116" t="n"/>
      <c r="F2136" s="115" t="n"/>
      <c r="G2136" s="117">
        <f>IF(COUNTA(B2136:E2136)=0,"",IF(COUNTA(B2136:E2136)&lt;4,"⚠ กรอกไม่ครบ",IF(NOT(ISNUMBER(B2136)),"⚠ วันที่ไม่ถูกต้อง",IF(COUNTIFS(Setup!$L$6:$L$60,D2136,Setup!$M$6:$M$60,C2136)=0,"⚠ หมวดไม่ตรงประเภท","✓"))))</f>
        <v/>
      </c>
    </row>
    <row r="2137">
      <c r="B2137" s="113" t="n"/>
      <c r="C2137" s="114" t="n"/>
      <c r="D2137" s="115" t="n"/>
      <c r="E2137" s="116" t="n"/>
      <c r="F2137" s="115" t="n"/>
      <c r="G2137" s="117">
        <f>IF(COUNTA(B2137:E2137)=0,"",IF(COUNTA(B2137:E2137)&lt;4,"⚠ กรอกไม่ครบ",IF(NOT(ISNUMBER(B2137)),"⚠ วันที่ไม่ถูกต้อง",IF(COUNTIFS(Setup!$L$6:$L$60,D2137,Setup!$M$6:$M$60,C2137)=0,"⚠ หมวดไม่ตรงประเภท","✓"))))</f>
        <v/>
      </c>
    </row>
    <row r="2138">
      <c r="B2138" s="113" t="n"/>
      <c r="C2138" s="114" t="n"/>
      <c r="D2138" s="115" t="n"/>
      <c r="E2138" s="116" t="n"/>
      <c r="F2138" s="115" t="n"/>
      <c r="G2138" s="117">
        <f>IF(COUNTA(B2138:E2138)=0,"",IF(COUNTA(B2138:E2138)&lt;4,"⚠ กรอกไม่ครบ",IF(NOT(ISNUMBER(B2138)),"⚠ วันที่ไม่ถูกต้อง",IF(COUNTIFS(Setup!$L$6:$L$60,D2138,Setup!$M$6:$M$60,C2138)=0,"⚠ หมวดไม่ตรงประเภท","✓"))))</f>
        <v/>
      </c>
    </row>
    <row r="2139">
      <c r="B2139" s="113" t="n"/>
      <c r="C2139" s="114" t="n"/>
      <c r="D2139" s="115" t="n"/>
      <c r="E2139" s="116" t="n"/>
      <c r="F2139" s="115" t="n"/>
      <c r="G2139" s="117">
        <f>IF(COUNTA(B2139:E2139)=0,"",IF(COUNTA(B2139:E2139)&lt;4,"⚠ กรอกไม่ครบ",IF(NOT(ISNUMBER(B2139)),"⚠ วันที่ไม่ถูกต้อง",IF(COUNTIFS(Setup!$L$6:$L$60,D2139,Setup!$M$6:$M$60,C2139)=0,"⚠ หมวดไม่ตรงประเภท","✓"))))</f>
        <v/>
      </c>
    </row>
    <row r="2140">
      <c r="B2140" s="113" t="n"/>
      <c r="C2140" s="114" t="n"/>
      <c r="D2140" s="115" t="n"/>
      <c r="E2140" s="116" t="n"/>
      <c r="F2140" s="115" t="n"/>
      <c r="G2140" s="117">
        <f>IF(COUNTA(B2140:E2140)=0,"",IF(COUNTA(B2140:E2140)&lt;4,"⚠ กรอกไม่ครบ",IF(NOT(ISNUMBER(B2140)),"⚠ วันที่ไม่ถูกต้อง",IF(COUNTIFS(Setup!$L$6:$L$60,D2140,Setup!$M$6:$M$60,C2140)=0,"⚠ หมวดไม่ตรงประเภท","✓"))))</f>
        <v/>
      </c>
    </row>
    <row r="2141">
      <c r="B2141" s="113" t="n"/>
      <c r="C2141" s="114" t="n"/>
      <c r="D2141" s="115" t="n"/>
      <c r="E2141" s="116" t="n"/>
      <c r="F2141" s="115" t="n"/>
      <c r="G2141" s="117">
        <f>IF(COUNTA(B2141:E2141)=0,"",IF(COUNTA(B2141:E2141)&lt;4,"⚠ กรอกไม่ครบ",IF(NOT(ISNUMBER(B2141)),"⚠ วันที่ไม่ถูกต้อง",IF(COUNTIFS(Setup!$L$6:$L$60,D2141,Setup!$M$6:$M$60,C2141)=0,"⚠ หมวดไม่ตรงประเภท","✓"))))</f>
        <v/>
      </c>
    </row>
    <row r="2142">
      <c r="B2142" s="113" t="n"/>
      <c r="C2142" s="114" t="n"/>
      <c r="D2142" s="115" t="n"/>
      <c r="E2142" s="116" t="n"/>
      <c r="F2142" s="115" t="n"/>
      <c r="G2142" s="117">
        <f>IF(COUNTA(B2142:E2142)=0,"",IF(COUNTA(B2142:E2142)&lt;4,"⚠ กรอกไม่ครบ",IF(NOT(ISNUMBER(B2142)),"⚠ วันที่ไม่ถูกต้อง",IF(COUNTIFS(Setup!$L$6:$L$60,D2142,Setup!$M$6:$M$60,C2142)=0,"⚠ หมวดไม่ตรงประเภท","✓"))))</f>
        <v/>
      </c>
    </row>
    <row r="2143">
      <c r="B2143" s="113" t="n"/>
      <c r="C2143" s="114" t="n"/>
      <c r="D2143" s="115" t="n"/>
      <c r="E2143" s="116" t="n"/>
      <c r="F2143" s="115" t="n"/>
      <c r="G2143" s="117">
        <f>IF(COUNTA(B2143:E2143)=0,"",IF(COUNTA(B2143:E2143)&lt;4,"⚠ กรอกไม่ครบ",IF(NOT(ISNUMBER(B2143)),"⚠ วันที่ไม่ถูกต้อง",IF(COUNTIFS(Setup!$L$6:$L$60,D2143,Setup!$M$6:$M$60,C2143)=0,"⚠ หมวดไม่ตรงประเภท","✓"))))</f>
        <v/>
      </c>
    </row>
    <row r="2144">
      <c r="B2144" s="113" t="n"/>
      <c r="C2144" s="114" t="n"/>
      <c r="D2144" s="115" t="n"/>
      <c r="E2144" s="116" t="n"/>
      <c r="F2144" s="115" t="n"/>
      <c r="G2144" s="117">
        <f>IF(COUNTA(B2144:E2144)=0,"",IF(COUNTA(B2144:E2144)&lt;4,"⚠ กรอกไม่ครบ",IF(NOT(ISNUMBER(B2144)),"⚠ วันที่ไม่ถูกต้อง",IF(COUNTIFS(Setup!$L$6:$L$60,D2144,Setup!$M$6:$M$60,C2144)=0,"⚠ หมวดไม่ตรงประเภท","✓"))))</f>
        <v/>
      </c>
    </row>
    <row r="2145">
      <c r="B2145" s="113" t="n"/>
      <c r="C2145" s="114" t="n"/>
      <c r="D2145" s="115" t="n"/>
      <c r="E2145" s="116" t="n"/>
      <c r="F2145" s="115" t="n"/>
      <c r="G2145" s="117">
        <f>IF(COUNTA(B2145:E2145)=0,"",IF(COUNTA(B2145:E2145)&lt;4,"⚠ กรอกไม่ครบ",IF(NOT(ISNUMBER(B2145)),"⚠ วันที่ไม่ถูกต้อง",IF(COUNTIFS(Setup!$L$6:$L$60,D2145,Setup!$M$6:$M$60,C2145)=0,"⚠ หมวดไม่ตรงประเภท","✓"))))</f>
        <v/>
      </c>
    </row>
    <row r="2146">
      <c r="B2146" s="113" t="n"/>
      <c r="C2146" s="114" t="n"/>
      <c r="D2146" s="115" t="n"/>
      <c r="E2146" s="116" t="n"/>
      <c r="F2146" s="115" t="n"/>
      <c r="G2146" s="117">
        <f>IF(COUNTA(B2146:E2146)=0,"",IF(COUNTA(B2146:E2146)&lt;4,"⚠ กรอกไม่ครบ",IF(NOT(ISNUMBER(B2146)),"⚠ วันที่ไม่ถูกต้อง",IF(COUNTIFS(Setup!$L$6:$L$60,D2146,Setup!$M$6:$M$60,C2146)=0,"⚠ หมวดไม่ตรงประเภท","✓"))))</f>
        <v/>
      </c>
    </row>
    <row r="2147">
      <c r="B2147" s="113" t="n"/>
      <c r="C2147" s="114" t="n"/>
      <c r="D2147" s="115" t="n"/>
      <c r="E2147" s="116" t="n"/>
      <c r="F2147" s="115" t="n"/>
      <c r="G2147" s="117">
        <f>IF(COUNTA(B2147:E2147)=0,"",IF(COUNTA(B2147:E2147)&lt;4,"⚠ กรอกไม่ครบ",IF(NOT(ISNUMBER(B2147)),"⚠ วันที่ไม่ถูกต้อง",IF(COUNTIFS(Setup!$L$6:$L$60,D2147,Setup!$M$6:$M$60,C2147)=0,"⚠ หมวดไม่ตรงประเภท","✓"))))</f>
        <v/>
      </c>
    </row>
    <row r="2148">
      <c r="B2148" s="113" t="n"/>
      <c r="C2148" s="114" t="n"/>
      <c r="D2148" s="115" t="n"/>
      <c r="E2148" s="116" t="n"/>
      <c r="F2148" s="115" t="n"/>
      <c r="G2148" s="117">
        <f>IF(COUNTA(B2148:E2148)=0,"",IF(COUNTA(B2148:E2148)&lt;4,"⚠ กรอกไม่ครบ",IF(NOT(ISNUMBER(B2148)),"⚠ วันที่ไม่ถูกต้อง",IF(COUNTIFS(Setup!$L$6:$L$60,D2148,Setup!$M$6:$M$60,C2148)=0,"⚠ หมวดไม่ตรงประเภท","✓"))))</f>
        <v/>
      </c>
    </row>
    <row r="2149">
      <c r="B2149" s="113" t="n"/>
      <c r="C2149" s="114" t="n"/>
      <c r="D2149" s="115" t="n"/>
      <c r="E2149" s="116" t="n"/>
      <c r="F2149" s="115" t="n"/>
      <c r="G2149" s="117">
        <f>IF(COUNTA(B2149:E2149)=0,"",IF(COUNTA(B2149:E2149)&lt;4,"⚠ กรอกไม่ครบ",IF(NOT(ISNUMBER(B2149)),"⚠ วันที่ไม่ถูกต้อง",IF(COUNTIFS(Setup!$L$6:$L$60,D2149,Setup!$M$6:$M$60,C2149)=0,"⚠ หมวดไม่ตรงประเภท","✓"))))</f>
        <v/>
      </c>
    </row>
    <row r="2150">
      <c r="B2150" s="113" t="n"/>
      <c r="C2150" s="114" t="n"/>
      <c r="D2150" s="115" t="n"/>
      <c r="E2150" s="116" t="n"/>
      <c r="F2150" s="115" t="n"/>
      <c r="G2150" s="117">
        <f>IF(COUNTA(B2150:E2150)=0,"",IF(COUNTA(B2150:E2150)&lt;4,"⚠ กรอกไม่ครบ",IF(NOT(ISNUMBER(B2150)),"⚠ วันที่ไม่ถูกต้อง",IF(COUNTIFS(Setup!$L$6:$L$60,D2150,Setup!$M$6:$M$60,C2150)=0,"⚠ หมวดไม่ตรงประเภท","✓"))))</f>
        <v/>
      </c>
    </row>
    <row r="2151">
      <c r="B2151" s="113" t="n"/>
      <c r="C2151" s="114" t="n"/>
      <c r="D2151" s="115" t="n"/>
      <c r="E2151" s="116" t="n"/>
      <c r="F2151" s="115" t="n"/>
      <c r="G2151" s="117">
        <f>IF(COUNTA(B2151:E2151)=0,"",IF(COUNTA(B2151:E2151)&lt;4,"⚠ กรอกไม่ครบ",IF(NOT(ISNUMBER(B2151)),"⚠ วันที่ไม่ถูกต้อง",IF(COUNTIFS(Setup!$L$6:$L$60,D2151,Setup!$M$6:$M$60,C2151)=0,"⚠ หมวดไม่ตรงประเภท","✓"))))</f>
        <v/>
      </c>
    </row>
    <row r="2152">
      <c r="B2152" s="113" t="n"/>
      <c r="C2152" s="114" t="n"/>
      <c r="D2152" s="115" t="n"/>
      <c r="E2152" s="116" t="n"/>
      <c r="F2152" s="115" t="n"/>
      <c r="G2152" s="117">
        <f>IF(COUNTA(B2152:E2152)=0,"",IF(COUNTA(B2152:E2152)&lt;4,"⚠ กรอกไม่ครบ",IF(NOT(ISNUMBER(B2152)),"⚠ วันที่ไม่ถูกต้อง",IF(COUNTIFS(Setup!$L$6:$L$60,D2152,Setup!$M$6:$M$60,C2152)=0,"⚠ หมวดไม่ตรงประเภท","✓"))))</f>
        <v/>
      </c>
    </row>
    <row r="2153">
      <c r="B2153" s="113" t="n"/>
      <c r="C2153" s="114" t="n"/>
      <c r="D2153" s="115" t="n"/>
      <c r="E2153" s="116" t="n"/>
      <c r="F2153" s="115" t="n"/>
      <c r="G2153" s="117">
        <f>IF(COUNTA(B2153:E2153)=0,"",IF(COUNTA(B2153:E2153)&lt;4,"⚠ กรอกไม่ครบ",IF(NOT(ISNUMBER(B2153)),"⚠ วันที่ไม่ถูกต้อง",IF(COUNTIFS(Setup!$L$6:$L$60,D2153,Setup!$M$6:$M$60,C2153)=0,"⚠ หมวดไม่ตรงประเภท","✓"))))</f>
        <v/>
      </c>
    </row>
    <row r="2154">
      <c r="B2154" s="113" t="n"/>
      <c r="C2154" s="114" t="n"/>
      <c r="D2154" s="115" t="n"/>
      <c r="E2154" s="116" t="n"/>
      <c r="F2154" s="115" t="n"/>
      <c r="G2154" s="117">
        <f>IF(COUNTA(B2154:E2154)=0,"",IF(COUNTA(B2154:E2154)&lt;4,"⚠ กรอกไม่ครบ",IF(NOT(ISNUMBER(B2154)),"⚠ วันที่ไม่ถูกต้อง",IF(COUNTIFS(Setup!$L$6:$L$60,D2154,Setup!$M$6:$M$60,C2154)=0,"⚠ หมวดไม่ตรงประเภท","✓"))))</f>
        <v/>
      </c>
    </row>
    <row r="2155">
      <c r="B2155" s="113" t="n"/>
      <c r="C2155" s="114" t="n"/>
      <c r="D2155" s="115" t="n"/>
      <c r="E2155" s="116" t="n"/>
      <c r="F2155" s="115" t="n"/>
      <c r="G2155" s="117">
        <f>IF(COUNTA(B2155:E2155)=0,"",IF(COUNTA(B2155:E2155)&lt;4,"⚠ กรอกไม่ครบ",IF(NOT(ISNUMBER(B2155)),"⚠ วันที่ไม่ถูกต้อง",IF(COUNTIFS(Setup!$L$6:$L$60,D2155,Setup!$M$6:$M$60,C2155)=0,"⚠ หมวดไม่ตรงประเภท","✓"))))</f>
        <v/>
      </c>
    </row>
    <row r="2156">
      <c r="B2156" s="113" t="n"/>
      <c r="C2156" s="114" t="n"/>
      <c r="D2156" s="115" t="n"/>
      <c r="E2156" s="116" t="n"/>
      <c r="F2156" s="115" t="n"/>
      <c r="G2156" s="117">
        <f>IF(COUNTA(B2156:E2156)=0,"",IF(COUNTA(B2156:E2156)&lt;4,"⚠ กรอกไม่ครบ",IF(NOT(ISNUMBER(B2156)),"⚠ วันที่ไม่ถูกต้อง",IF(COUNTIFS(Setup!$L$6:$L$60,D2156,Setup!$M$6:$M$60,C2156)=0,"⚠ หมวดไม่ตรงประเภท","✓"))))</f>
        <v/>
      </c>
    </row>
    <row r="2157">
      <c r="B2157" s="113" t="n"/>
      <c r="C2157" s="114" t="n"/>
      <c r="D2157" s="115" t="n"/>
      <c r="E2157" s="116" t="n"/>
      <c r="F2157" s="115" t="n"/>
      <c r="G2157" s="117">
        <f>IF(COUNTA(B2157:E2157)=0,"",IF(COUNTA(B2157:E2157)&lt;4,"⚠ กรอกไม่ครบ",IF(NOT(ISNUMBER(B2157)),"⚠ วันที่ไม่ถูกต้อง",IF(COUNTIFS(Setup!$L$6:$L$60,D2157,Setup!$M$6:$M$60,C2157)=0,"⚠ หมวดไม่ตรงประเภท","✓"))))</f>
        <v/>
      </c>
    </row>
    <row r="2158">
      <c r="B2158" s="113" t="n"/>
      <c r="C2158" s="114" t="n"/>
      <c r="D2158" s="115" t="n"/>
      <c r="E2158" s="116" t="n"/>
      <c r="F2158" s="115" t="n"/>
      <c r="G2158" s="117">
        <f>IF(COUNTA(B2158:E2158)=0,"",IF(COUNTA(B2158:E2158)&lt;4,"⚠ กรอกไม่ครบ",IF(NOT(ISNUMBER(B2158)),"⚠ วันที่ไม่ถูกต้อง",IF(COUNTIFS(Setup!$L$6:$L$60,D2158,Setup!$M$6:$M$60,C2158)=0,"⚠ หมวดไม่ตรงประเภท","✓"))))</f>
        <v/>
      </c>
    </row>
    <row r="2159">
      <c r="B2159" s="113" t="n"/>
      <c r="C2159" s="114" t="n"/>
      <c r="D2159" s="115" t="n"/>
      <c r="E2159" s="116" t="n"/>
      <c r="F2159" s="115" t="n"/>
      <c r="G2159" s="117">
        <f>IF(COUNTA(B2159:E2159)=0,"",IF(COUNTA(B2159:E2159)&lt;4,"⚠ กรอกไม่ครบ",IF(NOT(ISNUMBER(B2159)),"⚠ วันที่ไม่ถูกต้อง",IF(COUNTIFS(Setup!$L$6:$L$60,D2159,Setup!$M$6:$M$60,C2159)=0,"⚠ หมวดไม่ตรงประเภท","✓"))))</f>
        <v/>
      </c>
    </row>
    <row r="2160">
      <c r="B2160" s="113" t="n"/>
      <c r="C2160" s="114" t="n"/>
      <c r="D2160" s="115" t="n"/>
      <c r="E2160" s="116" t="n"/>
      <c r="F2160" s="115" t="n"/>
      <c r="G2160" s="117">
        <f>IF(COUNTA(B2160:E2160)=0,"",IF(COUNTA(B2160:E2160)&lt;4,"⚠ กรอกไม่ครบ",IF(NOT(ISNUMBER(B2160)),"⚠ วันที่ไม่ถูกต้อง",IF(COUNTIFS(Setup!$L$6:$L$60,D2160,Setup!$M$6:$M$60,C2160)=0,"⚠ หมวดไม่ตรงประเภท","✓"))))</f>
        <v/>
      </c>
    </row>
    <row r="2161">
      <c r="B2161" s="113" t="n"/>
      <c r="C2161" s="114" t="n"/>
      <c r="D2161" s="115" t="n"/>
      <c r="E2161" s="116" t="n"/>
      <c r="F2161" s="115" t="n"/>
      <c r="G2161" s="117">
        <f>IF(COUNTA(B2161:E2161)=0,"",IF(COUNTA(B2161:E2161)&lt;4,"⚠ กรอกไม่ครบ",IF(NOT(ISNUMBER(B2161)),"⚠ วันที่ไม่ถูกต้อง",IF(COUNTIFS(Setup!$L$6:$L$60,D2161,Setup!$M$6:$M$60,C2161)=0,"⚠ หมวดไม่ตรงประเภท","✓"))))</f>
        <v/>
      </c>
    </row>
    <row r="2162">
      <c r="B2162" s="113" t="n"/>
      <c r="C2162" s="114" t="n"/>
      <c r="D2162" s="115" t="n"/>
      <c r="E2162" s="116" t="n"/>
      <c r="F2162" s="115" t="n"/>
      <c r="G2162" s="117">
        <f>IF(COUNTA(B2162:E2162)=0,"",IF(COUNTA(B2162:E2162)&lt;4,"⚠ กรอกไม่ครบ",IF(NOT(ISNUMBER(B2162)),"⚠ วันที่ไม่ถูกต้อง",IF(COUNTIFS(Setup!$L$6:$L$60,D2162,Setup!$M$6:$M$60,C2162)=0,"⚠ หมวดไม่ตรงประเภท","✓"))))</f>
        <v/>
      </c>
    </row>
    <row r="2163">
      <c r="B2163" s="113" t="n"/>
      <c r="C2163" s="114" t="n"/>
      <c r="D2163" s="115" t="n"/>
      <c r="E2163" s="116" t="n"/>
      <c r="F2163" s="115" t="n"/>
      <c r="G2163" s="117">
        <f>IF(COUNTA(B2163:E2163)=0,"",IF(COUNTA(B2163:E2163)&lt;4,"⚠ กรอกไม่ครบ",IF(NOT(ISNUMBER(B2163)),"⚠ วันที่ไม่ถูกต้อง",IF(COUNTIFS(Setup!$L$6:$L$60,D2163,Setup!$M$6:$M$60,C2163)=0,"⚠ หมวดไม่ตรงประเภท","✓"))))</f>
        <v/>
      </c>
    </row>
    <row r="2164">
      <c r="B2164" s="113" t="n"/>
      <c r="C2164" s="114" t="n"/>
      <c r="D2164" s="115" t="n"/>
      <c r="E2164" s="116" t="n"/>
      <c r="F2164" s="115" t="n"/>
      <c r="G2164" s="117">
        <f>IF(COUNTA(B2164:E2164)=0,"",IF(COUNTA(B2164:E2164)&lt;4,"⚠ กรอกไม่ครบ",IF(NOT(ISNUMBER(B2164)),"⚠ วันที่ไม่ถูกต้อง",IF(COUNTIFS(Setup!$L$6:$L$60,D2164,Setup!$M$6:$M$60,C2164)=0,"⚠ หมวดไม่ตรงประเภท","✓"))))</f>
        <v/>
      </c>
    </row>
    <row r="2165">
      <c r="B2165" s="113" t="n"/>
      <c r="C2165" s="114" t="n"/>
      <c r="D2165" s="115" t="n"/>
      <c r="E2165" s="116" t="n"/>
      <c r="F2165" s="115" t="n"/>
      <c r="G2165" s="117">
        <f>IF(COUNTA(B2165:E2165)=0,"",IF(COUNTA(B2165:E2165)&lt;4,"⚠ กรอกไม่ครบ",IF(NOT(ISNUMBER(B2165)),"⚠ วันที่ไม่ถูกต้อง",IF(COUNTIFS(Setup!$L$6:$L$60,D2165,Setup!$M$6:$M$60,C2165)=0,"⚠ หมวดไม่ตรงประเภท","✓"))))</f>
        <v/>
      </c>
    </row>
    <row r="2166">
      <c r="B2166" s="113" t="n"/>
      <c r="C2166" s="114" t="n"/>
      <c r="D2166" s="115" t="n"/>
      <c r="E2166" s="116" t="n"/>
      <c r="F2166" s="115" t="n"/>
      <c r="G2166" s="117">
        <f>IF(COUNTA(B2166:E2166)=0,"",IF(COUNTA(B2166:E2166)&lt;4,"⚠ กรอกไม่ครบ",IF(NOT(ISNUMBER(B2166)),"⚠ วันที่ไม่ถูกต้อง",IF(COUNTIFS(Setup!$L$6:$L$60,D2166,Setup!$M$6:$M$60,C2166)=0,"⚠ หมวดไม่ตรงประเภท","✓"))))</f>
        <v/>
      </c>
    </row>
    <row r="2167">
      <c r="B2167" s="113" t="n"/>
      <c r="C2167" s="114" t="n"/>
      <c r="D2167" s="115" t="n"/>
      <c r="E2167" s="116" t="n"/>
      <c r="F2167" s="115" t="n"/>
      <c r="G2167" s="117">
        <f>IF(COUNTA(B2167:E2167)=0,"",IF(COUNTA(B2167:E2167)&lt;4,"⚠ กรอกไม่ครบ",IF(NOT(ISNUMBER(B2167)),"⚠ วันที่ไม่ถูกต้อง",IF(COUNTIFS(Setup!$L$6:$L$60,D2167,Setup!$M$6:$M$60,C2167)=0,"⚠ หมวดไม่ตรงประเภท","✓"))))</f>
        <v/>
      </c>
    </row>
    <row r="2168">
      <c r="B2168" s="113" t="n"/>
      <c r="C2168" s="114" t="n"/>
      <c r="D2168" s="115" t="n"/>
      <c r="E2168" s="116" t="n"/>
      <c r="F2168" s="115" t="n"/>
      <c r="G2168" s="117">
        <f>IF(COUNTA(B2168:E2168)=0,"",IF(COUNTA(B2168:E2168)&lt;4,"⚠ กรอกไม่ครบ",IF(NOT(ISNUMBER(B2168)),"⚠ วันที่ไม่ถูกต้อง",IF(COUNTIFS(Setup!$L$6:$L$60,D2168,Setup!$M$6:$M$60,C2168)=0,"⚠ หมวดไม่ตรงประเภท","✓"))))</f>
        <v/>
      </c>
    </row>
    <row r="2169">
      <c r="B2169" s="113" t="n"/>
      <c r="C2169" s="114" t="n"/>
      <c r="D2169" s="115" t="n"/>
      <c r="E2169" s="116" t="n"/>
      <c r="F2169" s="115" t="n"/>
      <c r="G2169" s="117">
        <f>IF(COUNTA(B2169:E2169)=0,"",IF(COUNTA(B2169:E2169)&lt;4,"⚠ กรอกไม่ครบ",IF(NOT(ISNUMBER(B2169)),"⚠ วันที่ไม่ถูกต้อง",IF(COUNTIFS(Setup!$L$6:$L$60,D2169,Setup!$M$6:$M$60,C2169)=0,"⚠ หมวดไม่ตรงประเภท","✓"))))</f>
        <v/>
      </c>
    </row>
    <row r="2170">
      <c r="B2170" s="113" t="n"/>
      <c r="C2170" s="114" t="n"/>
      <c r="D2170" s="115" t="n"/>
      <c r="E2170" s="116" t="n"/>
      <c r="F2170" s="115" t="n"/>
      <c r="G2170" s="117">
        <f>IF(COUNTA(B2170:E2170)=0,"",IF(COUNTA(B2170:E2170)&lt;4,"⚠ กรอกไม่ครบ",IF(NOT(ISNUMBER(B2170)),"⚠ วันที่ไม่ถูกต้อง",IF(COUNTIFS(Setup!$L$6:$L$60,D2170,Setup!$M$6:$M$60,C2170)=0,"⚠ หมวดไม่ตรงประเภท","✓"))))</f>
        <v/>
      </c>
    </row>
    <row r="2171">
      <c r="B2171" s="113" t="n"/>
      <c r="C2171" s="114" t="n"/>
      <c r="D2171" s="115" t="n"/>
      <c r="E2171" s="116" t="n"/>
      <c r="F2171" s="115" t="n"/>
      <c r="G2171" s="117">
        <f>IF(COUNTA(B2171:E2171)=0,"",IF(COUNTA(B2171:E2171)&lt;4,"⚠ กรอกไม่ครบ",IF(NOT(ISNUMBER(B2171)),"⚠ วันที่ไม่ถูกต้อง",IF(COUNTIFS(Setup!$L$6:$L$60,D2171,Setup!$M$6:$M$60,C2171)=0,"⚠ หมวดไม่ตรงประเภท","✓"))))</f>
        <v/>
      </c>
    </row>
    <row r="2172">
      <c r="B2172" s="113" t="n"/>
      <c r="C2172" s="114" t="n"/>
      <c r="D2172" s="115" t="n"/>
      <c r="E2172" s="116" t="n"/>
      <c r="F2172" s="115" t="n"/>
      <c r="G2172" s="117">
        <f>IF(COUNTA(B2172:E2172)=0,"",IF(COUNTA(B2172:E2172)&lt;4,"⚠ กรอกไม่ครบ",IF(NOT(ISNUMBER(B2172)),"⚠ วันที่ไม่ถูกต้อง",IF(COUNTIFS(Setup!$L$6:$L$60,D2172,Setup!$M$6:$M$60,C2172)=0,"⚠ หมวดไม่ตรงประเภท","✓"))))</f>
        <v/>
      </c>
    </row>
    <row r="2173">
      <c r="B2173" s="113" t="n"/>
      <c r="C2173" s="114" t="n"/>
      <c r="D2173" s="115" t="n"/>
      <c r="E2173" s="116" t="n"/>
      <c r="F2173" s="115" t="n"/>
      <c r="G2173" s="117">
        <f>IF(COUNTA(B2173:E2173)=0,"",IF(COUNTA(B2173:E2173)&lt;4,"⚠ กรอกไม่ครบ",IF(NOT(ISNUMBER(B2173)),"⚠ วันที่ไม่ถูกต้อง",IF(COUNTIFS(Setup!$L$6:$L$60,D2173,Setup!$M$6:$M$60,C2173)=0,"⚠ หมวดไม่ตรงประเภท","✓"))))</f>
        <v/>
      </c>
    </row>
    <row r="2174">
      <c r="B2174" s="113" t="n"/>
      <c r="C2174" s="114" t="n"/>
      <c r="D2174" s="115" t="n"/>
      <c r="E2174" s="116" t="n"/>
      <c r="F2174" s="115" t="n"/>
      <c r="G2174" s="117">
        <f>IF(COUNTA(B2174:E2174)=0,"",IF(COUNTA(B2174:E2174)&lt;4,"⚠ กรอกไม่ครบ",IF(NOT(ISNUMBER(B2174)),"⚠ วันที่ไม่ถูกต้อง",IF(COUNTIFS(Setup!$L$6:$L$60,D2174,Setup!$M$6:$M$60,C2174)=0,"⚠ หมวดไม่ตรงประเภท","✓"))))</f>
        <v/>
      </c>
    </row>
    <row r="2175">
      <c r="B2175" s="113" t="n"/>
      <c r="C2175" s="114" t="n"/>
      <c r="D2175" s="115" t="n"/>
      <c r="E2175" s="116" t="n"/>
      <c r="F2175" s="115" t="n"/>
      <c r="G2175" s="117">
        <f>IF(COUNTA(B2175:E2175)=0,"",IF(COUNTA(B2175:E2175)&lt;4,"⚠ กรอกไม่ครบ",IF(NOT(ISNUMBER(B2175)),"⚠ วันที่ไม่ถูกต้อง",IF(COUNTIFS(Setup!$L$6:$L$60,D2175,Setup!$M$6:$M$60,C2175)=0,"⚠ หมวดไม่ตรงประเภท","✓"))))</f>
        <v/>
      </c>
    </row>
    <row r="2176">
      <c r="B2176" s="113" t="n"/>
      <c r="C2176" s="114" t="n"/>
      <c r="D2176" s="115" t="n"/>
      <c r="E2176" s="116" t="n"/>
      <c r="F2176" s="115" t="n"/>
      <c r="G2176" s="117">
        <f>IF(COUNTA(B2176:E2176)=0,"",IF(COUNTA(B2176:E2176)&lt;4,"⚠ กรอกไม่ครบ",IF(NOT(ISNUMBER(B2176)),"⚠ วันที่ไม่ถูกต้อง",IF(COUNTIFS(Setup!$L$6:$L$60,D2176,Setup!$M$6:$M$60,C2176)=0,"⚠ หมวดไม่ตรงประเภท","✓"))))</f>
        <v/>
      </c>
    </row>
    <row r="2177">
      <c r="B2177" s="113" t="n"/>
      <c r="C2177" s="114" t="n"/>
      <c r="D2177" s="115" t="n"/>
      <c r="E2177" s="116" t="n"/>
      <c r="F2177" s="115" t="n"/>
      <c r="G2177" s="117">
        <f>IF(COUNTA(B2177:E2177)=0,"",IF(COUNTA(B2177:E2177)&lt;4,"⚠ กรอกไม่ครบ",IF(NOT(ISNUMBER(B2177)),"⚠ วันที่ไม่ถูกต้อง",IF(COUNTIFS(Setup!$L$6:$L$60,D2177,Setup!$M$6:$M$60,C2177)=0,"⚠ หมวดไม่ตรงประเภท","✓"))))</f>
        <v/>
      </c>
    </row>
    <row r="2178">
      <c r="B2178" s="113" t="n"/>
      <c r="C2178" s="114" t="n"/>
      <c r="D2178" s="115" t="n"/>
      <c r="E2178" s="116" t="n"/>
      <c r="F2178" s="115" t="n"/>
      <c r="G2178" s="117">
        <f>IF(COUNTA(B2178:E2178)=0,"",IF(COUNTA(B2178:E2178)&lt;4,"⚠ กรอกไม่ครบ",IF(NOT(ISNUMBER(B2178)),"⚠ วันที่ไม่ถูกต้อง",IF(COUNTIFS(Setup!$L$6:$L$60,D2178,Setup!$M$6:$M$60,C2178)=0,"⚠ หมวดไม่ตรงประเภท","✓"))))</f>
        <v/>
      </c>
    </row>
    <row r="2179">
      <c r="B2179" s="113" t="n"/>
      <c r="C2179" s="114" t="n"/>
      <c r="D2179" s="115" t="n"/>
      <c r="E2179" s="116" t="n"/>
      <c r="F2179" s="115" t="n"/>
      <c r="G2179" s="117">
        <f>IF(COUNTA(B2179:E2179)=0,"",IF(COUNTA(B2179:E2179)&lt;4,"⚠ กรอกไม่ครบ",IF(NOT(ISNUMBER(B2179)),"⚠ วันที่ไม่ถูกต้อง",IF(COUNTIFS(Setup!$L$6:$L$60,D2179,Setup!$M$6:$M$60,C2179)=0,"⚠ หมวดไม่ตรงประเภท","✓"))))</f>
        <v/>
      </c>
    </row>
    <row r="2180">
      <c r="B2180" s="113" t="n"/>
      <c r="C2180" s="114" t="n"/>
      <c r="D2180" s="115" t="n"/>
      <c r="E2180" s="116" t="n"/>
      <c r="F2180" s="115" t="n"/>
      <c r="G2180" s="117">
        <f>IF(COUNTA(B2180:E2180)=0,"",IF(COUNTA(B2180:E2180)&lt;4,"⚠ กรอกไม่ครบ",IF(NOT(ISNUMBER(B2180)),"⚠ วันที่ไม่ถูกต้อง",IF(COUNTIFS(Setup!$L$6:$L$60,D2180,Setup!$M$6:$M$60,C2180)=0,"⚠ หมวดไม่ตรงประเภท","✓"))))</f>
        <v/>
      </c>
    </row>
    <row r="2181">
      <c r="B2181" s="113" t="n"/>
      <c r="C2181" s="114" t="n"/>
      <c r="D2181" s="115" t="n"/>
      <c r="E2181" s="116" t="n"/>
      <c r="F2181" s="115" t="n"/>
      <c r="G2181" s="117">
        <f>IF(COUNTA(B2181:E2181)=0,"",IF(COUNTA(B2181:E2181)&lt;4,"⚠ กรอกไม่ครบ",IF(NOT(ISNUMBER(B2181)),"⚠ วันที่ไม่ถูกต้อง",IF(COUNTIFS(Setup!$L$6:$L$60,D2181,Setup!$M$6:$M$60,C2181)=0,"⚠ หมวดไม่ตรงประเภท","✓"))))</f>
        <v/>
      </c>
    </row>
    <row r="2182">
      <c r="B2182" s="113" t="n"/>
      <c r="C2182" s="114" t="n"/>
      <c r="D2182" s="115" t="n"/>
      <c r="E2182" s="116" t="n"/>
      <c r="F2182" s="115" t="n"/>
      <c r="G2182" s="117">
        <f>IF(COUNTA(B2182:E2182)=0,"",IF(COUNTA(B2182:E2182)&lt;4,"⚠ กรอกไม่ครบ",IF(NOT(ISNUMBER(B2182)),"⚠ วันที่ไม่ถูกต้อง",IF(COUNTIFS(Setup!$L$6:$L$60,D2182,Setup!$M$6:$M$60,C2182)=0,"⚠ หมวดไม่ตรงประเภท","✓"))))</f>
        <v/>
      </c>
    </row>
    <row r="2183">
      <c r="B2183" s="113" t="n"/>
      <c r="C2183" s="114" t="n"/>
      <c r="D2183" s="115" t="n"/>
      <c r="E2183" s="116" t="n"/>
      <c r="F2183" s="115" t="n"/>
      <c r="G2183" s="117">
        <f>IF(COUNTA(B2183:E2183)=0,"",IF(COUNTA(B2183:E2183)&lt;4,"⚠ กรอกไม่ครบ",IF(NOT(ISNUMBER(B2183)),"⚠ วันที่ไม่ถูกต้อง",IF(COUNTIFS(Setup!$L$6:$L$60,D2183,Setup!$M$6:$M$60,C2183)=0,"⚠ หมวดไม่ตรงประเภท","✓"))))</f>
        <v/>
      </c>
    </row>
    <row r="2184">
      <c r="B2184" s="113" t="n"/>
      <c r="C2184" s="114" t="n"/>
      <c r="D2184" s="115" t="n"/>
      <c r="E2184" s="116" t="n"/>
      <c r="F2184" s="115" t="n"/>
      <c r="G2184" s="117">
        <f>IF(COUNTA(B2184:E2184)=0,"",IF(COUNTA(B2184:E2184)&lt;4,"⚠ กรอกไม่ครบ",IF(NOT(ISNUMBER(B2184)),"⚠ วันที่ไม่ถูกต้อง",IF(COUNTIFS(Setup!$L$6:$L$60,D2184,Setup!$M$6:$M$60,C2184)=0,"⚠ หมวดไม่ตรงประเภท","✓"))))</f>
        <v/>
      </c>
    </row>
    <row r="2185">
      <c r="B2185" s="113" t="n"/>
      <c r="C2185" s="114" t="n"/>
      <c r="D2185" s="115" t="n"/>
      <c r="E2185" s="116" t="n"/>
      <c r="F2185" s="115" t="n"/>
      <c r="G2185" s="117">
        <f>IF(COUNTA(B2185:E2185)=0,"",IF(COUNTA(B2185:E2185)&lt;4,"⚠ กรอกไม่ครบ",IF(NOT(ISNUMBER(B2185)),"⚠ วันที่ไม่ถูกต้อง",IF(COUNTIFS(Setup!$L$6:$L$60,D2185,Setup!$M$6:$M$60,C2185)=0,"⚠ หมวดไม่ตรงประเภท","✓"))))</f>
        <v/>
      </c>
    </row>
    <row r="2186">
      <c r="B2186" s="113" t="n"/>
      <c r="C2186" s="114" t="n"/>
      <c r="D2186" s="115" t="n"/>
      <c r="E2186" s="116" t="n"/>
      <c r="F2186" s="115" t="n"/>
      <c r="G2186" s="117">
        <f>IF(COUNTA(B2186:E2186)=0,"",IF(COUNTA(B2186:E2186)&lt;4,"⚠ กรอกไม่ครบ",IF(NOT(ISNUMBER(B2186)),"⚠ วันที่ไม่ถูกต้อง",IF(COUNTIFS(Setup!$L$6:$L$60,D2186,Setup!$M$6:$M$60,C2186)=0,"⚠ หมวดไม่ตรงประเภท","✓"))))</f>
        <v/>
      </c>
    </row>
    <row r="2187">
      <c r="B2187" s="113" t="n"/>
      <c r="C2187" s="114" t="n"/>
      <c r="D2187" s="115" t="n"/>
      <c r="E2187" s="116" t="n"/>
      <c r="F2187" s="115" t="n"/>
      <c r="G2187" s="117">
        <f>IF(COUNTA(B2187:E2187)=0,"",IF(COUNTA(B2187:E2187)&lt;4,"⚠ กรอกไม่ครบ",IF(NOT(ISNUMBER(B2187)),"⚠ วันที่ไม่ถูกต้อง",IF(COUNTIFS(Setup!$L$6:$L$60,D2187,Setup!$M$6:$M$60,C2187)=0,"⚠ หมวดไม่ตรงประเภท","✓"))))</f>
        <v/>
      </c>
    </row>
    <row r="2188">
      <c r="B2188" s="113" t="n"/>
      <c r="C2188" s="114" t="n"/>
      <c r="D2188" s="115" t="n"/>
      <c r="E2188" s="116" t="n"/>
      <c r="F2188" s="115" t="n"/>
      <c r="G2188" s="117">
        <f>IF(COUNTA(B2188:E2188)=0,"",IF(COUNTA(B2188:E2188)&lt;4,"⚠ กรอกไม่ครบ",IF(NOT(ISNUMBER(B2188)),"⚠ วันที่ไม่ถูกต้อง",IF(COUNTIFS(Setup!$L$6:$L$60,D2188,Setup!$M$6:$M$60,C2188)=0,"⚠ หมวดไม่ตรงประเภท","✓"))))</f>
        <v/>
      </c>
    </row>
    <row r="2189">
      <c r="B2189" s="113" t="n"/>
      <c r="C2189" s="114" t="n"/>
      <c r="D2189" s="115" t="n"/>
      <c r="E2189" s="116" t="n"/>
      <c r="F2189" s="115" t="n"/>
      <c r="G2189" s="117">
        <f>IF(COUNTA(B2189:E2189)=0,"",IF(COUNTA(B2189:E2189)&lt;4,"⚠ กรอกไม่ครบ",IF(NOT(ISNUMBER(B2189)),"⚠ วันที่ไม่ถูกต้อง",IF(COUNTIFS(Setup!$L$6:$L$60,D2189,Setup!$M$6:$M$60,C2189)=0,"⚠ หมวดไม่ตรงประเภท","✓"))))</f>
        <v/>
      </c>
    </row>
    <row r="2190">
      <c r="B2190" s="113" t="n"/>
      <c r="C2190" s="114" t="n"/>
      <c r="D2190" s="115" t="n"/>
      <c r="E2190" s="116" t="n"/>
      <c r="F2190" s="115" t="n"/>
      <c r="G2190" s="117">
        <f>IF(COUNTA(B2190:E2190)=0,"",IF(COUNTA(B2190:E2190)&lt;4,"⚠ กรอกไม่ครบ",IF(NOT(ISNUMBER(B2190)),"⚠ วันที่ไม่ถูกต้อง",IF(COUNTIFS(Setup!$L$6:$L$60,D2190,Setup!$M$6:$M$60,C2190)=0,"⚠ หมวดไม่ตรงประเภท","✓"))))</f>
        <v/>
      </c>
    </row>
    <row r="2191">
      <c r="B2191" s="113" t="n"/>
      <c r="C2191" s="114" t="n"/>
      <c r="D2191" s="115" t="n"/>
      <c r="E2191" s="116" t="n"/>
      <c r="F2191" s="115" t="n"/>
      <c r="G2191" s="117">
        <f>IF(COUNTA(B2191:E2191)=0,"",IF(COUNTA(B2191:E2191)&lt;4,"⚠ กรอกไม่ครบ",IF(NOT(ISNUMBER(B2191)),"⚠ วันที่ไม่ถูกต้อง",IF(COUNTIFS(Setup!$L$6:$L$60,D2191,Setup!$M$6:$M$60,C2191)=0,"⚠ หมวดไม่ตรงประเภท","✓"))))</f>
        <v/>
      </c>
    </row>
    <row r="2192">
      <c r="B2192" s="113" t="n"/>
      <c r="C2192" s="114" t="n"/>
      <c r="D2192" s="115" t="n"/>
      <c r="E2192" s="116" t="n"/>
      <c r="F2192" s="115" t="n"/>
      <c r="G2192" s="117">
        <f>IF(COUNTA(B2192:E2192)=0,"",IF(COUNTA(B2192:E2192)&lt;4,"⚠ กรอกไม่ครบ",IF(NOT(ISNUMBER(B2192)),"⚠ วันที่ไม่ถูกต้อง",IF(COUNTIFS(Setup!$L$6:$L$60,D2192,Setup!$M$6:$M$60,C2192)=0,"⚠ หมวดไม่ตรงประเภท","✓"))))</f>
        <v/>
      </c>
    </row>
    <row r="2193">
      <c r="B2193" s="113" t="n"/>
      <c r="C2193" s="114" t="n"/>
      <c r="D2193" s="115" t="n"/>
      <c r="E2193" s="116" t="n"/>
      <c r="F2193" s="115" t="n"/>
      <c r="G2193" s="117">
        <f>IF(COUNTA(B2193:E2193)=0,"",IF(COUNTA(B2193:E2193)&lt;4,"⚠ กรอกไม่ครบ",IF(NOT(ISNUMBER(B2193)),"⚠ วันที่ไม่ถูกต้อง",IF(COUNTIFS(Setup!$L$6:$L$60,D2193,Setup!$M$6:$M$60,C2193)=0,"⚠ หมวดไม่ตรงประเภท","✓"))))</f>
        <v/>
      </c>
    </row>
    <row r="2194">
      <c r="B2194" s="113" t="n"/>
      <c r="C2194" s="114" t="n"/>
      <c r="D2194" s="115" t="n"/>
      <c r="E2194" s="116" t="n"/>
      <c r="F2194" s="115" t="n"/>
      <c r="G2194" s="117">
        <f>IF(COUNTA(B2194:E2194)=0,"",IF(COUNTA(B2194:E2194)&lt;4,"⚠ กรอกไม่ครบ",IF(NOT(ISNUMBER(B2194)),"⚠ วันที่ไม่ถูกต้อง",IF(COUNTIFS(Setup!$L$6:$L$60,D2194,Setup!$M$6:$M$60,C2194)=0,"⚠ หมวดไม่ตรงประเภท","✓"))))</f>
        <v/>
      </c>
    </row>
    <row r="2195">
      <c r="B2195" s="113" t="n"/>
      <c r="C2195" s="114" t="n"/>
      <c r="D2195" s="115" t="n"/>
      <c r="E2195" s="116" t="n"/>
      <c r="F2195" s="115" t="n"/>
      <c r="G2195" s="117">
        <f>IF(COUNTA(B2195:E2195)=0,"",IF(COUNTA(B2195:E2195)&lt;4,"⚠ กรอกไม่ครบ",IF(NOT(ISNUMBER(B2195)),"⚠ วันที่ไม่ถูกต้อง",IF(COUNTIFS(Setup!$L$6:$L$60,D2195,Setup!$M$6:$M$60,C2195)=0,"⚠ หมวดไม่ตรงประเภท","✓"))))</f>
        <v/>
      </c>
    </row>
    <row r="2196">
      <c r="B2196" s="113" t="n"/>
      <c r="C2196" s="114" t="n"/>
      <c r="D2196" s="115" t="n"/>
      <c r="E2196" s="116" t="n"/>
      <c r="F2196" s="115" t="n"/>
      <c r="G2196" s="117">
        <f>IF(COUNTA(B2196:E2196)=0,"",IF(COUNTA(B2196:E2196)&lt;4,"⚠ กรอกไม่ครบ",IF(NOT(ISNUMBER(B2196)),"⚠ วันที่ไม่ถูกต้อง",IF(COUNTIFS(Setup!$L$6:$L$60,D2196,Setup!$M$6:$M$60,C2196)=0,"⚠ หมวดไม่ตรงประเภท","✓"))))</f>
        <v/>
      </c>
    </row>
    <row r="2197">
      <c r="B2197" s="113" t="n"/>
      <c r="C2197" s="114" t="n"/>
      <c r="D2197" s="115" t="n"/>
      <c r="E2197" s="116" t="n"/>
      <c r="F2197" s="115" t="n"/>
      <c r="G2197" s="117">
        <f>IF(COUNTA(B2197:E2197)=0,"",IF(COUNTA(B2197:E2197)&lt;4,"⚠ กรอกไม่ครบ",IF(NOT(ISNUMBER(B2197)),"⚠ วันที่ไม่ถูกต้อง",IF(COUNTIFS(Setup!$L$6:$L$60,D2197,Setup!$M$6:$M$60,C2197)=0,"⚠ หมวดไม่ตรงประเภท","✓"))))</f>
        <v/>
      </c>
    </row>
    <row r="2198">
      <c r="B2198" s="113" t="n"/>
      <c r="C2198" s="114" t="n"/>
      <c r="D2198" s="115" t="n"/>
      <c r="E2198" s="116" t="n"/>
      <c r="F2198" s="115" t="n"/>
      <c r="G2198" s="117">
        <f>IF(COUNTA(B2198:E2198)=0,"",IF(COUNTA(B2198:E2198)&lt;4,"⚠ กรอกไม่ครบ",IF(NOT(ISNUMBER(B2198)),"⚠ วันที่ไม่ถูกต้อง",IF(COUNTIFS(Setup!$L$6:$L$60,D2198,Setup!$M$6:$M$60,C2198)=0,"⚠ หมวดไม่ตรงประเภท","✓"))))</f>
        <v/>
      </c>
    </row>
    <row r="2199">
      <c r="B2199" s="113" t="n"/>
      <c r="C2199" s="114" t="n"/>
      <c r="D2199" s="115" t="n"/>
      <c r="E2199" s="116" t="n"/>
      <c r="F2199" s="115" t="n"/>
      <c r="G2199" s="117">
        <f>IF(COUNTA(B2199:E2199)=0,"",IF(COUNTA(B2199:E2199)&lt;4,"⚠ กรอกไม่ครบ",IF(NOT(ISNUMBER(B2199)),"⚠ วันที่ไม่ถูกต้อง",IF(COUNTIFS(Setup!$L$6:$L$60,D2199,Setup!$M$6:$M$60,C2199)=0,"⚠ หมวดไม่ตรงประเภท","✓"))))</f>
        <v/>
      </c>
    </row>
    <row r="2200">
      <c r="B2200" s="113" t="n"/>
      <c r="C2200" s="114" t="n"/>
      <c r="D2200" s="115" t="n"/>
      <c r="E2200" s="116" t="n"/>
      <c r="F2200" s="115" t="n"/>
      <c r="G2200" s="117">
        <f>IF(COUNTA(B2200:E2200)=0,"",IF(COUNTA(B2200:E2200)&lt;4,"⚠ กรอกไม่ครบ",IF(NOT(ISNUMBER(B2200)),"⚠ วันที่ไม่ถูกต้อง",IF(COUNTIFS(Setup!$L$6:$L$60,D2200,Setup!$M$6:$M$60,C2200)=0,"⚠ หมวดไม่ตรงประเภท","✓"))))</f>
        <v/>
      </c>
    </row>
    <row r="2201">
      <c r="B2201" s="113" t="n"/>
      <c r="C2201" s="114" t="n"/>
      <c r="D2201" s="115" t="n"/>
      <c r="E2201" s="116" t="n"/>
      <c r="F2201" s="115" t="n"/>
      <c r="G2201" s="117">
        <f>IF(COUNTA(B2201:E2201)=0,"",IF(COUNTA(B2201:E2201)&lt;4,"⚠ กรอกไม่ครบ",IF(NOT(ISNUMBER(B2201)),"⚠ วันที่ไม่ถูกต้อง",IF(COUNTIFS(Setup!$L$6:$L$60,D2201,Setup!$M$6:$M$60,C2201)=0,"⚠ หมวดไม่ตรงประเภท","✓"))))</f>
        <v/>
      </c>
    </row>
    <row r="2202">
      <c r="B2202" s="113" t="n"/>
      <c r="C2202" s="114" t="n"/>
      <c r="D2202" s="115" t="n"/>
      <c r="E2202" s="116" t="n"/>
      <c r="F2202" s="115" t="n"/>
      <c r="G2202" s="117">
        <f>IF(COUNTA(B2202:E2202)=0,"",IF(COUNTA(B2202:E2202)&lt;4,"⚠ กรอกไม่ครบ",IF(NOT(ISNUMBER(B2202)),"⚠ วันที่ไม่ถูกต้อง",IF(COUNTIFS(Setup!$L$6:$L$60,D2202,Setup!$M$6:$M$60,C2202)=0,"⚠ หมวดไม่ตรงประเภท","✓"))))</f>
        <v/>
      </c>
    </row>
    <row r="2203">
      <c r="B2203" s="113" t="n"/>
      <c r="C2203" s="114" t="n"/>
      <c r="D2203" s="115" t="n"/>
      <c r="E2203" s="116" t="n"/>
      <c r="F2203" s="115" t="n"/>
      <c r="G2203" s="117">
        <f>IF(COUNTA(B2203:E2203)=0,"",IF(COUNTA(B2203:E2203)&lt;4,"⚠ กรอกไม่ครบ",IF(NOT(ISNUMBER(B2203)),"⚠ วันที่ไม่ถูกต้อง",IF(COUNTIFS(Setup!$L$6:$L$60,D2203,Setup!$M$6:$M$60,C2203)=0,"⚠ หมวดไม่ตรงประเภท","✓"))))</f>
        <v/>
      </c>
    </row>
    <row r="2204">
      <c r="B2204" s="113" t="n"/>
      <c r="C2204" s="114" t="n"/>
      <c r="D2204" s="115" t="n"/>
      <c r="E2204" s="116" t="n"/>
      <c r="F2204" s="115" t="n"/>
      <c r="G2204" s="117">
        <f>IF(COUNTA(B2204:E2204)=0,"",IF(COUNTA(B2204:E2204)&lt;4,"⚠ กรอกไม่ครบ",IF(NOT(ISNUMBER(B2204)),"⚠ วันที่ไม่ถูกต้อง",IF(COUNTIFS(Setup!$L$6:$L$60,D2204,Setup!$M$6:$M$60,C2204)=0,"⚠ หมวดไม่ตรงประเภท","✓"))))</f>
        <v/>
      </c>
    </row>
    <row r="2205">
      <c r="B2205" s="113" t="n"/>
      <c r="C2205" s="114" t="n"/>
      <c r="D2205" s="115" t="n"/>
      <c r="E2205" s="116" t="n"/>
      <c r="F2205" s="115" t="n"/>
      <c r="G2205" s="117">
        <f>IF(COUNTA(B2205:E2205)=0,"",IF(COUNTA(B2205:E2205)&lt;4,"⚠ กรอกไม่ครบ",IF(NOT(ISNUMBER(B2205)),"⚠ วันที่ไม่ถูกต้อง",IF(COUNTIFS(Setup!$L$6:$L$60,D2205,Setup!$M$6:$M$60,C2205)=0,"⚠ หมวดไม่ตรงประเภท","✓"))))</f>
        <v/>
      </c>
    </row>
    <row r="2206">
      <c r="B2206" s="113" t="n"/>
      <c r="C2206" s="114" t="n"/>
      <c r="D2206" s="115" t="n"/>
      <c r="E2206" s="116" t="n"/>
      <c r="F2206" s="115" t="n"/>
      <c r="G2206" s="117">
        <f>IF(COUNTA(B2206:E2206)=0,"",IF(COUNTA(B2206:E2206)&lt;4,"⚠ กรอกไม่ครบ",IF(NOT(ISNUMBER(B2206)),"⚠ วันที่ไม่ถูกต้อง",IF(COUNTIFS(Setup!$L$6:$L$60,D2206,Setup!$M$6:$M$60,C2206)=0,"⚠ หมวดไม่ตรงประเภท","✓"))))</f>
        <v/>
      </c>
    </row>
    <row r="2207">
      <c r="B2207" s="113" t="n"/>
      <c r="C2207" s="114" t="n"/>
      <c r="D2207" s="115" t="n"/>
      <c r="E2207" s="116" t="n"/>
      <c r="F2207" s="115" t="n"/>
      <c r="G2207" s="117">
        <f>IF(COUNTA(B2207:E2207)=0,"",IF(COUNTA(B2207:E2207)&lt;4,"⚠ กรอกไม่ครบ",IF(NOT(ISNUMBER(B2207)),"⚠ วันที่ไม่ถูกต้อง",IF(COUNTIFS(Setup!$L$6:$L$60,D2207,Setup!$M$6:$M$60,C2207)=0,"⚠ หมวดไม่ตรงประเภท","✓"))))</f>
        <v/>
      </c>
    </row>
    <row r="2208">
      <c r="B2208" s="113" t="n"/>
      <c r="C2208" s="114" t="n"/>
      <c r="D2208" s="115" t="n"/>
      <c r="E2208" s="116" t="n"/>
      <c r="F2208" s="115" t="n"/>
      <c r="G2208" s="117">
        <f>IF(COUNTA(B2208:E2208)=0,"",IF(COUNTA(B2208:E2208)&lt;4,"⚠ กรอกไม่ครบ",IF(NOT(ISNUMBER(B2208)),"⚠ วันที่ไม่ถูกต้อง",IF(COUNTIFS(Setup!$L$6:$L$60,D2208,Setup!$M$6:$M$60,C2208)=0,"⚠ หมวดไม่ตรงประเภท","✓"))))</f>
        <v/>
      </c>
    </row>
    <row r="2209">
      <c r="B2209" s="113" t="n"/>
      <c r="C2209" s="114" t="n"/>
      <c r="D2209" s="115" t="n"/>
      <c r="E2209" s="116" t="n"/>
      <c r="F2209" s="115" t="n"/>
      <c r="G2209" s="117">
        <f>IF(COUNTA(B2209:E2209)=0,"",IF(COUNTA(B2209:E2209)&lt;4,"⚠ กรอกไม่ครบ",IF(NOT(ISNUMBER(B2209)),"⚠ วันที่ไม่ถูกต้อง",IF(COUNTIFS(Setup!$L$6:$L$60,D2209,Setup!$M$6:$M$60,C2209)=0,"⚠ หมวดไม่ตรงประเภท","✓"))))</f>
        <v/>
      </c>
    </row>
    <row r="2210">
      <c r="B2210" s="113" t="n"/>
      <c r="C2210" s="114" t="n"/>
      <c r="D2210" s="115" t="n"/>
      <c r="E2210" s="116" t="n"/>
      <c r="F2210" s="115" t="n"/>
      <c r="G2210" s="117">
        <f>IF(COUNTA(B2210:E2210)=0,"",IF(COUNTA(B2210:E2210)&lt;4,"⚠ กรอกไม่ครบ",IF(NOT(ISNUMBER(B2210)),"⚠ วันที่ไม่ถูกต้อง",IF(COUNTIFS(Setup!$L$6:$L$60,D2210,Setup!$M$6:$M$60,C2210)=0,"⚠ หมวดไม่ตรงประเภท","✓"))))</f>
        <v/>
      </c>
    </row>
    <row r="2211">
      <c r="B2211" s="113" t="n"/>
      <c r="C2211" s="114" t="n"/>
      <c r="D2211" s="115" t="n"/>
      <c r="E2211" s="116" t="n"/>
      <c r="F2211" s="115" t="n"/>
      <c r="G2211" s="117">
        <f>IF(COUNTA(B2211:E2211)=0,"",IF(COUNTA(B2211:E2211)&lt;4,"⚠ กรอกไม่ครบ",IF(NOT(ISNUMBER(B2211)),"⚠ วันที่ไม่ถูกต้อง",IF(COUNTIFS(Setup!$L$6:$L$60,D2211,Setup!$M$6:$M$60,C2211)=0,"⚠ หมวดไม่ตรงประเภท","✓"))))</f>
        <v/>
      </c>
    </row>
    <row r="2212">
      <c r="B2212" s="113" t="n"/>
      <c r="C2212" s="114" t="n"/>
      <c r="D2212" s="115" t="n"/>
      <c r="E2212" s="116" t="n"/>
      <c r="F2212" s="115" t="n"/>
      <c r="G2212" s="117">
        <f>IF(COUNTA(B2212:E2212)=0,"",IF(COUNTA(B2212:E2212)&lt;4,"⚠ กรอกไม่ครบ",IF(NOT(ISNUMBER(B2212)),"⚠ วันที่ไม่ถูกต้อง",IF(COUNTIFS(Setup!$L$6:$L$60,D2212,Setup!$M$6:$M$60,C2212)=0,"⚠ หมวดไม่ตรงประเภท","✓"))))</f>
        <v/>
      </c>
    </row>
    <row r="2213">
      <c r="B2213" s="113" t="n"/>
      <c r="C2213" s="114" t="n"/>
      <c r="D2213" s="115" t="n"/>
      <c r="E2213" s="116" t="n"/>
      <c r="F2213" s="115" t="n"/>
      <c r="G2213" s="117">
        <f>IF(COUNTA(B2213:E2213)=0,"",IF(COUNTA(B2213:E2213)&lt;4,"⚠ กรอกไม่ครบ",IF(NOT(ISNUMBER(B2213)),"⚠ วันที่ไม่ถูกต้อง",IF(COUNTIFS(Setup!$L$6:$L$60,D2213,Setup!$M$6:$M$60,C2213)=0,"⚠ หมวดไม่ตรงประเภท","✓"))))</f>
        <v/>
      </c>
    </row>
    <row r="2214">
      <c r="B2214" s="113" t="n"/>
      <c r="C2214" s="114" t="n"/>
      <c r="D2214" s="115" t="n"/>
      <c r="E2214" s="116" t="n"/>
      <c r="F2214" s="115" t="n"/>
      <c r="G2214" s="117">
        <f>IF(COUNTA(B2214:E2214)=0,"",IF(COUNTA(B2214:E2214)&lt;4,"⚠ กรอกไม่ครบ",IF(NOT(ISNUMBER(B2214)),"⚠ วันที่ไม่ถูกต้อง",IF(COUNTIFS(Setup!$L$6:$L$60,D2214,Setup!$M$6:$M$60,C2214)=0,"⚠ หมวดไม่ตรงประเภท","✓"))))</f>
        <v/>
      </c>
    </row>
    <row r="2215">
      <c r="B2215" s="113" t="n"/>
      <c r="C2215" s="114" t="n"/>
      <c r="D2215" s="115" t="n"/>
      <c r="E2215" s="116" t="n"/>
      <c r="F2215" s="115" t="n"/>
      <c r="G2215" s="117">
        <f>IF(COUNTA(B2215:E2215)=0,"",IF(COUNTA(B2215:E2215)&lt;4,"⚠ กรอกไม่ครบ",IF(NOT(ISNUMBER(B2215)),"⚠ วันที่ไม่ถูกต้อง",IF(COUNTIFS(Setup!$L$6:$L$60,D2215,Setup!$M$6:$M$60,C2215)=0,"⚠ หมวดไม่ตรงประเภท","✓"))))</f>
        <v/>
      </c>
    </row>
    <row r="2216">
      <c r="B2216" s="113" t="n"/>
      <c r="C2216" s="114" t="n"/>
      <c r="D2216" s="115" t="n"/>
      <c r="E2216" s="116" t="n"/>
      <c r="F2216" s="115" t="n"/>
      <c r="G2216" s="117">
        <f>IF(COUNTA(B2216:E2216)=0,"",IF(COUNTA(B2216:E2216)&lt;4,"⚠ กรอกไม่ครบ",IF(NOT(ISNUMBER(B2216)),"⚠ วันที่ไม่ถูกต้อง",IF(COUNTIFS(Setup!$L$6:$L$60,D2216,Setup!$M$6:$M$60,C2216)=0,"⚠ หมวดไม่ตรงประเภท","✓"))))</f>
        <v/>
      </c>
    </row>
    <row r="2217">
      <c r="B2217" s="113" t="n"/>
      <c r="C2217" s="114" t="n"/>
      <c r="D2217" s="115" t="n"/>
      <c r="E2217" s="116" t="n"/>
      <c r="F2217" s="115" t="n"/>
      <c r="G2217" s="117">
        <f>IF(COUNTA(B2217:E2217)=0,"",IF(COUNTA(B2217:E2217)&lt;4,"⚠ กรอกไม่ครบ",IF(NOT(ISNUMBER(B2217)),"⚠ วันที่ไม่ถูกต้อง",IF(COUNTIFS(Setup!$L$6:$L$60,D2217,Setup!$M$6:$M$60,C2217)=0,"⚠ หมวดไม่ตรงประเภท","✓"))))</f>
        <v/>
      </c>
    </row>
    <row r="2218">
      <c r="B2218" s="113" t="n"/>
      <c r="C2218" s="114" t="n"/>
      <c r="D2218" s="115" t="n"/>
      <c r="E2218" s="116" t="n"/>
      <c r="F2218" s="115" t="n"/>
      <c r="G2218" s="117">
        <f>IF(COUNTA(B2218:E2218)=0,"",IF(COUNTA(B2218:E2218)&lt;4,"⚠ กรอกไม่ครบ",IF(NOT(ISNUMBER(B2218)),"⚠ วันที่ไม่ถูกต้อง",IF(COUNTIFS(Setup!$L$6:$L$60,D2218,Setup!$M$6:$M$60,C2218)=0,"⚠ หมวดไม่ตรงประเภท","✓"))))</f>
        <v/>
      </c>
    </row>
    <row r="2219">
      <c r="B2219" s="113" t="n"/>
      <c r="C2219" s="114" t="n"/>
      <c r="D2219" s="115" t="n"/>
      <c r="E2219" s="116" t="n"/>
      <c r="F2219" s="115" t="n"/>
      <c r="G2219" s="117">
        <f>IF(COUNTA(B2219:E2219)=0,"",IF(COUNTA(B2219:E2219)&lt;4,"⚠ กรอกไม่ครบ",IF(NOT(ISNUMBER(B2219)),"⚠ วันที่ไม่ถูกต้อง",IF(COUNTIFS(Setup!$L$6:$L$60,D2219,Setup!$M$6:$M$60,C2219)=0,"⚠ หมวดไม่ตรงประเภท","✓"))))</f>
        <v/>
      </c>
    </row>
    <row r="2220">
      <c r="B2220" s="113" t="n"/>
      <c r="C2220" s="114" t="n"/>
      <c r="D2220" s="115" t="n"/>
      <c r="E2220" s="116" t="n"/>
      <c r="F2220" s="115" t="n"/>
      <c r="G2220" s="117">
        <f>IF(COUNTA(B2220:E2220)=0,"",IF(COUNTA(B2220:E2220)&lt;4,"⚠ กรอกไม่ครบ",IF(NOT(ISNUMBER(B2220)),"⚠ วันที่ไม่ถูกต้อง",IF(COUNTIFS(Setup!$L$6:$L$60,D2220,Setup!$M$6:$M$60,C2220)=0,"⚠ หมวดไม่ตรงประเภท","✓"))))</f>
        <v/>
      </c>
    </row>
    <row r="2221">
      <c r="B2221" s="113" t="n"/>
      <c r="C2221" s="114" t="n"/>
      <c r="D2221" s="115" t="n"/>
      <c r="E2221" s="116" t="n"/>
      <c r="F2221" s="115" t="n"/>
      <c r="G2221" s="117">
        <f>IF(COUNTA(B2221:E2221)=0,"",IF(COUNTA(B2221:E2221)&lt;4,"⚠ กรอกไม่ครบ",IF(NOT(ISNUMBER(B2221)),"⚠ วันที่ไม่ถูกต้อง",IF(COUNTIFS(Setup!$L$6:$L$60,D2221,Setup!$M$6:$M$60,C2221)=0,"⚠ หมวดไม่ตรงประเภท","✓"))))</f>
        <v/>
      </c>
    </row>
    <row r="2222">
      <c r="B2222" s="113" t="n"/>
      <c r="C2222" s="114" t="n"/>
      <c r="D2222" s="115" t="n"/>
      <c r="E2222" s="116" t="n"/>
      <c r="F2222" s="115" t="n"/>
      <c r="G2222" s="117">
        <f>IF(COUNTA(B2222:E2222)=0,"",IF(COUNTA(B2222:E2222)&lt;4,"⚠ กรอกไม่ครบ",IF(NOT(ISNUMBER(B2222)),"⚠ วันที่ไม่ถูกต้อง",IF(COUNTIFS(Setup!$L$6:$L$60,D2222,Setup!$M$6:$M$60,C2222)=0,"⚠ หมวดไม่ตรงประเภท","✓"))))</f>
        <v/>
      </c>
    </row>
    <row r="2223">
      <c r="B2223" s="113" t="n"/>
      <c r="C2223" s="114" t="n"/>
      <c r="D2223" s="115" t="n"/>
      <c r="E2223" s="116" t="n"/>
      <c r="F2223" s="115" t="n"/>
      <c r="G2223" s="117">
        <f>IF(COUNTA(B2223:E2223)=0,"",IF(COUNTA(B2223:E2223)&lt;4,"⚠ กรอกไม่ครบ",IF(NOT(ISNUMBER(B2223)),"⚠ วันที่ไม่ถูกต้อง",IF(COUNTIFS(Setup!$L$6:$L$60,D2223,Setup!$M$6:$M$60,C2223)=0,"⚠ หมวดไม่ตรงประเภท","✓"))))</f>
        <v/>
      </c>
    </row>
    <row r="2224">
      <c r="B2224" s="113" t="n"/>
      <c r="C2224" s="114" t="n"/>
      <c r="D2224" s="115" t="n"/>
      <c r="E2224" s="116" t="n"/>
      <c r="F2224" s="115" t="n"/>
      <c r="G2224" s="117">
        <f>IF(COUNTA(B2224:E2224)=0,"",IF(COUNTA(B2224:E2224)&lt;4,"⚠ กรอกไม่ครบ",IF(NOT(ISNUMBER(B2224)),"⚠ วันที่ไม่ถูกต้อง",IF(COUNTIFS(Setup!$L$6:$L$60,D2224,Setup!$M$6:$M$60,C2224)=0,"⚠ หมวดไม่ตรงประเภท","✓"))))</f>
        <v/>
      </c>
    </row>
    <row r="2225">
      <c r="B2225" s="113" t="n"/>
      <c r="C2225" s="114" t="n"/>
      <c r="D2225" s="115" t="n"/>
      <c r="E2225" s="116" t="n"/>
      <c r="F2225" s="115" t="n"/>
      <c r="G2225" s="117">
        <f>IF(COUNTA(B2225:E2225)=0,"",IF(COUNTA(B2225:E2225)&lt;4,"⚠ กรอกไม่ครบ",IF(NOT(ISNUMBER(B2225)),"⚠ วันที่ไม่ถูกต้อง",IF(COUNTIFS(Setup!$L$6:$L$60,D2225,Setup!$M$6:$M$60,C2225)=0,"⚠ หมวดไม่ตรงประเภท","✓"))))</f>
        <v/>
      </c>
    </row>
    <row r="2226">
      <c r="B2226" s="113" t="n"/>
      <c r="C2226" s="114" t="n"/>
      <c r="D2226" s="115" t="n"/>
      <c r="E2226" s="116" t="n"/>
      <c r="F2226" s="115" t="n"/>
      <c r="G2226" s="117">
        <f>IF(COUNTA(B2226:E2226)=0,"",IF(COUNTA(B2226:E2226)&lt;4,"⚠ กรอกไม่ครบ",IF(NOT(ISNUMBER(B2226)),"⚠ วันที่ไม่ถูกต้อง",IF(COUNTIFS(Setup!$L$6:$L$60,D2226,Setup!$M$6:$M$60,C2226)=0,"⚠ หมวดไม่ตรงประเภท","✓"))))</f>
        <v/>
      </c>
    </row>
    <row r="2227">
      <c r="B2227" s="113" t="n"/>
      <c r="C2227" s="114" t="n"/>
      <c r="D2227" s="115" t="n"/>
      <c r="E2227" s="116" t="n"/>
      <c r="F2227" s="115" t="n"/>
      <c r="G2227" s="117">
        <f>IF(COUNTA(B2227:E2227)=0,"",IF(COUNTA(B2227:E2227)&lt;4,"⚠ กรอกไม่ครบ",IF(NOT(ISNUMBER(B2227)),"⚠ วันที่ไม่ถูกต้อง",IF(COUNTIFS(Setup!$L$6:$L$60,D2227,Setup!$M$6:$M$60,C2227)=0,"⚠ หมวดไม่ตรงประเภท","✓"))))</f>
        <v/>
      </c>
    </row>
    <row r="2228">
      <c r="B2228" s="113" t="n"/>
      <c r="C2228" s="114" t="n"/>
      <c r="D2228" s="115" t="n"/>
      <c r="E2228" s="116" t="n"/>
      <c r="F2228" s="115" t="n"/>
      <c r="G2228" s="117">
        <f>IF(COUNTA(B2228:E2228)=0,"",IF(COUNTA(B2228:E2228)&lt;4,"⚠ กรอกไม่ครบ",IF(NOT(ISNUMBER(B2228)),"⚠ วันที่ไม่ถูกต้อง",IF(COUNTIFS(Setup!$L$6:$L$60,D2228,Setup!$M$6:$M$60,C2228)=0,"⚠ หมวดไม่ตรงประเภท","✓"))))</f>
        <v/>
      </c>
    </row>
    <row r="2229">
      <c r="B2229" s="113" t="n"/>
      <c r="C2229" s="114" t="n"/>
      <c r="D2229" s="115" t="n"/>
      <c r="E2229" s="116" t="n"/>
      <c r="F2229" s="115" t="n"/>
      <c r="G2229" s="117">
        <f>IF(COUNTA(B2229:E2229)=0,"",IF(COUNTA(B2229:E2229)&lt;4,"⚠ กรอกไม่ครบ",IF(NOT(ISNUMBER(B2229)),"⚠ วันที่ไม่ถูกต้อง",IF(COUNTIFS(Setup!$L$6:$L$60,D2229,Setup!$M$6:$M$60,C2229)=0,"⚠ หมวดไม่ตรงประเภท","✓"))))</f>
        <v/>
      </c>
    </row>
    <row r="2230">
      <c r="B2230" s="113" t="n"/>
      <c r="C2230" s="114" t="n"/>
      <c r="D2230" s="115" t="n"/>
      <c r="E2230" s="116" t="n"/>
      <c r="F2230" s="115" t="n"/>
      <c r="G2230" s="117">
        <f>IF(COUNTA(B2230:E2230)=0,"",IF(COUNTA(B2230:E2230)&lt;4,"⚠ กรอกไม่ครบ",IF(NOT(ISNUMBER(B2230)),"⚠ วันที่ไม่ถูกต้อง",IF(COUNTIFS(Setup!$L$6:$L$60,D2230,Setup!$M$6:$M$60,C2230)=0,"⚠ หมวดไม่ตรงประเภท","✓"))))</f>
        <v/>
      </c>
    </row>
    <row r="2231">
      <c r="B2231" s="113" t="n"/>
      <c r="C2231" s="114" t="n"/>
      <c r="D2231" s="115" t="n"/>
      <c r="E2231" s="116" t="n"/>
      <c r="F2231" s="115" t="n"/>
      <c r="G2231" s="117">
        <f>IF(COUNTA(B2231:E2231)=0,"",IF(COUNTA(B2231:E2231)&lt;4,"⚠ กรอกไม่ครบ",IF(NOT(ISNUMBER(B2231)),"⚠ วันที่ไม่ถูกต้อง",IF(COUNTIFS(Setup!$L$6:$L$60,D2231,Setup!$M$6:$M$60,C2231)=0,"⚠ หมวดไม่ตรงประเภท","✓"))))</f>
        <v/>
      </c>
    </row>
    <row r="2232">
      <c r="B2232" s="113" t="n"/>
      <c r="C2232" s="114" t="n"/>
      <c r="D2232" s="115" t="n"/>
      <c r="E2232" s="116" t="n"/>
      <c r="F2232" s="115" t="n"/>
      <c r="G2232" s="117">
        <f>IF(COUNTA(B2232:E2232)=0,"",IF(COUNTA(B2232:E2232)&lt;4,"⚠ กรอกไม่ครบ",IF(NOT(ISNUMBER(B2232)),"⚠ วันที่ไม่ถูกต้อง",IF(COUNTIFS(Setup!$L$6:$L$60,D2232,Setup!$M$6:$M$60,C2232)=0,"⚠ หมวดไม่ตรงประเภท","✓"))))</f>
        <v/>
      </c>
    </row>
    <row r="2233">
      <c r="B2233" s="113" t="n"/>
      <c r="C2233" s="114" t="n"/>
      <c r="D2233" s="115" t="n"/>
      <c r="E2233" s="116" t="n"/>
      <c r="F2233" s="115" t="n"/>
      <c r="G2233" s="117">
        <f>IF(COUNTA(B2233:E2233)=0,"",IF(COUNTA(B2233:E2233)&lt;4,"⚠ กรอกไม่ครบ",IF(NOT(ISNUMBER(B2233)),"⚠ วันที่ไม่ถูกต้อง",IF(COUNTIFS(Setup!$L$6:$L$60,D2233,Setup!$M$6:$M$60,C2233)=0,"⚠ หมวดไม่ตรงประเภท","✓"))))</f>
        <v/>
      </c>
    </row>
    <row r="2234">
      <c r="B2234" s="113" t="n"/>
      <c r="C2234" s="114" t="n"/>
      <c r="D2234" s="115" t="n"/>
      <c r="E2234" s="116" t="n"/>
      <c r="F2234" s="115" t="n"/>
      <c r="G2234" s="117">
        <f>IF(COUNTA(B2234:E2234)=0,"",IF(COUNTA(B2234:E2234)&lt;4,"⚠ กรอกไม่ครบ",IF(NOT(ISNUMBER(B2234)),"⚠ วันที่ไม่ถูกต้อง",IF(COUNTIFS(Setup!$L$6:$L$60,D2234,Setup!$M$6:$M$60,C2234)=0,"⚠ หมวดไม่ตรงประเภท","✓"))))</f>
        <v/>
      </c>
    </row>
    <row r="2235">
      <c r="B2235" s="113" t="n"/>
      <c r="C2235" s="114" t="n"/>
      <c r="D2235" s="115" t="n"/>
      <c r="E2235" s="116" t="n"/>
      <c r="F2235" s="115" t="n"/>
      <c r="G2235" s="117">
        <f>IF(COUNTA(B2235:E2235)=0,"",IF(COUNTA(B2235:E2235)&lt;4,"⚠ กรอกไม่ครบ",IF(NOT(ISNUMBER(B2235)),"⚠ วันที่ไม่ถูกต้อง",IF(COUNTIFS(Setup!$L$6:$L$60,D2235,Setup!$M$6:$M$60,C2235)=0,"⚠ หมวดไม่ตรงประเภท","✓"))))</f>
        <v/>
      </c>
    </row>
    <row r="2236">
      <c r="B2236" s="113" t="n"/>
      <c r="C2236" s="114" t="n"/>
      <c r="D2236" s="115" t="n"/>
      <c r="E2236" s="116" t="n"/>
      <c r="F2236" s="115" t="n"/>
      <c r="G2236" s="117">
        <f>IF(COUNTA(B2236:E2236)=0,"",IF(COUNTA(B2236:E2236)&lt;4,"⚠ กรอกไม่ครบ",IF(NOT(ISNUMBER(B2236)),"⚠ วันที่ไม่ถูกต้อง",IF(COUNTIFS(Setup!$L$6:$L$60,D2236,Setup!$M$6:$M$60,C2236)=0,"⚠ หมวดไม่ตรงประเภท","✓"))))</f>
        <v/>
      </c>
    </row>
    <row r="2237">
      <c r="B2237" s="113" t="n"/>
      <c r="C2237" s="114" t="n"/>
      <c r="D2237" s="115" t="n"/>
      <c r="E2237" s="116" t="n"/>
      <c r="F2237" s="115" t="n"/>
      <c r="G2237" s="117">
        <f>IF(COUNTA(B2237:E2237)=0,"",IF(COUNTA(B2237:E2237)&lt;4,"⚠ กรอกไม่ครบ",IF(NOT(ISNUMBER(B2237)),"⚠ วันที่ไม่ถูกต้อง",IF(COUNTIFS(Setup!$L$6:$L$60,D2237,Setup!$M$6:$M$60,C2237)=0,"⚠ หมวดไม่ตรงประเภท","✓"))))</f>
        <v/>
      </c>
    </row>
    <row r="2238">
      <c r="B2238" s="113" t="n"/>
      <c r="C2238" s="114" t="n"/>
      <c r="D2238" s="115" t="n"/>
      <c r="E2238" s="116" t="n"/>
      <c r="F2238" s="115" t="n"/>
      <c r="G2238" s="117">
        <f>IF(COUNTA(B2238:E2238)=0,"",IF(COUNTA(B2238:E2238)&lt;4,"⚠ กรอกไม่ครบ",IF(NOT(ISNUMBER(B2238)),"⚠ วันที่ไม่ถูกต้อง",IF(COUNTIFS(Setup!$L$6:$L$60,D2238,Setup!$M$6:$M$60,C2238)=0,"⚠ หมวดไม่ตรงประเภท","✓"))))</f>
        <v/>
      </c>
    </row>
    <row r="2239">
      <c r="B2239" s="113" t="n"/>
      <c r="C2239" s="114" t="n"/>
      <c r="D2239" s="115" t="n"/>
      <c r="E2239" s="116" t="n"/>
      <c r="F2239" s="115" t="n"/>
      <c r="G2239" s="117">
        <f>IF(COUNTA(B2239:E2239)=0,"",IF(COUNTA(B2239:E2239)&lt;4,"⚠ กรอกไม่ครบ",IF(NOT(ISNUMBER(B2239)),"⚠ วันที่ไม่ถูกต้อง",IF(COUNTIFS(Setup!$L$6:$L$60,D2239,Setup!$M$6:$M$60,C2239)=0,"⚠ หมวดไม่ตรงประเภท","✓"))))</f>
        <v/>
      </c>
    </row>
    <row r="2240">
      <c r="B2240" s="113" t="n"/>
      <c r="C2240" s="114" t="n"/>
      <c r="D2240" s="115" t="n"/>
      <c r="E2240" s="116" t="n"/>
      <c r="F2240" s="115" t="n"/>
      <c r="G2240" s="117">
        <f>IF(COUNTA(B2240:E2240)=0,"",IF(COUNTA(B2240:E2240)&lt;4,"⚠ กรอกไม่ครบ",IF(NOT(ISNUMBER(B2240)),"⚠ วันที่ไม่ถูกต้อง",IF(COUNTIFS(Setup!$L$6:$L$60,D2240,Setup!$M$6:$M$60,C2240)=0,"⚠ หมวดไม่ตรงประเภท","✓"))))</f>
        <v/>
      </c>
    </row>
    <row r="2241">
      <c r="B2241" s="113" t="n"/>
      <c r="C2241" s="114" t="n"/>
      <c r="D2241" s="115" t="n"/>
      <c r="E2241" s="116" t="n"/>
      <c r="F2241" s="115" t="n"/>
      <c r="G2241" s="117">
        <f>IF(COUNTA(B2241:E2241)=0,"",IF(COUNTA(B2241:E2241)&lt;4,"⚠ กรอกไม่ครบ",IF(NOT(ISNUMBER(B2241)),"⚠ วันที่ไม่ถูกต้อง",IF(COUNTIFS(Setup!$L$6:$L$60,D2241,Setup!$M$6:$M$60,C2241)=0,"⚠ หมวดไม่ตรงประเภท","✓"))))</f>
        <v/>
      </c>
    </row>
    <row r="2242">
      <c r="B2242" s="113" t="n"/>
      <c r="C2242" s="114" t="n"/>
      <c r="D2242" s="115" t="n"/>
      <c r="E2242" s="116" t="n"/>
      <c r="F2242" s="115" t="n"/>
      <c r="G2242" s="117">
        <f>IF(COUNTA(B2242:E2242)=0,"",IF(COUNTA(B2242:E2242)&lt;4,"⚠ กรอกไม่ครบ",IF(NOT(ISNUMBER(B2242)),"⚠ วันที่ไม่ถูกต้อง",IF(COUNTIFS(Setup!$L$6:$L$60,D2242,Setup!$M$6:$M$60,C2242)=0,"⚠ หมวดไม่ตรงประเภท","✓"))))</f>
        <v/>
      </c>
    </row>
    <row r="2243">
      <c r="B2243" s="113" t="n"/>
      <c r="C2243" s="114" t="n"/>
      <c r="D2243" s="115" t="n"/>
      <c r="E2243" s="116" t="n"/>
      <c r="F2243" s="115" t="n"/>
      <c r="G2243" s="117">
        <f>IF(COUNTA(B2243:E2243)=0,"",IF(COUNTA(B2243:E2243)&lt;4,"⚠ กรอกไม่ครบ",IF(NOT(ISNUMBER(B2243)),"⚠ วันที่ไม่ถูกต้อง",IF(COUNTIFS(Setup!$L$6:$L$60,D2243,Setup!$M$6:$M$60,C2243)=0,"⚠ หมวดไม่ตรงประเภท","✓"))))</f>
        <v/>
      </c>
    </row>
    <row r="2244">
      <c r="B2244" s="113" t="n"/>
      <c r="C2244" s="114" t="n"/>
      <c r="D2244" s="115" t="n"/>
      <c r="E2244" s="116" t="n"/>
      <c r="F2244" s="115" t="n"/>
      <c r="G2244" s="117">
        <f>IF(COUNTA(B2244:E2244)=0,"",IF(COUNTA(B2244:E2244)&lt;4,"⚠ กรอกไม่ครบ",IF(NOT(ISNUMBER(B2244)),"⚠ วันที่ไม่ถูกต้อง",IF(COUNTIFS(Setup!$L$6:$L$60,D2244,Setup!$M$6:$M$60,C2244)=0,"⚠ หมวดไม่ตรงประเภท","✓"))))</f>
        <v/>
      </c>
    </row>
    <row r="2245">
      <c r="B2245" s="113" t="n"/>
      <c r="C2245" s="114" t="n"/>
      <c r="D2245" s="115" t="n"/>
      <c r="E2245" s="116" t="n"/>
      <c r="F2245" s="115" t="n"/>
      <c r="G2245" s="117">
        <f>IF(COUNTA(B2245:E2245)=0,"",IF(COUNTA(B2245:E2245)&lt;4,"⚠ กรอกไม่ครบ",IF(NOT(ISNUMBER(B2245)),"⚠ วันที่ไม่ถูกต้อง",IF(COUNTIFS(Setup!$L$6:$L$60,D2245,Setup!$M$6:$M$60,C2245)=0,"⚠ หมวดไม่ตรงประเภท","✓"))))</f>
        <v/>
      </c>
    </row>
    <row r="2246">
      <c r="B2246" s="113" t="n"/>
      <c r="C2246" s="114" t="n"/>
      <c r="D2246" s="115" t="n"/>
      <c r="E2246" s="116" t="n"/>
      <c r="F2246" s="115" t="n"/>
      <c r="G2246" s="117">
        <f>IF(COUNTA(B2246:E2246)=0,"",IF(COUNTA(B2246:E2246)&lt;4,"⚠ กรอกไม่ครบ",IF(NOT(ISNUMBER(B2246)),"⚠ วันที่ไม่ถูกต้อง",IF(COUNTIFS(Setup!$L$6:$L$60,D2246,Setup!$M$6:$M$60,C2246)=0,"⚠ หมวดไม่ตรงประเภท","✓"))))</f>
        <v/>
      </c>
    </row>
    <row r="2247">
      <c r="B2247" s="113" t="n"/>
      <c r="C2247" s="114" t="n"/>
      <c r="D2247" s="115" t="n"/>
      <c r="E2247" s="116" t="n"/>
      <c r="F2247" s="115" t="n"/>
      <c r="G2247" s="117">
        <f>IF(COUNTA(B2247:E2247)=0,"",IF(COUNTA(B2247:E2247)&lt;4,"⚠ กรอกไม่ครบ",IF(NOT(ISNUMBER(B2247)),"⚠ วันที่ไม่ถูกต้อง",IF(COUNTIFS(Setup!$L$6:$L$60,D2247,Setup!$M$6:$M$60,C2247)=0,"⚠ หมวดไม่ตรงประเภท","✓"))))</f>
        <v/>
      </c>
    </row>
    <row r="2248">
      <c r="B2248" s="113" t="n"/>
      <c r="C2248" s="114" t="n"/>
      <c r="D2248" s="115" t="n"/>
      <c r="E2248" s="116" t="n"/>
      <c r="F2248" s="115" t="n"/>
      <c r="G2248" s="117">
        <f>IF(COUNTA(B2248:E2248)=0,"",IF(COUNTA(B2248:E2248)&lt;4,"⚠ กรอกไม่ครบ",IF(NOT(ISNUMBER(B2248)),"⚠ วันที่ไม่ถูกต้อง",IF(COUNTIFS(Setup!$L$6:$L$60,D2248,Setup!$M$6:$M$60,C2248)=0,"⚠ หมวดไม่ตรงประเภท","✓"))))</f>
        <v/>
      </c>
    </row>
    <row r="2249">
      <c r="B2249" s="113" t="n"/>
      <c r="C2249" s="114" t="n"/>
      <c r="D2249" s="115" t="n"/>
      <c r="E2249" s="116" t="n"/>
      <c r="F2249" s="115" t="n"/>
      <c r="G2249" s="117">
        <f>IF(COUNTA(B2249:E2249)=0,"",IF(COUNTA(B2249:E2249)&lt;4,"⚠ กรอกไม่ครบ",IF(NOT(ISNUMBER(B2249)),"⚠ วันที่ไม่ถูกต้อง",IF(COUNTIFS(Setup!$L$6:$L$60,D2249,Setup!$M$6:$M$60,C2249)=0,"⚠ หมวดไม่ตรงประเภท","✓"))))</f>
        <v/>
      </c>
    </row>
    <row r="2250">
      <c r="B2250" s="113" t="n"/>
      <c r="C2250" s="114" t="n"/>
      <c r="D2250" s="115" t="n"/>
      <c r="E2250" s="116" t="n"/>
      <c r="F2250" s="115" t="n"/>
      <c r="G2250" s="117">
        <f>IF(COUNTA(B2250:E2250)=0,"",IF(COUNTA(B2250:E2250)&lt;4,"⚠ กรอกไม่ครบ",IF(NOT(ISNUMBER(B2250)),"⚠ วันที่ไม่ถูกต้อง",IF(COUNTIFS(Setup!$L$6:$L$60,D2250,Setup!$M$6:$M$60,C2250)=0,"⚠ หมวดไม่ตรงประเภท","✓"))))</f>
        <v/>
      </c>
    </row>
    <row r="2251">
      <c r="B2251" s="113" t="n"/>
      <c r="C2251" s="114" t="n"/>
      <c r="D2251" s="115" t="n"/>
      <c r="E2251" s="116" t="n"/>
      <c r="F2251" s="115" t="n"/>
      <c r="G2251" s="117">
        <f>IF(COUNTA(B2251:E2251)=0,"",IF(COUNTA(B2251:E2251)&lt;4,"⚠ กรอกไม่ครบ",IF(NOT(ISNUMBER(B2251)),"⚠ วันที่ไม่ถูกต้อง",IF(COUNTIFS(Setup!$L$6:$L$60,D2251,Setup!$M$6:$M$60,C2251)=0,"⚠ หมวดไม่ตรงประเภท","✓"))))</f>
        <v/>
      </c>
    </row>
    <row r="2252">
      <c r="B2252" s="113" t="n"/>
      <c r="C2252" s="114" t="n"/>
      <c r="D2252" s="115" t="n"/>
      <c r="E2252" s="116" t="n"/>
      <c r="F2252" s="115" t="n"/>
      <c r="G2252" s="117">
        <f>IF(COUNTA(B2252:E2252)=0,"",IF(COUNTA(B2252:E2252)&lt;4,"⚠ กรอกไม่ครบ",IF(NOT(ISNUMBER(B2252)),"⚠ วันที่ไม่ถูกต้อง",IF(COUNTIFS(Setup!$L$6:$L$60,D2252,Setup!$M$6:$M$60,C2252)=0,"⚠ หมวดไม่ตรงประเภท","✓"))))</f>
        <v/>
      </c>
    </row>
    <row r="2253">
      <c r="B2253" s="113" t="n"/>
      <c r="C2253" s="114" t="n"/>
      <c r="D2253" s="115" t="n"/>
      <c r="E2253" s="116" t="n"/>
      <c r="F2253" s="115" t="n"/>
      <c r="G2253" s="117">
        <f>IF(COUNTA(B2253:E2253)=0,"",IF(COUNTA(B2253:E2253)&lt;4,"⚠ กรอกไม่ครบ",IF(NOT(ISNUMBER(B2253)),"⚠ วันที่ไม่ถูกต้อง",IF(COUNTIFS(Setup!$L$6:$L$60,D2253,Setup!$M$6:$M$60,C2253)=0,"⚠ หมวดไม่ตรงประเภท","✓"))))</f>
        <v/>
      </c>
    </row>
    <row r="2254">
      <c r="B2254" s="113" t="n"/>
      <c r="C2254" s="114" t="n"/>
      <c r="D2254" s="115" t="n"/>
      <c r="E2254" s="116" t="n"/>
      <c r="F2254" s="115" t="n"/>
      <c r="G2254" s="117">
        <f>IF(COUNTA(B2254:E2254)=0,"",IF(COUNTA(B2254:E2254)&lt;4,"⚠ กรอกไม่ครบ",IF(NOT(ISNUMBER(B2254)),"⚠ วันที่ไม่ถูกต้อง",IF(COUNTIFS(Setup!$L$6:$L$60,D2254,Setup!$M$6:$M$60,C2254)=0,"⚠ หมวดไม่ตรงประเภท","✓"))))</f>
        <v/>
      </c>
    </row>
    <row r="2255">
      <c r="B2255" s="113" t="n"/>
      <c r="C2255" s="114" t="n"/>
      <c r="D2255" s="115" t="n"/>
      <c r="E2255" s="116" t="n"/>
      <c r="F2255" s="115" t="n"/>
      <c r="G2255" s="117">
        <f>IF(COUNTA(B2255:E2255)=0,"",IF(COUNTA(B2255:E2255)&lt;4,"⚠ กรอกไม่ครบ",IF(NOT(ISNUMBER(B2255)),"⚠ วันที่ไม่ถูกต้อง",IF(COUNTIFS(Setup!$L$6:$L$60,D2255,Setup!$M$6:$M$60,C2255)=0,"⚠ หมวดไม่ตรงประเภท","✓"))))</f>
        <v/>
      </c>
    </row>
    <row r="2256">
      <c r="B2256" s="113" t="n"/>
      <c r="C2256" s="114" t="n"/>
      <c r="D2256" s="115" t="n"/>
      <c r="E2256" s="116" t="n"/>
      <c r="F2256" s="115" t="n"/>
      <c r="G2256" s="117">
        <f>IF(COUNTA(B2256:E2256)=0,"",IF(COUNTA(B2256:E2256)&lt;4,"⚠ กรอกไม่ครบ",IF(NOT(ISNUMBER(B2256)),"⚠ วันที่ไม่ถูกต้อง",IF(COUNTIFS(Setup!$L$6:$L$60,D2256,Setup!$M$6:$M$60,C2256)=0,"⚠ หมวดไม่ตรงประเภท","✓"))))</f>
        <v/>
      </c>
    </row>
    <row r="2257">
      <c r="B2257" s="113" t="n"/>
      <c r="C2257" s="114" t="n"/>
      <c r="D2257" s="115" t="n"/>
      <c r="E2257" s="116" t="n"/>
      <c r="F2257" s="115" t="n"/>
      <c r="G2257" s="117">
        <f>IF(COUNTA(B2257:E2257)=0,"",IF(COUNTA(B2257:E2257)&lt;4,"⚠ กรอกไม่ครบ",IF(NOT(ISNUMBER(B2257)),"⚠ วันที่ไม่ถูกต้อง",IF(COUNTIFS(Setup!$L$6:$L$60,D2257,Setup!$M$6:$M$60,C2257)=0,"⚠ หมวดไม่ตรงประเภท","✓"))))</f>
        <v/>
      </c>
    </row>
    <row r="2258">
      <c r="B2258" s="113" t="n"/>
      <c r="C2258" s="114" t="n"/>
      <c r="D2258" s="115" t="n"/>
      <c r="E2258" s="116" t="n"/>
      <c r="F2258" s="115" t="n"/>
      <c r="G2258" s="117">
        <f>IF(COUNTA(B2258:E2258)=0,"",IF(COUNTA(B2258:E2258)&lt;4,"⚠ กรอกไม่ครบ",IF(NOT(ISNUMBER(B2258)),"⚠ วันที่ไม่ถูกต้อง",IF(COUNTIFS(Setup!$L$6:$L$60,D2258,Setup!$M$6:$M$60,C2258)=0,"⚠ หมวดไม่ตรงประเภท","✓"))))</f>
        <v/>
      </c>
    </row>
    <row r="2259">
      <c r="B2259" s="113" t="n"/>
      <c r="C2259" s="114" t="n"/>
      <c r="D2259" s="115" t="n"/>
      <c r="E2259" s="116" t="n"/>
      <c r="F2259" s="115" t="n"/>
      <c r="G2259" s="117">
        <f>IF(COUNTA(B2259:E2259)=0,"",IF(COUNTA(B2259:E2259)&lt;4,"⚠ กรอกไม่ครบ",IF(NOT(ISNUMBER(B2259)),"⚠ วันที่ไม่ถูกต้อง",IF(COUNTIFS(Setup!$L$6:$L$60,D2259,Setup!$M$6:$M$60,C2259)=0,"⚠ หมวดไม่ตรงประเภท","✓"))))</f>
        <v/>
      </c>
    </row>
    <row r="2260">
      <c r="B2260" s="113" t="n"/>
      <c r="C2260" s="114" t="n"/>
      <c r="D2260" s="115" t="n"/>
      <c r="E2260" s="116" t="n"/>
      <c r="F2260" s="115" t="n"/>
      <c r="G2260" s="117">
        <f>IF(COUNTA(B2260:E2260)=0,"",IF(COUNTA(B2260:E2260)&lt;4,"⚠ กรอกไม่ครบ",IF(NOT(ISNUMBER(B2260)),"⚠ วันที่ไม่ถูกต้อง",IF(COUNTIFS(Setup!$L$6:$L$60,D2260,Setup!$M$6:$M$60,C2260)=0,"⚠ หมวดไม่ตรงประเภท","✓"))))</f>
        <v/>
      </c>
    </row>
    <row r="2261">
      <c r="B2261" s="113" t="n"/>
      <c r="C2261" s="114" t="n"/>
      <c r="D2261" s="115" t="n"/>
      <c r="E2261" s="116" t="n"/>
      <c r="F2261" s="115" t="n"/>
      <c r="G2261" s="117">
        <f>IF(COUNTA(B2261:E2261)=0,"",IF(COUNTA(B2261:E2261)&lt;4,"⚠ กรอกไม่ครบ",IF(NOT(ISNUMBER(B2261)),"⚠ วันที่ไม่ถูกต้อง",IF(COUNTIFS(Setup!$L$6:$L$60,D2261,Setup!$M$6:$M$60,C2261)=0,"⚠ หมวดไม่ตรงประเภท","✓"))))</f>
        <v/>
      </c>
    </row>
    <row r="2262">
      <c r="B2262" s="113" t="n"/>
      <c r="C2262" s="114" t="n"/>
      <c r="D2262" s="115" t="n"/>
      <c r="E2262" s="116" t="n"/>
      <c r="F2262" s="115" t="n"/>
      <c r="G2262" s="117">
        <f>IF(COUNTA(B2262:E2262)=0,"",IF(COUNTA(B2262:E2262)&lt;4,"⚠ กรอกไม่ครบ",IF(NOT(ISNUMBER(B2262)),"⚠ วันที่ไม่ถูกต้อง",IF(COUNTIFS(Setup!$L$6:$L$60,D2262,Setup!$M$6:$M$60,C2262)=0,"⚠ หมวดไม่ตรงประเภท","✓"))))</f>
        <v/>
      </c>
    </row>
    <row r="2263">
      <c r="B2263" s="113" t="n"/>
      <c r="C2263" s="114" t="n"/>
      <c r="D2263" s="115" t="n"/>
      <c r="E2263" s="116" t="n"/>
      <c r="F2263" s="115" t="n"/>
      <c r="G2263" s="117">
        <f>IF(COUNTA(B2263:E2263)=0,"",IF(COUNTA(B2263:E2263)&lt;4,"⚠ กรอกไม่ครบ",IF(NOT(ISNUMBER(B2263)),"⚠ วันที่ไม่ถูกต้อง",IF(COUNTIFS(Setup!$L$6:$L$60,D2263,Setup!$M$6:$M$60,C2263)=0,"⚠ หมวดไม่ตรงประเภท","✓"))))</f>
        <v/>
      </c>
    </row>
    <row r="2264">
      <c r="B2264" s="113" t="n"/>
      <c r="C2264" s="114" t="n"/>
      <c r="D2264" s="115" t="n"/>
      <c r="E2264" s="116" t="n"/>
      <c r="F2264" s="115" t="n"/>
      <c r="G2264" s="117">
        <f>IF(COUNTA(B2264:E2264)=0,"",IF(COUNTA(B2264:E2264)&lt;4,"⚠ กรอกไม่ครบ",IF(NOT(ISNUMBER(B2264)),"⚠ วันที่ไม่ถูกต้อง",IF(COUNTIFS(Setup!$L$6:$L$60,D2264,Setup!$M$6:$M$60,C2264)=0,"⚠ หมวดไม่ตรงประเภท","✓"))))</f>
        <v/>
      </c>
    </row>
    <row r="2265">
      <c r="B2265" s="113" t="n"/>
      <c r="C2265" s="114" t="n"/>
      <c r="D2265" s="115" t="n"/>
      <c r="E2265" s="116" t="n"/>
      <c r="F2265" s="115" t="n"/>
      <c r="G2265" s="117">
        <f>IF(COUNTA(B2265:E2265)=0,"",IF(COUNTA(B2265:E2265)&lt;4,"⚠ กรอกไม่ครบ",IF(NOT(ISNUMBER(B2265)),"⚠ วันที่ไม่ถูกต้อง",IF(COUNTIFS(Setup!$L$6:$L$60,D2265,Setup!$M$6:$M$60,C2265)=0,"⚠ หมวดไม่ตรงประเภท","✓"))))</f>
        <v/>
      </c>
    </row>
    <row r="2266">
      <c r="B2266" s="113" t="n"/>
      <c r="C2266" s="114" t="n"/>
      <c r="D2266" s="115" t="n"/>
      <c r="E2266" s="116" t="n"/>
      <c r="F2266" s="115" t="n"/>
      <c r="G2266" s="117">
        <f>IF(COUNTA(B2266:E2266)=0,"",IF(COUNTA(B2266:E2266)&lt;4,"⚠ กรอกไม่ครบ",IF(NOT(ISNUMBER(B2266)),"⚠ วันที่ไม่ถูกต้อง",IF(COUNTIFS(Setup!$L$6:$L$60,D2266,Setup!$M$6:$M$60,C2266)=0,"⚠ หมวดไม่ตรงประเภท","✓"))))</f>
        <v/>
      </c>
    </row>
    <row r="2267">
      <c r="B2267" s="113" t="n"/>
      <c r="C2267" s="114" t="n"/>
      <c r="D2267" s="115" t="n"/>
      <c r="E2267" s="116" t="n"/>
      <c r="F2267" s="115" t="n"/>
      <c r="G2267" s="117">
        <f>IF(COUNTA(B2267:E2267)=0,"",IF(COUNTA(B2267:E2267)&lt;4,"⚠ กรอกไม่ครบ",IF(NOT(ISNUMBER(B2267)),"⚠ วันที่ไม่ถูกต้อง",IF(COUNTIFS(Setup!$L$6:$L$60,D2267,Setup!$M$6:$M$60,C2267)=0,"⚠ หมวดไม่ตรงประเภท","✓"))))</f>
        <v/>
      </c>
    </row>
    <row r="2268">
      <c r="B2268" s="113" t="n"/>
      <c r="C2268" s="114" t="n"/>
      <c r="D2268" s="115" t="n"/>
      <c r="E2268" s="116" t="n"/>
      <c r="F2268" s="115" t="n"/>
      <c r="G2268" s="117">
        <f>IF(COUNTA(B2268:E2268)=0,"",IF(COUNTA(B2268:E2268)&lt;4,"⚠ กรอกไม่ครบ",IF(NOT(ISNUMBER(B2268)),"⚠ วันที่ไม่ถูกต้อง",IF(COUNTIFS(Setup!$L$6:$L$60,D2268,Setup!$M$6:$M$60,C2268)=0,"⚠ หมวดไม่ตรงประเภท","✓"))))</f>
        <v/>
      </c>
    </row>
    <row r="2269">
      <c r="B2269" s="113" t="n"/>
      <c r="C2269" s="114" t="n"/>
      <c r="D2269" s="115" t="n"/>
      <c r="E2269" s="116" t="n"/>
      <c r="F2269" s="115" t="n"/>
      <c r="G2269" s="117">
        <f>IF(COUNTA(B2269:E2269)=0,"",IF(COUNTA(B2269:E2269)&lt;4,"⚠ กรอกไม่ครบ",IF(NOT(ISNUMBER(B2269)),"⚠ วันที่ไม่ถูกต้อง",IF(COUNTIFS(Setup!$L$6:$L$60,D2269,Setup!$M$6:$M$60,C2269)=0,"⚠ หมวดไม่ตรงประเภท","✓"))))</f>
        <v/>
      </c>
    </row>
    <row r="2270">
      <c r="B2270" s="113" t="n"/>
      <c r="C2270" s="114" t="n"/>
      <c r="D2270" s="115" t="n"/>
      <c r="E2270" s="116" t="n"/>
      <c r="F2270" s="115" t="n"/>
      <c r="G2270" s="117">
        <f>IF(COUNTA(B2270:E2270)=0,"",IF(COUNTA(B2270:E2270)&lt;4,"⚠ กรอกไม่ครบ",IF(NOT(ISNUMBER(B2270)),"⚠ วันที่ไม่ถูกต้อง",IF(COUNTIFS(Setup!$L$6:$L$60,D2270,Setup!$M$6:$M$60,C2270)=0,"⚠ หมวดไม่ตรงประเภท","✓"))))</f>
        <v/>
      </c>
    </row>
    <row r="2271">
      <c r="B2271" s="113" t="n"/>
      <c r="C2271" s="114" t="n"/>
      <c r="D2271" s="115" t="n"/>
      <c r="E2271" s="116" t="n"/>
      <c r="F2271" s="115" t="n"/>
      <c r="G2271" s="117">
        <f>IF(COUNTA(B2271:E2271)=0,"",IF(COUNTA(B2271:E2271)&lt;4,"⚠ กรอกไม่ครบ",IF(NOT(ISNUMBER(B2271)),"⚠ วันที่ไม่ถูกต้อง",IF(COUNTIFS(Setup!$L$6:$L$60,D2271,Setup!$M$6:$M$60,C2271)=0,"⚠ หมวดไม่ตรงประเภท","✓"))))</f>
        <v/>
      </c>
    </row>
    <row r="2272">
      <c r="B2272" s="113" t="n"/>
      <c r="C2272" s="114" t="n"/>
      <c r="D2272" s="115" t="n"/>
      <c r="E2272" s="116" t="n"/>
      <c r="F2272" s="115" t="n"/>
      <c r="G2272" s="117">
        <f>IF(COUNTA(B2272:E2272)=0,"",IF(COUNTA(B2272:E2272)&lt;4,"⚠ กรอกไม่ครบ",IF(NOT(ISNUMBER(B2272)),"⚠ วันที่ไม่ถูกต้อง",IF(COUNTIFS(Setup!$L$6:$L$60,D2272,Setup!$M$6:$M$60,C2272)=0,"⚠ หมวดไม่ตรงประเภท","✓"))))</f>
        <v/>
      </c>
    </row>
    <row r="2273">
      <c r="B2273" s="113" t="n"/>
      <c r="C2273" s="114" t="n"/>
      <c r="D2273" s="115" t="n"/>
      <c r="E2273" s="116" t="n"/>
      <c r="F2273" s="115" t="n"/>
      <c r="G2273" s="117">
        <f>IF(COUNTA(B2273:E2273)=0,"",IF(COUNTA(B2273:E2273)&lt;4,"⚠ กรอกไม่ครบ",IF(NOT(ISNUMBER(B2273)),"⚠ วันที่ไม่ถูกต้อง",IF(COUNTIFS(Setup!$L$6:$L$60,D2273,Setup!$M$6:$M$60,C2273)=0,"⚠ หมวดไม่ตรงประเภท","✓"))))</f>
        <v/>
      </c>
    </row>
    <row r="2274">
      <c r="B2274" s="113" t="n"/>
      <c r="C2274" s="114" t="n"/>
      <c r="D2274" s="115" t="n"/>
      <c r="E2274" s="116" t="n"/>
      <c r="F2274" s="115" t="n"/>
      <c r="G2274" s="117">
        <f>IF(COUNTA(B2274:E2274)=0,"",IF(COUNTA(B2274:E2274)&lt;4,"⚠ กรอกไม่ครบ",IF(NOT(ISNUMBER(B2274)),"⚠ วันที่ไม่ถูกต้อง",IF(COUNTIFS(Setup!$L$6:$L$60,D2274,Setup!$M$6:$M$60,C2274)=0,"⚠ หมวดไม่ตรงประเภท","✓"))))</f>
        <v/>
      </c>
    </row>
    <row r="2275">
      <c r="B2275" s="113" t="n"/>
      <c r="C2275" s="114" t="n"/>
      <c r="D2275" s="115" t="n"/>
      <c r="E2275" s="116" t="n"/>
      <c r="F2275" s="115" t="n"/>
      <c r="G2275" s="117">
        <f>IF(COUNTA(B2275:E2275)=0,"",IF(COUNTA(B2275:E2275)&lt;4,"⚠ กรอกไม่ครบ",IF(NOT(ISNUMBER(B2275)),"⚠ วันที่ไม่ถูกต้อง",IF(COUNTIFS(Setup!$L$6:$L$60,D2275,Setup!$M$6:$M$60,C2275)=0,"⚠ หมวดไม่ตรงประเภท","✓"))))</f>
        <v/>
      </c>
    </row>
    <row r="2276">
      <c r="B2276" s="113" t="n"/>
      <c r="C2276" s="114" t="n"/>
      <c r="D2276" s="115" t="n"/>
      <c r="E2276" s="116" t="n"/>
      <c r="F2276" s="115" t="n"/>
      <c r="G2276" s="117">
        <f>IF(COUNTA(B2276:E2276)=0,"",IF(COUNTA(B2276:E2276)&lt;4,"⚠ กรอกไม่ครบ",IF(NOT(ISNUMBER(B2276)),"⚠ วันที่ไม่ถูกต้อง",IF(COUNTIFS(Setup!$L$6:$L$60,D2276,Setup!$M$6:$M$60,C2276)=0,"⚠ หมวดไม่ตรงประเภท","✓"))))</f>
        <v/>
      </c>
    </row>
    <row r="2277">
      <c r="B2277" s="113" t="n"/>
      <c r="C2277" s="114" t="n"/>
      <c r="D2277" s="115" t="n"/>
      <c r="E2277" s="116" t="n"/>
      <c r="F2277" s="115" t="n"/>
      <c r="G2277" s="117">
        <f>IF(COUNTA(B2277:E2277)=0,"",IF(COUNTA(B2277:E2277)&lt;4,"⚠ กรอกไม่ครบ",IF(NOT(ISNUMBER(B2277)),"⚠ วันที่ไม่ถูกต้อง",IF(COUNTIFS(Setup!$L$6:$L$60,D2277,Setup!$M$6:$M$60,C2277)=0,"⚠ หมวดไม่ตรงประเภท","✓"))))</f>
        <v/>
      </c>
    </row>
    <row r="2278">
      <c r="B2278" s="113" t="n"/>
      <c r="C2278" s="114" t="n"/>
      <c r="D2278" s="115" t="n"/>
      <c r="E2278" s="116" t="n"/>
      <c r="F2278" s="115" t="n"/>
      <c r="G2278" s="117">
        <f>IF(COUNTA(B2278:E2278)=0,"",IF(COUNTA(B2278:E2278)&lt;4,"⚠ กรอกไม่ครบ",IF(NOT(ISNUMBER(B2278)),"⚠ วันที่ไม่ถูกต้อง",IF(COUNTIFS(Setup!$L$6:$L$60,D2278,Setup!$M$6:$M$60,C2278)=0,"⚠ หมวดไม่ตรงประเภท","✓"))))</f>
        <v/>
      </c>
    </row>
    <row r="2279">
      <c r="B2279" s="113" t="n"/>
      <c r="C2279" s="114" t="n"/>
      <c r="D2279" s="115" t="n"/>
      <c r="E2279" s="116" t="n"/>
      <c r="F2279" s="115" t="n"/>
      <c r="G2279" s="117">
        <f>IF(COUNTA(B2279:E2279)=0,"",IF(COUNTA(B2279:E2279)&lt;4,"⚠ กรอกไม่ครบ",IF(NOT(ISNUMBER(B2279)),"⚠ วันที่ไม่ถูกต้อง",IF(COUNTIFS(Setup!$L$6:$L$60,D2279,Setup!$M$6:$M$60,C2279)=0,"⚠ หมวดไม่ตรงประเภท","✓"))))</f>
        <v/>
      </c>
    </row>
    <row r="2280">
      <c r="B2280" s="113" t="n"/>
      <c r="C2280" s="114" t="n"/>
      <c r="D2280" s="115" t="n"/>
      <c r="E2280" s="116" t="n"/>
      <c r="F2280" s="115" t="n"/>
      <c r="G2280" s="117">
        <f>IF(COUNTA(B2280:E2280)=0,"",IF(COUNTA(B2280:E2280)&lt;4,"⚠ กรอกไม่ครบ",IF(NOT(ISNUMBER(B2280)),"⚠ วันที่ไม่ถูกต้อง",IF(COUNTIFS(Setup!$L$6:$L$60,D2280,Setup!$M$6:$M$60,C2280)=0,"⚠ หมวดไม่ตรงประเภท","✓"))))</f>
        <v/>
      </c>
    </row>
    <row r="2281">
      <c r="B2281" s="113" t="n"/>
      <c r="C2281" s="114" t="n"/>
      <c r="D2281" s="115" t="n"/>
      <c r="E2281" s="116" t="n"/>
      <c r="F2281" s="115" t="n"/>
      <c r="G2281" s="117">
        <f>IF(COUNTA(B2281:E2281)=0,"",IF(COUNTA(B2281:E2281)&lt;4,"⚠ กรอกไม่ครบ",IF(NOT(ISNUMBER(B2281)),"⚠ วันที่ไม่ถูกต้อง",IF(COUNTIFS(Setup!$L$6:$L$60,D2281,Setup!$M$6:$M$60,C2281)=0,"⚠ หมวดไม่ตรงประเภท","✓"))))</f>
        <v/>
      </c>
    </row>
    <row r="2282">
      <c r="B2282" s="113" t="n"/>
      <c r="C2282" s="114" t="n"/>
      <c r="D2282" s="115" t="n"/>
      <c r="E2282" s="116" t="n"/>
      <c r="F2282" s="115" t="n"/>
      <c r="G2282" s="117">
        <f>IF(COUNTA(B2282:E2282)=0,"",IF(COUNTA(B2282:E2282)&lt;4,"⚠ กรอกไม่ครบ",IF(NOT(ISNUMBER(B2282)),"⚠ วันที่ไม่ถูกต้อง",IF(COUNTIFS(Setup!$L$6:$L$60,D2282,Setup!$M$6:$M$60,C2282)=0,"⚠ หมวดไม่ตรงประเภท","✓"))))</f>
        <v/>
      </c>
    </row>
    <row r="2283">
      <c r="B2283" s="113" t="n"/>
      <c r="C2283" s="114" t="n"/>
      <c r="D2283" s="115" t="n"/>
      <c r="E2283" s="116" t="n"/>
      <c r="F2283" s="115" t="n"/>
      <c r="G2283" s="117">
        <f>IF(COUNTA(B2283:E2283)=0,"",IF(COUNTA(B2283:E2283)&lt;4,"⚠ กรอกไม่ครบ",IF(NOT(ISNUMBER(B2283)),"⚠ วันที่ไม่ถูกต้อง",IF(COUNTIFS(Setup!$L$6:$L$60,D2283,Setup!$M$6:$M$60,C2283)=0,"⚠ หมวดไม่ตรงประเภท","✓"))))</f>
        <v/>
      </c>
    </row>
    <row r="2284">
      <c r="B2284" s="113" t="n"/>
      <c r="C2284" s="114" t="n"/>
      <c r="D2284" s="115" t="n"/>
      <c r="E2284" s="116" t="n"/>
      <c r="F2284" s="115" t="n"/>
      <c r="G2284" s="117">
        <f>IF(COUNTA(B2284:E2284)=0,"",IF(COUNTA(B2284:E2284)&lt;4,"⚠ กรอกไม่ครบ",IF(NOT(ISNUMBER(B2284)),"⚠ วันที่ไม่ถูกต้อง",IF(COUNTIFS(Setup!$L$6:$L$60,D2284,Setup!$M$6:$M$60,C2284)=0,"⚠ หมวดไม่ตรงประเภท","✓"))))</f>
        <v/>
      </c>
    </row>
    <row r="2285">
      <c r="B2285" s="113" t="n"/>
      <c r="C2285" s="114" t="n"/>
      <c r="D2285" s="115" t="n"/>
      <c r="E2285" s="116" t="n"/>
      <c r="F2285" s="115" t="n"/>
      <c r="G2285" s="117">
        <f>IF(COUNTA(B2285:E2285)=0,"",IF(COUNTA(B2285:E2285)&lt;4,"⚠ กรอกไม่ครบ",IF(NOT(ISNUMBER(B2285)),"⚠ วันที่ไม่ถูกต้อง",IF(COUNTIFS(Setup!$L$6:$L$60,D2285,Setup!$M$6:$M$60,C2285)=0,"⚠ หมวดไม่ตรงประเภท","✓"))))</f>
        <v/>
      </c>
    </row>
    <row r="2286">
      <c r="B2286" s="113" t="n"/>
      <c r="C2286" s="114" t="n"/>
      <c r="D2286" s="115" t="n"/>
      <c r="E2286" s="116" t="n"/>
      <c r="F2286" s="115" t="n"/>
      <c r="G2286" s="117">
        <f>IF(COUNTA(B2286:E2286)=0,"",IF(COUNTA(B2286:E2286)&lt;4,"⚠ กรอกไม่ครบ",IF(NOT(ISNUMBER(B2286)),"⚠ วันที่ไม่ถูกต้อง",IF(COUNTIFS(Setup!$L$6:$L$60,D2286,Setup!$M$6:$M$60,C2286)=0,"⚠ หมวดไม่ตรงประเภท","✓"))))</f>
        <v/>
      </c>
    </row>
    <row r="2287">
      <c r="B2287" s="113" t="n"/>
      <c r="C2287" s="114" t="n"/>
      <c r="D2287" s="115" t="n"/>
      <c r="E2287" s="116" t="n"/>
      <c r="F2287" s="115" t="n"/>
      <c r="G2287" s="117">
        <f>IF(COUNTA(B2287:E2287)=0,"",IF(COUNTA(B2287:E2287)&lt;4,"⚠ กรอกไม่ครบ",IF(NOT(ISNUMBER(B2287)),"⚠ วันที่ไม่ถูกต้อง",IF(COUNTIFS(Setup!$L$6:$L$60,D2287,Setup!$M$6:$M$60,C2287)=0,"⚠ หมวดไม่ตรงประเภท","✓"))))</f>
        <v/>
      </c>
    </row>
    <row r="2288">
      <c r="B2288" s="113" t="n"/>
      <c r="C2288" s="114" t="n"/>
      <c r="D2288" s="115" t="n"/>
      <c r="E2288" s="116" t="n"/>
      <c r="F2288" s="115" t="n"/>
      <c r="G2288" s="117">
        <f>IF(COUNTA(B2288:E2288)=0,"",IF(COUNTA(B2288:E2288)&lt;4,"⚠ กรอกไม่ครบ",IF(NOT(ISNUMBER(B2288)),"⚠ วันที่ไม่ถูกต้อง",IF(COUNTIFS(Setup!$L$6:$L$60,D2288,Setup!$M$6:$M$60,C2288)=0,"⚠ หมวดไม่ตรงประเภท","✓"))))</f>
        <v/>
      </c>
    </row>
    <row r="2289">
      <c r="B2289" s="113" t="n"/>
      <c r="C2289" s="114" t="n"/>
      <c r="D2289" s="115" t="n"/>
      <c r="E2289" s="116" t="n"/>
      <c r="F2289" s="115" t="n"/>
      <c r="G2289" s="117">
        <f>IF(COUNTA(B2289:E2289)=0,"",IF(COUNTA(B2289:E2289)&lt;4,"⚠ กรอกไม่ครบ",IF(NOT(ISNUMBER(B2289)),"⚠ วันที่ไม่ถูกต้อง",IF(COUNTIFS(Setup!$L$6:$L$60,D2289,Setup!$M$6:$M$60,C2289)=0,"⚠ หมวดไม่ตรงประเภท","✓"))))</f>
        <v/>
      </c>
    </row>
    <row r="2290">
      <c r="B2290" s="113" t="n"/>
      <c r="C2290" s="114" t="n"/>
      <c r="D2290" s="115" t="n"/>
      <c r="E2290" s="116" t="n"/>
      <c r="F2290" s="115" t="n"/>
      <c r="G2290" s="117">
        <f>IF(COUNTA(B2290:E2290)=0,"",IF(COUNTA(B2290:E2290)&lt;4,"⚠ กรอกไม่ครบ",IF(NOT(ISNUMBER(B2290)),"⚠ วันที่ไม่ถูกต้อง",IF(COUNTIFS(Setup!$L$6:$L$60,D2290,Setup!$M$6:$M$60,C2290)=0,"⚠ หมวดไม่ตรงประเภท","✓"))))</f>
        <v/>
      </c>
    </row>
    <row r="2291">
      <c r="B2291" s="113" t="n"/>
      <c r="C2291" s="114" t="n"/>
      <c r="D2291" s="115" t="n"/>
      <c r="E2291" s="116" t="n"/>
      <c r="F2291" s="115" t="n"/>
      <c r="G2291" s="117">
        <f>IF(COUNTA(B2291:E2291)=0,"",IF(COUNTA(B2291:E2291)&lt;4,"⚠ กรอกไม่ครบ",IF(NOT(ISNUMBER(B2291)),"⚠ วันที่ไม่ถูกต้อง",IF(COUNTIFS(Setup!$L$6:$L$60,D2291,Setup!$M$6:$M$60,C2291)=0,"⚠ หมวดไม่ตรงประเภท","✓"))))</f>
        <v/>
      </c>
    </row>
    <row r="2292">
      <c r="B2292" s="113" t="n"/>
      <c r="C2292" s="114" t="n"/>
      <c r="D2292" s="115" t="n"/>
      <c r="E2292" s="116" t="n"/>
      <c r="F2292" s="115" t="n"/>
      <c r="G2292" s="117">
        <f>IF(COUNTA(B2292:E2292)=0,"",IF(COUNTA(B2292:E2292)&lt;4,"⚠ กรอกไม่ครบ",IF(NOT(ISNUMBER(B2292)),"⚠ วันที่ไม่ถูกต้อง",IF(COUNTIFS(Setup!$L$6:$L$60,D2292,Setup!$M$6:$M$60,C2292)=0,"⚠ หมวดไม่ตรงประเภท","✓"))))</f>
        <v/>
      </c>
    </row>
    <row r="2293">
      <c r="B2293" s="113" t="n"/>
      <c r="C2293" s="114" t="n"/>
      <c r="D2293" s="115" t="n"/>
      <c r="E2293" s="116" t="n"/>
      <c r="F2293" s="115" t="n"/>
      <c r="G2293" s="117">
        <f>IF(COUNTA(B2293:E2293)=0,"",IF(COUNTA(B2293:E2293)&lt;4,"⚠ กรอกไม่ครบ",IF(NOT(ISNUMBER(B2293)),"⚠ วันที่ไม่ถูกต้อง",IF(COUNTIFS(Setup!$L$6:$L$60,D2293,Setup!$M$6:$M$60,C2293)=0,"⚠ หมวดไม่ตรงประเภท","✓"))))</f>
        <v/>
      </c>
    </row>
    <row r="2294">
      <c r="B2294" s="113" t="n"/>
      <c r="C2294" s="114" t="n"/>
      <c r="D2294" s="115" t="n"/>
      <c r="E2294" s="116" t="n"/>
      <c r="F2294" s="115" t="n"/>
      <c r="G2294" s="117">
        <f>IF(COUNTA(B2294:E2294)=0,"",IF(COUNTA(B2294:E2294)&lt;4,"⚠ กรอกไม่ครบ",IF(NOT(ISNUMBER(B2294)),"⚠ วันที่ไม่ถูกต้อง",IF(COUNTIFS(Setup!$L$6:$L$60,D2294,Setup!$M$6:$M$60,C2294)=0,"⚠ หมวดไม่ตรงประเภท","✓"))))</f>
        <v/>
      </c>
    </row>
    <row r="2295">
      <c r="B2295" s="113" t="n"/>
      <c r="C2295" s="114" t="n"/>
      <c r="D2295" s="115" t="n"/>
      <c r="E2295" s="116" t="n"/>
      <c r="F2295" s="115" t="n"/>
      <c r="G2295" s="117">
        <f>IF(COUNTA(B2295:E2295)=0,"",IF(COUNTA(B2295:E2295)&lt;4,"⚠ กรอกไม่ครบ",IF(NOT(ISNUMBER(B2295)),"⚠ วันที่ไม่ถูกต้อง",IF(COUNTIFS(Setup!$L$6:$L$60,D2295,Setup!$M$6:$M$60,C2295)=0,"⚠ หมวดไม่ตรงประเภท","✓"))))</f>
        <v/>
      </c>
    </row>
    <row r="2296">
      <c r="B2296" s="113" t="n"/>
      <c r="C2296" s="114" t="n"/>
      <c r="D2296" s="115" t="n"/>
      <c r="E2296" s="116" t="n"/>
      <c r="F2296" s="115" t="n"/>
      <c r="G2296" s="117">
        <f>IF(COUNTA(B2296:E2296)=0,"",IF(COUNTA(B2296:E2296)&lt;4,"⚠ กรอกไม่ครบ",IF(NOT(ISNUMBER(B2296)),"⚠ วันที่ไม่ถูกต้อง",IF(COUNTIFS(Setup!$L$6:$L$60,D2296,Setup!$M$6:$M$60,C2296)=0,"⚠ หมวดไม่ตรงประเภท","✓"))))</f>
        <v/>
      </c>
    </row>
    <row r="2297">
      <c r="B2297" s="113" t="n"/>
      <c r="C2297" s="114" t="n"/>
      <c r="D2297" s="115" t="n"/>
      <c r="E2297" s="116" t="n"/>
      <c r="F2297" s="115" t="n"/>
      <c r="G2297" s="117">
        <f>IF(COUNTA(B2297:E2297)=0,"",IF(COUNTA(B2297:E2297)&lt;4,"⚠ กรอกไม่ครบ",IF(NOT(ISNUMBER(B2297)),"⚠ วันที่ไม่ถูกต้อง",IF(COUNTIFS(Setup!$L$6:$L$60,D2297,Setup!$M$6:$M$60,C2297)=0,"⚠ หมวดไม่ตรงประเภท","✓"))))</f>
        <v/>
      </c>
    </row>
    <row r="2298">
      <c r="B2298" s="113" t="n"/>
      <c r="C2298" s="114" t="n"/>
      <c r="D2298" s="115" t="n"/>
      <c r="E2298" s="116" t="n"/>
      <c r="F2298" s="115" t="n"/>
      <c r="G2298" s="117">
        <f>IF(COUNTA(B2298:E2298)=0,"",IF(COUNTA(B2298:E2298)&lt;4,"⚠ กรอกไม่ครบ",IF(NOT(ISNUMBER(B2298)),"⚠ วันที่ไม่ถูกต้อง",IF(COUNTIFS(Setup!$L$6:$L$60,D2298,Setup!$M$6:$M$60,C2298)=0,"⚠ หมวดไม่ตรงประเภท","✓"))))</f>
        <v/>
      </c>
    </row>
    <row r="2299">
      <c r="B2299" s="113" t="n"/>
      <c r="C2299" s="114" t="n"/>
      <c r="D2299" s="115" t="n"/>
      <c r="E2299" s="116" t="n"/>
      <c r="F2299" s="115" t="n"/>
      <c r="G2299" s="117">
        <f>IF(COUNTA(B2299:E2299)=0,"",IF(COUNTA(B2299:E2299)&lt;4,"⚠ กรอกไม่ครบ",IF(NOT(ISNUMBER(B2299)),"⚠ วันที่ไม่ถูกต้อง",IF(COUNTIFS(Setup!$L$6:$L$60,D2299,Setup!$M$6:$M$60,C2299)=0,"⚠ หมวดไม่ตรงประเภท","✓"))))</f>
        <v/>
      </c>
    </row>
    <row r="2300">
      <c r="B2300" s="113" t="n"/>
      <c r="C2300" s="114" t="n"/>
      <c r="D2300" s="115" t="n"/>
      <c r="E2300" s="116" t="n"/>
      <c r="F2300" s="115" t="n"/>
      <c r="G2300" s="117">
        <f>IF(COUNTA(B2300:E2300)=0,"",IF(COUNTA(B2300:E2300)&lt;4,"⚠ กรอกไม่ครบ",IF(NOT(ISNUMBER(B2300)),"⚠ วันที่ไม่ถูกต้อง",IF(COUNTIFS(Setup!$L$6:$L$60,D2300,Setup!$M$6:$M$60,C2300)=0,"⚠ หมวดไม่ตรงประเภท","✓"))))</f>
        <v/>
      </c>
    </row>
    <row r="2301">
      <c r="B2301" s="113" t="n"/>
      <c r="C2301" s="114" t="n"/>
      <c r="D2301" s="115" t="n"/>
      <c r="E2301" s="116" t="n"/>
      <c r="F2301" s="115" t="n"/>
      <c r="G2301" s="117">
        <f>IF(COUNTA(B2301:E2301)=0,"",IF(COUNTA(B2301:E2301)&lt;4,"⚠ กรอกไม่ครบ",IF(NOT(ISNUMBER(B2301)),"⚠ วันที่ไม่ถูกต้อง",IF(COUNTIFS(Setup!$L$6:$L$60,D2301,Setup!$M$6:$M$60,C2301)=0,"⚠ หมวดไม่ตรงประเภท","✓"))))</f>
        <v/>
      </c>
    </row>
    <row r="2302">
      <c r="B2302" s="113" t="n"/>
      <c r="C2302" s="114" t="n"/>
      <c r="D2302" s="115" t="n"/>
      <c r="E2302" s="116" t="n"/>
      <c r="F2302" s="115" t="n"/>
      <c r="G2302" s="117">
        <f>IF(COUNTA(B2302:E2302)=0,"",IF(COUNTA(B2302:E2302)&lt;4,"⚠ กรอกไม่ครบ",IF(NOT(ISNUMBER(B2302)),"⚠ วันที่ไม่ถูกต้อง",IF(COUNTIFS(Setup!$L$6:$L$60,D2302,Setup!$M$6:$M$60,C2302)=0,"⚠ หมวดไม่ตรงประเภท","✓"))))</f>
        <v/>
      </c>
    </row>
    <row r="2303">
      <c r="B2303" s="113" t="n"/>
      <c r="C2303" s="114" t="n"/>
      <c r="D2303" s="115" t="n"/>
      <c r="E2303" s="116" t="n"/>
      <c r="F2303" s="115" t="n"/>
      <c r="G2303" s="117">
        <f>IF(COUNTA(B2303:E2303)=0,"",IF(COUNTA(B2303:E2303)&lt;4,"⚠ กรอกไม่ครบ",IF(NOT(ISNUMBER(B2303)),"⚠ วันที่ไม่ถูกต้อง",IF(COUNTIFS(Setup!$L$6:$L$60,D2303,Setup!$M$6:$M$60,C2303)=0,"⚠ หมวดไม่ตรงประเภท","✓"))))</f>
        <v/>
      </c>
    </row>
    <row r="2304">
      <c r="B2304" s="113" t="n"/>
      <c r="C2304" s="114" t="n"/>
      <c r="D2304" s="115" t="n"/>
      <c r="E2304" s="116" t="n"/>
      <c r="F2304" s="115" t="n"/>
      <c r="G2304" s="117">
        <f>IF(COUNTA(B2304:E2304)=0,"",IF(COUNTA(B2304:E2304)&lt;4,"⚠ กรอกไม่ครบ",IF(NOT(ISNUMBER(B2304)),"⚠ วันที่ไม่ถูกต้อง",IF(COUNTIFS(Setup!$L$6:$L$60,D2304,Setup!$M$6:$M$60,C2304)=0,"⚠ หมวดไม่ตรงประเภท","✓"))))</f>
        <v/>
      </c>
    </row>
    <row r="2305">
      <c r="B2305" s="113" t="n"/>
      <c r="C2305" s="114" t="n"/>
      <c r="D2305" s="115" t="n"/>
      <c r="E2305" s="116" t="n"/>
      <c r="F2305" s="115" t="n"/>
      <c r="G2305" s="117">
        <f>IF(COUNTA(B2305:E2305)=0,"",IF(COUNTA(B2305:E2305)&lt;4,"⚠ กรอกไม่ครบ",IF(NOT(ISNUMBER(B2305)),"⚠ วันที่ไม่ถูกต้อง",IF(COUNTIFS(Setup!$L$6:$L$60,D2305,Setup!$M$6:$M$60,C2305)=0,"⚠ หมวดไม่ตรงประเภท","✓"))))</f>
        <v/>
      </c>
    </row>
    <row r="2306">
      <c r="B2306" s="113" t="n"/>
      <c r="C2306" s="114" t="n"/>
      <c r="D2306" s="115" t="n"/>
      <c r="E2306" s="116" t="n"/>
      <c r="F2306" s="115" t="n"/>
      <c r="G2306" s="117">
        <f>IF(COUNTA(B2306:E2306)=0,"",IF(COUNTA(B2306:E2306)&lt;4,"⚠ กรอกไม่ครบ",IF(NOT(ISNUMBER(B2306)),"⚠ วันที่ไม่ถูกต้อง",IF(COUNTIFS(Setup!$L$6:$L$60,D2306,Setup!$M$6:$M$60,C2306)=0,"⚠ หมวดไม่ตรงประเภท","✓"))))</f>
        <v/>
      </c>
    </row>
    <row r="2307">
      <c r="B2307" s="113" t="n"/>
      <c r="C2307" s="114" t="n"/>
      <c r="D2307" s="115" t="n"/>
      <c r="E2307" s="116" t="n"/>
      <c r="F2307" s="115" t="n"/>
      <c r="G2307" s="117">
        <f>IF(COUNTA(B2307:E2307)=0,"",IF(COUNTA(B2307:E2307)&lt;4,"⚠ กรอกไม่ครบ",IF(NOT(ISNUMBER(B2307)),"⚠ วันที่ไม่ถูกต้อง",IF(COUNTIFS(Setup!$L$6:$L$60,D2307,Setup!$M$6:$M$60,C2307)=0,"⚠ หมวดไม่ตรงประเภท","✓"))))</f>
        <v/>
      </c>
    </row>
    <row r="2308">
      <c r="B2308" s="113" t="n"/>
      <c r="C2308" s="114" t="n"/>
      <c r="D2308" s="115" t="n"/>
      <c r="E2308" s="116" t="n"/>
      <c r="F2308" s="115" t="n"/>
      <c r="G2308" s="117">
        <f>IF(COUNTA(B2308:E2308)=0,"",IF(COUNTA(B2308:E2308)&lt;4,"⚠ กรอกไม่ครบ",IF(NOT(ISNUMBER(B2308)),"⚠ วันที่ไม่ถูกต้อง",IF(COUNTIFS(Setup!$L$6:$L$60,D2308,Setup!$M$6:$M$60,C2308)=0,"⚠ หมวดไม่ตรงประเภท","✓"))))</f>
        <v/>
      </c>
    </row>
    <row r="2309">
      <c r="B2309" s="113" t="n"/>
      <c r="C2309" s="114" t="n"/>
      <c r="D2309" s="115" t="n"/>
      <c r="E2309" s="116" t="n"/>
      <c r="F2309" s="115" t="n"/>
      <c r="G2309" s="117">
        <f>IF(COUNTA(B2309:E2309)=0,"",IF(COUNTA(B2309:E2309)&lt;4,"⚠ กรอกไม่ครบ",IF(NOT(ISNUMBER(B2309)),"⚠ วันที่ไม่ถูกต้อง",IF(COUNTIFS(Setup!$L$6:$L$60,D2309,Setup!$M$6:$M$60,C2309)=0,"⚠ หมวดไม่ตรงประเภท","✓"))))</f>
        <v/>
      </c>
    </row>
    <row r="2310">
      <c r="B2310" s="113" t="n"/>
      <c r="C2310" s="114" t="n"/>
      <c r="D2310" s="115" t="n"/>
      <c r="E2310" s="116" t="n"/>
      <c r="F2310" s="115" t="n"/>
      <c r="G2310" s="117">
        <f>IF(COUNTA(B2310:E2310)=0,"",IF(COUNTA(B2310:E2310)&lt;4,"⚠ กรอกไม่ครบ",IF(NOT(ISNUMBER(B2310)),"⚠ วันที่ไม่ถูกต้อง",IF(COUNTIFS(Setup!$L$6:$L$60,D2310,Setup!$M$6:$M$60,C2310)=0,"⚠ หมวดไม่ตรงประเภท","✓"))))</f>
        <v/>
      </c>
    </row>
    <row r="2311">
      <c r="B2311" s="113" t="n"/>
      <c r="C2311" s="114" t="n"/>
      <c r="D2311" s="115" t="n"/>
      <c r="E2311" s="116" t="n"/>
      <c r="F2311" s="115" t="n"/>
      <c r="G2311" s="117">
        <f>IF(COUNTA(B2311:E2311)=0,"",IF(COUNTA(B2311:E2311)&lt;4,"⚠ กรอกไม่ครบ",IF(NOT(ISNUMBER(B2311)),"⚠ วันที่ไม่ถูกต้อง",IF(COUNTIFS(Setup!$L$6:$L$60,D2311,Setup!$M$6:$M$60,C2311)=0,"⚠ หมวดไม่ตรงประเภท","✓"))))</f>
        <v/>
      </c>
    </row>
    <row r="2312">
      <c r="B2312" s="113" t="n"/>
      <c r="C2312" s="114" t="n"/>
      <c r="D2312" s="115" t="n"/>
      <c r="E2312" s="116" t="n"/>
      <c r="F2312" s="115" t="n"/>
      <c r="G2312" s="117">
        <f>IF(COUNTA(B2312:E2312)=0,"",IF(COUNTA(B2312:E2312)&lt;4,"⚠ กรอกไม่ครบ",IF(NOT(ISNUMBER(B2312)),"⚠ วันที่ไม่ถูกต้อง",IF(COUNTIFS(Setup!$L$6:$L$60,D2312,Setup!$M$6:$M$60,C2312)=0,"⚠ หมวดไม่ตรงประเภท","✓"))))</f>
        <v/>
      </c>
    </row>
    <row r="2313">
      <c r="B2313" s="113" t="n"/>
      <c r="C2313" s="114" t="n"/>
      <c r="D2313" s="115" t="n"/>
      <c r="E2313" s="116" t="n"/>
      <c r="F2313" s="115" t="n"/>
      <c r="G2313" s="117">
        <f>IF(COUNTA(B2313:E2313)=0,"",IF(COUNTA(B2313:E2313)&lt;4,"⚠ กรอกไม่ครบ",IF(NOT(ISNUMBER(B2313)),"⚠ วันที่ไม่ถูกต้อง",IF(COUNTIFS(Setup!$L$6:$L$60,D2313,Setup!$M$6:$M$60,C2313)=0,"⚠ หมวดไม่ตรงประเภท","✓"))))</f>
        <v/>
      </c>
    </row>
    <row r="2314">
      <c r="B2314" s="113" t="n"/>
      <c r="C2314" s="114" t="n"/>
      <c r="D2314" s="115" t="n"/>
      <c r="E2314" s="116" t="n"/>
      <c r="F2314" s="115" t="n"/>
      <c r="G2314" s="117">
        <f>IF(COUNTA(B2314:E2314)=0,"",IF(COUNTA(B2314:E2314)&lt;4,"⚠ กรอกไม่ครบ",IF(NOT(ISNUMBER(B2314)),"⚠ วันที่ไม่ถูกต้อง",IF(COUNTIFS(Setup!$L$6:$L$60,D2314,Setup!$M$6:$M$60,C2314)=0,"⚠ หมวดไม่ตรงประเภท","✓"))))</f>
        <v/>
      </c>
    </row>
    <row r="2315">
      <c r="B2315" s="113" t="n"/>
      <c r="C2315" s="114" t="n"/>
      <c r="D2315" s="115" t="n"/>
      <c r="E2315" s="116" t="n"/>
      <c r="F2315" s="115" t="n"/>
      <c r="G2315" s="117">
        <f>IF(COUNTA(B2315:E2315)=0,"",IF(COUNTA(B2315:E2315)&lt;4,"⚠ กรอกไม่ครบ",IF(NOT(ISNUMBER(B2315)),"⚠ วันที่ไม่ถูกต้อง",IF(COUNTIFS(Setup!$L$6:$L$60,D2315,Setup!$M$6:$M$60,C2315)=0,"⚠ หมวดไม่ตรงประเภท","✓"))))</f>
        <v/>
      </c>
    </row>
    <row r="2316">
      <c r="B2316" s="113" t="n"/>
      <c r="C2316" s="114" t="n"/>
      <c r="D2316" s="115" t="n"/>
      <c r="E2316" s="116" t="n"/>
      <c r="F2316" s="115" t="n"/>
      <c r="G2316" s="117">
        <f>IF(COUNTA(B2316:E2316)=0,"",IF(COUNTA(B2316:E2316)&lt;4,"⚠ กรอกไม่ครบ",IF(NOT(ISNUMBER(B2316)),"⚠ วันที่ไม่ถูกต้อง",IF(COUNTIFS(Setup!$L$6:$L$60,D2316,Setup!$M$6:$M$60,C2316)=0,"⚠ หมวดไม่ตรงประเภท","✓"))))</f>
        <v/>
      </c>
    </row>
    <row r="2317">
      <c r="B2317" s="113" t="n"/>
      <c r="C2317" s="114" t="n"/>
      <c r="D2317" s="115" t="n"/>
      <c r="E2317" s="116" t="n"/>
      <c r="F2317" s="115" t="n"/>
      <c r="G2317" s="117">
        <f>IF(COUNTA(B2317:E2317)=0,"",IF(COUNTA(B2317:E2317)&lt;4,"⚠ กรอกไม่ครบ",IF(NOT(ISNUMBER(B2317)),"⚠ วันที่ไม่ถูกต้อง",IF(COUNTIFS(Setup!$L$6:$L$60,D2317,Setup!$M$6:$M$60,C2317)=0,"⚠ หมวดไม่ตรงประเภท","✓"))))</f>
        <v/>
      </c>
    </row>
    <row r="2318">
      <c r="B2318" s="113" t="n"/>
      <c r="C2318" s="114" t="n"/>
      <c r="D2318" s="115" t="n"/>
      <c r="E2318" s="116" t="n"/>
      <c r="F2318" s="115" t="n"/>
      <c r="G2318" s="117">
        <f>IF(COUNTA(B2318:E2318)=0,"",IF(COUNTA(B2318:E2318)&lt;4,"⚠ กรอกไม่ครบ",IF(NOT(ISNUMBER(B2318)),"⚠ วันที่ไม่ถูกต้อง",IF(COUNTIFS(Setup!$L$6:$L$60,D2318,Setup!$M$6:$M$60,C2318)=0,"⚠ หมวดไม่ตรงประเภท","✓"))))</f>
        <v/>
      </c>
    </row>
    <row r="2319">
      <c r="B2319" s="113" t="n"/>
      <c r="C2319" s="114" t="n"/>
      <c r="D2319" s="115" t="n"/>
      <c r="E2319" s="116" t="n"/>
      <c r="F2319" s="115" t="n"/>
      <c r="G2319" s="117">
        <f>IF(COUNTA(B2319:E2319)=0,"",IF(COUNTA(B2319:E2319)&lt;4,"⚠ กรอกไม่ครบ",IF(NOT(ISNUMBER(B2319)),"⚠ วันที่ไม่ถูกต้อง",IF(COUNTIFS(Setup!$L$6:$L$60,D2319,Setup!$M$6:$M$60,C2319)=0,"⚠ หมวดไม่ตรงประเภท","✓"))))</f>
        <v/>
      </c>
    </row>
    <row r="2320">
      <c r="B2320" s="113" t="n"/>
      <c r="C2320" s="114" t="n"/>
      <c r="D2320" s="115" t="n"/>
      <c r="E2320" s="116" t="n"/>
      <c r="F2320" s="115" t="n"/>
      <c r="G2320" s="117">
        <f>IF(COUNTA(B2320:E2320)=0,"",IF(COUNTA(B2320:E2320)&lt;4,"⚠ กรอกไม่ครบ",IF(NOT(ISNUMBER(B2320)),"⚠ วันที่ไม่ถูกต้อง",IF(COUNTIFS(Setup!$L$6:$L$60,D2320,Setup!$M$6:$M$60,C2320)=0,"⚠ หมวดไม่ตรงประเภท","✓"))))</f>
        <v/>
      </c>
    </row>
    <row r="2321">
      <c r="B2321" s="113" t="n"/>
      <c r="C2321" s="114" t="n"/>
      <c r="D2321" s="115" t="n"/>
      <c r="E2321" s="116" t="n"/>
      <c r="F2321" s="115" t="n"/>
      <c r="G2321" s="117">
        <f>IF(COUNTA(B2321:E2321)=0,"",IF(COUNTA(B2321:E2321)&lt;4,"⚠ กรอกไม่ครบ",IF(NOT(ISNUMBER(B2321)),"⚠ วันที่ไม่ถูกต้อง",IF(COUNTIFS(Setup!$L$6:$L$60,D2321,Setup!$M$6:$M$60,C2321)=0,"⚠ หมวดไม่ตรงประเภท","✓"))))</f>
        <v/>
      </c>
    </row>
    <row r="2322">
      <c r="B2322" s="113" t="n"/>
      <c r="C2322" s="114" t="n"/>
      <c r="D2322" s="115" t="n"/>
      <c r="E2322" s="116" t="n"/>
      <c r="F2322" s="115" t="n"/>
      <c r="G2322" s="117">
        <f>IF(COUNTA(B2322:E2322)=0,"",IF(COUNTA(B2322:E2322)&lt;4,"⚠ กรอกไม่ครบ",IF(NOT(ISNUMBER(B2322)),"⚠ วันที่ไม่ถูกต้อง",IF(COUNTIFS(Setup!$L$6:$L$60,D2322,Setup!$M$6:$M$60,C2322)=0,"⚠ หมวดไม่ตรงประเภท","✓"))))</f>
        <v/>
      </c>
    </row>
    <row r="2323">
      <c r="B2323" s="113" t="n"/>
      <c r="C2323" s="114" t="n"/>
      <c r="D2323" s="115" t="n"/>
      <c r="E2323" s="116" t="n"/>
      <c r="F2323" s="115" t="n"/>
      <c r="G2323" s="117">
        <f>IF(COUNTA(B2323:E2323)=0,"",IF(COUNTA(B2323:E2323)&lt;4,"⚠ กรอกไม่ครบ",IF(NOT(ISNUMBER(B2323)),"⚠ วันที่ไม่ถูกต้อง",IF(COUNTIFS(Setup!$L$6:$L$60,D2323,Setup!$M$6:$M$60,C2323)=0,"⚠ หมวดไม่ตรงประเภท","✓"))))</f>
        <v/>
      </c>
    </row>
    <row r="2324">
      <c r="B2324" s="113" t="n"/>
      <c r="C2324" s="114" t="n"/>
      <c r="D2324" s="115" t="n"/>
      <c r="E2324" s="116" t="n"/>
      <c r="F2324" s="115" t="n"/>
      <c r="G2324" s="117">
        <f>IF(COUNTA(B2324:E2324)=0,"",IF(COUNTA(B2324:E2324)&lt;4,"⚠ กรอกไม่ครบ",IF(NOT(ISNUMBER(B2324)),"⚠ วันที่ไม่ถูกต้อง",IF(COUNTIFS(Setup!$L$6:$L$60,D2324,Setup!$M$6:$M$60,C2324)=0,"⚠ หมวดไม่ตรงประเภท","✓"))))</f>
        <v/>
      </c>
    </row>
    <row r="2325">
      <c r="B2325" s="113" t="n"/>
      <c r="C2325" s="114" t="n"/>
      <c r="D2325" s="115" t="n"/>
      <c r="E2325" s="116" t="n"/>
      <c r="F2325" s="115" t="n"/>
      <c r="G2325" s="117">
        <f>IF(COUNTA(B2325:E2325)=0,"",IF(COUNTA(B2325:E2325)&lt;4,"⚠ กรอกไม่ครบ",IF(NOT(ISNUMBER(B2325)),"⚠ วันที่ไม่ถูกต้อง",IF(COUNTIFS(Setup!$L$6:$L$60,D2325,Setup!$M$6:$M$60,C2325)=0,"⚠ หมวดไม่ตรงประเภท","✓"))))</f>
        <v/>
      </c>
    </row>
    <row r="2326">
      <c r="B2326" s="113" t="n"/>
      <c r="C2326" s="114" t="n"/>
      <c r="D2326" s="115" t="n"/>
      <c r="E2326" s="116" t="n"/>
      <c r="F2326" s="115" t="n"/>
      <c r="G2326" s="117">
        <f>IF(COUNTA(B2326:E2326)=0,"",IF(COUNTA(B2326:E2326)&lt;4,"⚠ กรอกไม่ครบ",IF(NOT(ISNUMBER(B2326)),"⚠ วันที่ไม่ถูกต้อง",IF(COUNTIFS(Setup!$L$6:$L$60,D2326,Setup!$M$6:$M$60,C2326)=0,"⚠ หมวดไม่ตรงประเภท","✓"))))</f>
        <v/>
      </c>
    </row>
    <row r="2327">
      <c r="B2327" s="113" t="n"/>
      <c r="C2327" s="114" t="n"/>
      <c r="D2327" s="115" t="n"/>
      <c r="E2327" s="116" t="n"/>
      <c r="F2327" s="115" t="n"/>
      <c r="G2327" s="117">
        <f>IF(COUNTA(B2327:E2327)=0,"",IF(COUNTA(B2327:E2327)&lt;4,"⚠ กรอกไม่ครบ",IF(NOT(ISNUMBER(B2327)),"⚠ วันที่ไม่ถูกต้อง",IF(COUNTIFS(Setup!$L$6:$L$60,D2327,Setup!$M$6:$M$60,C2327)=0,"⚠ หมวดไม่ตรงประเภท","✓"))))</f>
        <v/>
      </c>
    </row>
    <row r="2328">
      <c r="B2328" s="113" t="n"/>
      <c r="C2328" s="114" t="n"/>
      <c r="D2328" s="115" t="n"/>
      <c r="E2328" s="116" t="n"/>
      <c r="F2328" s="115" t="n"/>
      <c r="G2328" s="117">
        <f>IF(COUNTA(B2328:E2328)=0,"",IF(COUNTA(B2328:E2328)&lt;4,"⚠ กรอกไม่ครบ",IF(NOT(ISNUMBER(B2328)),"⚠ วันที่ไม่ถูกต้อง",IF(COUNTIFS(Setup!$L$6:$L$60,D2328,Setup!$M$6:$M$60,C2328)=0,"⚠ หมวดไม่ตรงประเภท","✓"))))</f>
        <v/>
      </c>
    </row>
    <row r="2329">
      <c r="B2329" s="113" t="n"/>
      <c r="C2329" s="114" t="n"/>
      <c r="D2329" s="115" t="n"/>
      <c r="E2329" s="116" t="n"/>
      <c r="F2329" s="115" t="n"/>
      <c r="G2329" s="117">
        <f>IF(COUNTA(B2329:E2329)=0,"",IF(COUNTA(B2329:E2329)&lt;4,"⚠ กรอกไม่ครบ",IF(NOT(ISNUMBER(B2329)),"⚠ วันที่ไม่ถูกต้อง",IF(COUNTIFS(Setup!$L$6:$L$60,D2329,Setup!$M$6:$M$60,C2329)=0,"⚠ หมวดไม่ตรงประเภท","✓"))))</f>
        <v/>
      </c>
    </row>
    <row r="2330">
      <c r="B2330" s="113" t="n"/>
      <c r="C2330" s="114" t="n"/>
      <c r="D2330" s="115" t="n"/>
      <c r="E2330" s="116" t="n"/>
      <c r="F2330" s="115" t="n"/>
      <c r="G2330" s="117">
        <f>IF(COUNTA(B2330:E2330)=0,"",IF(COUNTA(B2330:E2330)&lt;4,"⚠ กรอกไม่ครบ",IF(NOT(ISNUMBER(B2330)),"⚠ วันที่ไม่ถูกต้อง",IF(COUNTIFS(Setup!$L$6:$L$60,D2330,Setup!$M$6:$M$60,C2330)=0,"⚠ หมวดไม่ตรงประเภท","✓"))))</f>
        <v/>
      </c>
    </row>
    <row r="2331">
      <c r="B2331" s="113" t="n"/>
      <c r="C2331" s="114" t="n"/>
      <c r="D2331" s="115" t="n"/>
      <c r="E2331" s="116" t="n"/>
      <c r="F2331" s="115" t="n"/>
      <c r="G2331" s="117">
        <f>IF(COUNTA(B2331:E2331)=0,"",IF(COUNTA(B2331:E2331)&lt;4,"⚠ กรอกไม่ครบ",IF(NOT(ISNUMBER(B2331)),"⚠ วันที่ไม่ถูกต้อง",IF(COUNTIFS(Setup!$L$6:$L$60,D2331,Setup!$M$6:$M$60,C2331)=0,"⚠ หมวดไม่ตรงประเภท","✓"))))</f>
        <v/>
      </c>
    </row>
    <row r="2332">
      <c r="B2332" s="113" t="n"/>
      <c r="C2332" s="114" t="n"/>
      <c r="D2332" s="115" t="n"/>
      <c r="E2332" s="116" t="n"/>
      <c r="F2332" s="115" t="n"/>
      <c r="G2332" s="117">
        <f>IF(COUNTA(B2332:E2332)=0,"",IF(COUNTA(B2332:E2332)&lt;4,"⚠ กรอกไม่ครบ",IF(NOT(ISNUMBER(B2332)),"⚠ วันที่ไม่ถูกต้อง",IF(COUNTIFS(Setup!$L$6:$L$60,D2332,Setup!$M$6:$M$60,C2332)=0,"⚠ หมวดไม่ตรงประเภท","✓"))))</f>
        <v/>
      </c>
    </row>
    <row r="2333">
      <c r="B2333" s="113" t="n"/>
      <c r="C2333" s="114" t="n"/>
      <c r="D2333" s="115" t="n"/>
      <c r="E2333" s="116" t="n"/>
      <c r="F2333" s="115" t="n"/>
      <c r="G2333" s="117">
        <f>IF(COUNTA(B2333:E2333)=0,"",IF(COUNTA(B2333:E2333)&lt;4,"⚠ กรอกไม่ครบ",IF(NOT(ISNUMBER(B2333)),"⚠ วันที่ไม่ถูกต้อง",IF(COUNTIFS(Setup!$L$6:$L$60,D2333,Setup!$M$6:$M$60,C2333)=0,"⚠ หมวดไม่ตรงประเภท","✓"))))</f>
        <v/>
      </c>
    </row>
    <row r="2334">
      <c r="B2334" s="113" t="n"/>
      <c r="C2334" s="114" t="n"/>
      <c r="D2334" s="115" t="n"/>
      <c r="E2334" s="116" t="n"/>
      <c r="F2334" s="115" t="n"/>
      <c r="G2334" s="117">
        <f>IF(COUNTA(B2334:E2334)=0,"",IF(COUNTA(B2334:E2334)&lt;4,"⚠ กรอกไม่ครบ",IF(NOT(ISNUMBER(B2334)),"⚠ วันที่ไม่ถูกต้อง",IF(COUNTIFS(Setup!$L$6:$L$60,D2334,Setup!$M$6:$M$60,C2334)=0,"⚠ หมวดไม่ตรงประเภท","✓"))))</f>
        <v/>
      </c>
    </row>
    <row r="2335">
      <c r="B2335" s="113" t="n"/>
      <c r="C2335" s="114" t="n"/>
      <c r="D2335" s="115" t="n"/>
      <c r="E2335" s="116" t="n"/>
      <c r="F2335" s="115" t="n"/>
      <c r="G2335" s="117">
        <f>IF(COUNTA(B2335:E2335)=0,"",IF(COUNTA(B2335:E2335)&lt;4,"⚠ กรอกไม่ครบ",IF(NOT(ISNUMBER(B2335)),"⚠ วันที่ไม่ถูกต้อง",IF(COUNTIFS(Setup!$L$6:$L$60,D2335,Setup!$M$6:$M$60,C2335)=0,"⚠ หมวดไม่ตรงประเภท","✓"))))</f>
        <v/>
      </c>
    </row>
    <row r="2336">
      <c r="B2336" s="113" t="n"/>
      <c r="C2336" s="114" t="n"/>
      <c r="D2336" s="115" t="n"/>
      <c r="E2336" s="116" t="n"/>
      <c r="F2336" s="115" t="n"/>
      <c r="G2336" s="117">
        <f>IF(COUNTA(B2336:E2336)=0,"",IF(COUNTA(B2336:E2336)&lt;4,"⚠ กรอกไม่ครบ",IF(NOT(ISNUMBER(B2336)),"⚠ วันที่ไม่ถูกต้อง",IF(COUNTIFS(Setup!$L$6:$L$60,D2336,Setup!$M$6:$M$60,C2336)=0,"⚠ หมวดไม่ตรงประเภท","✓"))))</f>
        <v/>
      </c>
    </row>
    <row r="2337">
      <c r="B2337" s="113" t="n"/>
      <c r="C2337" s="114" t="n"/>
      <c r="D2337" s="115" t="n"/>
      <c r="E2337" s="116" t="n"/>
      <c r="F2337" s="115" t="n"/>
      <c r="G2337" s="117">
        <f>IF(COUNTA(B2337:E2337)=0,"",IF(COUNTA(B2337:E2337)&lt;4,"⚠ กรอกไม่ครบ",IF(NOT(ISNUMBER(B2337)),"⚠ วันที่ไม่ถูกต้อง",IF(COUNTIFS(Setup!$L$6:$L$60,D2337,Setup!$M$6:$M$60,C2337)=0,"⚠ หมวดไม่ตรงประเภท","✓"))))</f>
        <v/>
      </c>
    </row>
    <row r="2338">
      <c r="B2338" s="113" t="n"/>
      <c r="C2338" s="114" t="n"/>
      <c r="D2338" s="115" t="n"/>
      <c r="E2338" s="116" t="n"/>
      <c r="F2338" s="115" t="n"/>
      <c r="G2338" s="117">
        <f>IF(COUNTA(B2338:E2338)=0,"",IF(COUNTA(B2338:E2338)&lt;4,"⚠ กรอกไม่ครบ",IF(NOT(ISNUMBER(B2338)),"⚠ วันที่ไม่ถูกต้อง",IF(COUNTIFS(Setup!$L$6:$L$60,D2338,Setup!$M$6:$M$60,C2338)=0,"⚠ หมวดไม่ตรงประเภท","✓"))))</f>
        <v/>
      </c>
    </row>
    <row r="2339">
      <c r="B2339" s="113" t="n"/>
      <c r="C2339" s="114" t="n"/>
      <c r="D2339" s="115" t="n"/>
      <c r="E2339" s="116" t="n"/>
      <c r="F2339" s="115" t="n"/>
      <c r="G2339" s="117">
        <f>IF(COUNTA(B2339:E2339)=0,"",IF(COUNTA(B2339:E2339)&lt;4,"⚠ กรอกไม่ครบ",IF(NOT(ISNUMBER(B2339)),"⚠ วันที่ไม่ถูกต้อง",IF(COUNTIFS(Setup!$L$6:$L$60,D2339,Setup!$M$6:$M$60,C2339)=0,"⚠ หมวดไม่ตรงประเภท","✓"))))</f>
        <v/>
      </c>
    </row>
    <row r="2340">
      <c r="B2340" s="113" t="n"/>
      <c r="C2340" s="114" t="n"/>
      <c r="D2340" s="115" t="n"/>
      <c r="E2340" s="116" t="n"/>
      <c r="F2340" s="115" t="n"/>
      <c r="G2340" s="117">
        <f>IF(COUNTA(B2340:E2340)=0,"",IF(COUNTA(B2340:E2340)&lt;4,"⚠ กรอกไม่ครบ",IF(NOT(ISNUMBER(B2340)),"⚠ วันที่ไม่ถูกต้อง",IF(COUNTIFS(Setup!$L$6:$L$60,D2340,Setup!$M$6:$M$60,C2340)=0,"⚠ หมวดไม่ตรงประเภท","✓"))))</f>
        <v/>
      </c>
    </row>
    <row r="2341">
      <c r="B2341" s="113" t="n"/>
      <c r="C2341" s="114" t="n"/>
      <c r="D2341" s="115" t="n"/>
      <c r="E2341" s="116" t="n"/>
      <c r="F2341" s="115" t="n"/>
      <c r="G2341" s="117">
        <f>IF(COUNTA(B2341:E2341)=0,"",IF(COUNTA(B2341:E2341)&lt;4,"⚠ กรอกไม่ครบ",IF(NOT(ISNUMBER(B2341)),"⚠ วันที่ไม่ถูกต้อง",IF(COUNTIFS(Setup!$L$6:$L$60,D2341,Setup!$M$6:$M$60,C2341)=0,"⚠ หมวดไม่ตรงประเภท","✓"))))</f>
        <v/>
      </c>
    </row>
    <row r="2342">
      <c r="B2342" s="113" t="n"/>
      <c r="C2342" s="114" t="n"/>
      <c r="D2342" s="115" t="n"/>
      <c r="E2342" s="116" t="n"/>
      <c r="F2342" s="115" t="n"/>
      <c r="G2342" s="117">
        <f>IF(COUNTA(B2342:E2342)=0,"",IF(COUNTA(B2342:E2342)&lt;4,"⚠ กรอกไม่ครบ",IF(NOT(ISNUMBER(B2342)),"⚠ วันที่ไม่ถูกต้อง",IF(COUNTIFS(Setup!$L$6:$L$60,D2342,Setup!$M$6:$M$60,C2342)=0,"⚠ หมวดไม่ตรงประเภท","✓"))))</f>
        <v/>
      </c>
    </row>
    <row r="2343">
      <c r="B2343" s="113" t="n"/>
      <c r="C2343" s="114" t="n"/>
      <c r="D2343" s="115" t="n"/>
      <c r="E2343" s="116" t="n"/>
      <c r="F2343" s="115" t="n"/>
      <c r="G2343" s="117">
        <f>IF(COUNTA(B2343:E2343)=0,"",IF(COUNTA(B2343:E2343)&lt;4,"⚠ กรอกไม่ครบ",IF(NOT(ISNUMBER(B2343)),"⚠ วันที่ไม่ถูกต้อง",IF(COUNTIFS(Setup!$L$6:$L$60,D2343,Setup!$M$6:$M$60,C2343)=0,"⚠ หมวดไม่ตรงประเภท","✓"))))</f>
        <v/>
      </c>
    </row>
    <row r="2344">
      <c r="B2344" s="113" t="n"/>
      <c r="C2344" s="114" t="n"/>
      <c r="D2344" s="115" t="n"/>
      <c r="E2344" s="116" t="n"/>
      <c r="F2344" s="115" t="n"/>
      <c r="G2344" s="117">
        <f>IF(COUNTA(B2344:E2344)=0,"",IF(COUNTA(B2344:E2344)&lt;4,"⚠ กรอกไม่ครบ",IF(NOT(ISNUMBER(B2344)),"⚠ วันที่ไม่ถูกต้อง",IF(COUNTIFS(Setup!$L$6:$L$60,D2344,Setup!$M$6:$M$60,C2344)=0,"⚠ หมวดไม่ตรงประเภท","✓"))))</f>
        <v/>
      </c>
    </row>
    <row r="2345">
      <c r="B2345" s="113" t="n"/>
      <c r="C2345" s="114" t="n"/>
      <c r="D2345" s="115" t="n"/>
      <c r="E2345" s="116" t="n"/>
      <c r="F2345" s="115" t="n"/>
      <c r="G2345" s="117">
        <f>IF(COUNTA(B2345:E2345)=0,"",IF(COUNTA(B2345:E2345)&lt;4,"⚠ กรอกไม่ครบ",IF(NOT(ISNUMBER(B2345)),"⚠ วันที่ไม่ถูกต้อง",IF(COUNTIFS(Setup!$L$6:$L$60,D2345,Setup!$M$6:$M$60,C2345)=0,"⚠ หมวดไม่ตรงประเภท","✓"))))</f>
        <v/>
      </c>
    </row>
    <row r="2346">
      <c r="B2346" s="113" t="n"/>
      <c r="C2346" s="114" t="n"/>
      <c r="D2346" s="115" t="n"/>
      <c r="E2346" s="116" t="n"/>
      <c r="F2346" s="115" t="n"/>
      <c r="G2346" s="117">
        <f>IF(COUNTA(B2346:E2346)=0,"",IF(COUNTA(B2346:E2346)&lt;4,"⚠ กรอกไม่ครบ",IF(NOT(ISNUMBER(B2346)),"⚠ วันที่ไม่ถูกต้อง",IF(COUNTIFS(Setup!$L$6:$L$60,D2346,Setup!$M$6:$M$60,C2346)=0,"⚠ หมวดไม่ตรงประเภท","✓"))))</f>
        <v/>
      </c>
    </row>
    <row r="2347">
      <c r="B2347" s="113" t="n"/>
      <c r="C2347" s="114" t="n"/>
      <c r="D2347" s="115" t="n"/>
      <c r="E2347" s="116" t="n"/>
      <c r="F2347" s="115" t="n"/>
      <c r="G2347" s="117">
        <f>IF(COUNTA(B2347:E2347)=0,"",IF(COUNTA(B2347:E2347)&lt;4,"⚠ กรอกไม่ครบ",IF(NOT(ISNUMBER(B2347)),"⚠ วันที่ไม่ถูกต้อง",IF(COUNTIFS(Setup!$L$6:$L$60,D2347,Setup!$M$6:$M$60,C2347)=0,"⚠ หมวดไม่ตรงประเภท","✓"))))</f>
        <v/>
      </c>
    </row>
    <row r="2348">
      <c r="B2348" s="113" t="n"/>
      <c r="C2348" s="114" t="n"/>
      <c r="D2348" s="115" t="n"/>
      <c r="E2348" s="116" t="n"/>
      <c r="F2348" s="115" t="n"/>
      <c r="G2348" s="117">
        <f>IF(COUNTA(B2348:E2348)=0,"",IF(COUNTA(B2348:E2348)&lt;4,"⚠ กรอกไม่ครบ",IF(NOT(ISNUMBER(B2348)),"⚠ วันที่ไม่ถูกต้อง",IF(COUNTIFS(Setup!$L$6:$L$60,D2348,Setup!$M$6:$M$60,C2348)=0,"⚠ หมวดไม่ตรงประเภท","✓"))))</f>
        <v/>
      </c>
    </row>
    <row r="2349">
      <c r="B2349" s="113" t="n"/>
      <c r="C2349" s="114" t="n"/>
      <c r="D2349" s="115" t="n"/>
      <c r="E2349" s="116" t="n"/>
      <c r="F2349" s="115" t="n"/>
      <c r="G2349" s="117">
        <f>IF(COUNTA(B2349:E2349)=0,"",IF(COUNTA(B2349:E2349)&lt;4,"⚠ กรอกไม่ครบ",IF(NOT(ISNUMBER(B2349)),"⚠ วันที่ไม่ถูกต้อง",IF(COUNTIFS(Setup!$L$6:$L$60,D2349,Setup!$M$6:$M$60,C2349)=0,"⚠ หมวดไม่ตรงประเภท","✓"))))</f>
        <v/>
      </c>
    </row>
    <row r="2350">
      <c r="B2350" s="113" t="n"/>
      <c r="C2350" s="114" t="n"/>
      <c r="D2350" s="115" t="n"/>
      <c r="E2350" s="116" t="n"/>
      <c r="F2350" s="115" t="n"/>
      <c r="G2350" s="117">
        <f>IF(COUNTA(B2350:E2350)=0,"",IF(COUNTA(B2350:E2350)&lt;4,"⚠ กรอกไม่ครบ",IF(NOT(ISNUMBER(B2350)),"⚠ วันที่ไม่ถูกต้อง",IF(COUNTIFS(Setup!$L$6:$L$60,D2350,Setup!$M$6:$M$60,C2350)=0,"⚠ หมวดไม่ตรงประเภท","✓"))))</f>
        <v/>
      </c>
    </row>
    <row r="2351">
      <c r="B2351" s="113" t="n"/>
      <c r="C2351" s="114" t="n"/>
      <c r="D2351" s="115" t="n"/>
      <c r="E2351" s="116" t="n"/>
      <c r="F2351" s="115" t="n"/>
      <c r="G2351" s="117">
        <f>IF(COUNTA(B2351:E2351)=0,"",IF(COUNTA(B2351:E2351)&lt;4,"⚠ กรอกไม่ครบ",IF(NOT(ISNUMBER(B2351)),"⚠ วันที่ไม่ถูกต้อง",IF(COUNTIFS(Setup!$L$6:$L$60,D2351,Setup!$M$6:$M$60,C2351)=0,"⚠ หมวดไม่ตรงประเภท","✓"))))</f>
        <v/>
      </c>
    </row>
    <row r="2352">
      <c r="B2352" s="113" t="n"/>
      <c r="C2352" s="114" t="n"/>
      <c r="D2352" s="115" t="n"/>
      <c r="E2352" s="116" t="n"/>
      <c r="F2352" s="115" t="n"/>
      <c r="G2352" s="117">
        <f>IF(COUNTA(B2352:E2352)=0,"",IF(COUNTA(B2352:E2352)&lt;4,"⚠ กรอกไม่ครบ",IF(NOT(ISNUMBER(B2352)),"⚠ วันที่ไม่ถูกต้อง",IF(COUNTIFS(Setup!$L$6:$L$60,D2352,Setup!$M$6:$M$60,C2352)=0,"⚠ หมวดไม่ตรงประเภท","✓"))))</f>
        <v/>
      </c>
    </row>
    <row r="2353">
      <c r="B2353" s="113" t="n"/>
      <c r="C2353" s="114" t="n"/>
      <c r="D2353" s="115" t="n"/>
      <c r="E2353" s="116" t="n"/>
      <c r="F2353" s="115" t="n"/>
      <c r="G2353" s="117">
        <f>IF(COUNTA(B2353:E2353)=0,"",IF(COUNTA(B2353:E2353)&lt;4,"⚠ กรอกไม่ครบ",IF(NOT(ISNUMBER(B2353)),"⚠ วันที่ไม่ถูกต้อง",IF(COUNTIFS(Setup!$L$6:$L$60,D2353,Setup!$M$6:$M$60,C2353)=0,"⚠ หมวดไม่ตรงประเภท","✓"))))</f>
        <v/>
      </c>
    </row>
    <row r="2354">
      <c r="B2354" s="113" t="n"/>
      <c r="C2354" s="114" t="n"/>
      <c r="D2354" s="115" t="n"/>
      <c r="E2354" s="116" t="n"/>
      <c r="F2354" s="115" t="n"/>
      <c r="G2354" s="117">
        <f>IF(COUNTA(B2354:E2354)=0,"",IF(COUNTA(B2354:E2354)&lt;4,"⚠ กรอกไม่ครบ",IF(NOT(ISNUMBER(B2354)),"⚠ วันที่ไม่ถูกต้อง",IF(COUNTIFS(Setup!$L$6:$L$60,D2354,Setup!$M$6:$M$60,C2354)=0,"⚠ หมวดไม่ตรงประเภท","✓"))))</f>
        <v/>
      </c>
    </row>
    <row r="2355">
      <c r="B2355" s="113" t="n"/>
      <c r="C2355" s="114" t="n"/>
      <c r="D2355" s="115" t="n"/>
      <c r="E2355" s="116" t="n"/>
      <c r="F2355" s="115" t="n"/>
      <c r="G2355" s="117">
        <f>IF(COUNTA(B2355:E2355)=0,"",IF(COUNTA(B2355:E2355)&lt;4,"⚠ กรอกไม่ครบ",IF(NOT(ISNUMBER(B2355)),"⚠ วันที่ไม่ถูกต้อง",IF(COUNTIFS(Setup!$L$6:$L$60,D2355,Setup!$M$6:$M$60,C2355)=0,"⚠ หมวดไม่ตรงประเภท","✓"))))</f>
        <v/>
      </c>
    </row>
    <row r="2356">
      <c r="B2356" s="113" t="n"/>
      <c r="C2356" s="114" t="n"/>
      <c r="D2356" s="115" t="n"/>
      <c r="E2356" s="116" t="n"/>
      <c r="F2356" s="115" t="n"/>
      <c r="G2356" s="117">
        <f>IF(COUNTA(B2356:E2356)=0,"",IF(COUNTA(B2356:E2356)&lt;4,"⚠ กรอกไม่ครบ",IF(NOT(ISNUMBER(B2356)),"⚠ วันที่ไม่ถูกต้อง",IF(COUNTIFS(Setup!$L$6:$L$60,D2356,Setup!$M$6:$M$60,C2356)=0,"⚠ หมวดไม่ตรงประเภท","✓"))))</f>
        <v/>
      </c>
    </row>
    <row r="2357">
      <c r="B2357" s="113" t="n"/>
      <c r="C2357" s="114" t="n"/>
      <c r="D2357" s="115" t="n"/>
      <c r="E2357" s="116" t="n"/>
      <c r="F2357" s="115" t="n"/>
      <c r="G2357" s="117">
        <f>IF(COUNTA(B2357:E2357)=0,"",IF(COUNTA(B2357:E2357)&lt;4,"⚠ กรอกไม่ครบ",IF(NOT(ISNUMBER(B2357)),"⚠ วันที่ไม่ถูกต้อง",IF(COUNTIFS(Setup!$L$6:$L$60,D2357,Setup!$M$6:$M$60,C2357)=0,"⚠ หมวดไม่ตรงประเภท","✓"))))</f>
        <v/>
      </c>
    </row>
    <row r="2358">
      <c r="B2358" s="113" t="n"/>
      <c r="C2358" s="114" t="n"/>
      <c r="D2358" s="115" t="n"/>
      <c r="E2358" s="116" t="n"/>
      <c r="F2358" s="115" t="n"/>
      <c r="G2358" s="117">
        <f>IF(COUNTA(B2358:E2358)=0,"",IF(COUNTA(B2358:E2358)&lt;4,"⚠ กรอกไม่ครบ",IF(NOT(ISNUMBER(B2358)),"⚠ วันที่ไม่ถูกต้อง",IF(COUNTIFS(Setup!$L$6:$L$60,D2358,Setup!$M$6:$M$60,C2358)=0,"⚠ หมวดไม่ตรงประเภท","✓"))))</f>
        <v/>
      </c>
    </row>
    <row r="2359">
      <c r="B2359" s="113" t="n"/>
      <c r="C2359" s="114" t="n"/>
      <c r="D2359" s="115" t="n"/>
      <c r="E2359" s="116" t="n"/>
      <c r="F2359" s="115" t="n"/>
      <c r="G2359" s="117">
        <f>IF(COUNTA(B2359:E2359)=0,"",IF(COUNTA(B2359:E2359)&lt;4,"⚠ กรอกไม่ครบ",IF(NOT(ISNUMBER(B2359)),"⚠ วันที่ไม่ถูกต้อง",IF(COUNTIFS(Setup!$L$6:$L$60,D2359,Setup!$M$6:$M$60,C2359)=0,"⚠ หมวดไม่ตรงประเภท","✓"))))</f>
        <v/>
      </c>
    </row>
    <row r="2360">
      <c r="B2360" s="113" t="n"/>
      <c r="C2360" s="114" t="n"/>
      <c r="D2360" s="115" t="n"/>
      <c r="E2360" s="116" t="n"/>
      <c r="F2360" s="115" t="n"/>
      <c r="G2360" s="117">
        <f>IF(COUNTA(B2360:E2360)=0,"",IF(COUNTA(B2360:E2360)&lt;4,"⚠ กรอกไม่ครบ",IF(NOT(ISNUMBER(B2360)),"⚠ วันที่ไม่ถูกต้อง",IF(COUNTIFS(Setup!$L$6:$L$60,D2360,Setup!$M$6:$M$60,C2360)=0,"⚠ หมวดไม่ตรงประเภท","✓"))))</f>
        <v/>
      </c>
    </row>
    <row r="2361">
      <c r="B2361" s="113" t="n"/>
      <c r="C2361" s="114" t="n"/>
      <c r="D2361" s="115" t="n"/>
      <c r="E2361" s="116" t="n"/>
      <c r="F2361" s="115" t="n"/>
      <c r="G2361" s="117">
        <f>IF(COUNTA(B2361:E2361)=0,"",IF(COUNTA(B2361:E2361)&lt;4,"⚠ กรอกไม่ครบ",IF(NOT(ISNUMBER(B2361)),"⚠ วันที่ไม่ถูกต้อง",IF(COUNTIFS(Setup!$L$6:$L$60,D2361,Setup!$M$6:$M$60,C2361)=0,"⚠ หมวดไม่ตรงประเภท","✓"))))</f>
        <v/>
      </c>
    </row>
    <row r="2362">
      <c r="B2362" s="113" t="n"/>
      <c r="C2362" s="114" t="n"/>
      <c r="D2362" s="115" t="n"/>
      <c r="E2362" s="116" t="n"/>
      <c r="F2362" s="115" t="n"/>
      <c r="G2362" s="117">
        <f>IF(COUNTA(B2362:E2362)=0,"",IF(COUNTA(B2362:E2362)&lt;4,"⚠ กรอกไม่ครบ",IF(NOT(ISNUMBER(B2362)),"⚠ วันที่ไม่ถูกต้อง",IF(COUNTIFS(Setup!$L$6:$L$60,D2362,Setup!$M$6:$M$60,C2362)=0,"⚠ หมวดไม่ตรงประเภท","✓"))))</f>
        <v/>
      </c>
    </row>
    <row r="2363">
      <c r="B2363" s="113" t="n"/>
      <c r="C2363" s="114" t="n"/>
      <c r="D2363" s="115" t="n"/>
      <c r="E2363" s="116" t="n"/>
      <c r="F2363" s="115" t="n"/>
      <c r="G2363" s="117">
        <f>IF(COUNTA(B2363:E2363)=0,"",IF(COUNTA(B2363:E2363)&lt;4,"⚠ กรอกไม่ครบ",IF(NOT(ISNUMBER(B2363)),"⚠ วันที่ไม่ถูกต้อง",IF(COUNTIFS(Setup!$L$6:$L$60,D2363,Setup!$M$6:$M$60,C2363)=0,"⚠ หมวดไม่ตรงประเภท","✓"))))</f>
        <v/>
      </c>
    </row>
    <row r="2364">
      <c r="B2364" s="113" t="n"/>
      <c r="C2364" s="114" t="n"/>
      <c r="D2364" s="115" t="n"/>
      <c r="E2364" s="116" t="n"/>
      <c r="F2364" s="115" t="n"/>
      <c r="G2364" s="117">
        <f>IF(COUNTA(B2364:E2364)=0,"",IF(COUNTA(B2364:E2364)&lt;4,"⚠ กรอกไม่ครบ",IF(NOT(ISNUMBER(B2364)),"⚠ วันที่ไม่ถูกต้อง",IF(COUNTIFS(Setup!$L$6:$L$60,D2364,Setup!$M$6:$M$60,C2364)=0,"⚠ หมวดไม่ตรงประเภท","✓"))))</f>
        <v/>
      </c>
    </row>
    <row r="2365">
      <c r="B2365" s="113" t="n"/>
      <c r="C2365" s="114" t="n"/>
      <c r="D2365" s="115" t="n"/>
      <c r="E2365" s="116" t="n"/>
      <c r="F2365" s="115" t="n"/>
      <c r="G2365" s="117">
        <f>IF(COUNTA(B2365:E2365)=0,"",IF(COUNTA(B2365:E2365)&lt;4,"⚠ กรอกไม่ครบ",IF(NOT(ISNUMBER(B2365)),"⚠ วันที่ไม่ถูกต้อง",IF(COUNTIFS(Setup!$L$6:$L$60,D2365,Setup!$M$6:$M$60,C2365)=0,"⚠ หมวดไม่ตรงประเภท","✓"))))</f>
        <v/>
      </c>
    </row>
    <row r="2366">
      <c r="B2366" s="113" t="n"/>
      <c r="C2366" s="114" t="n"/>
      <c r="D2366" s="115" t="n"/>
      <c r="E2366" s="116" t="n"/>
      <c r="F2366" s="115" t="n"/>
      <c r="G2366" s="117">
        <f>IF(COUNTA(B2366:E2366)=0,"",IF(COUNTA(B2366:E2366)&lt;4,"⚠ กรอกไม่ครบ",IF(NOT(ISNUMBER(B2366)),"⚠ วันที่ไม่ถูกต้อง",IF(COUNTIFS(Setup!$L$6:$L$60,D2366,Setup!$M$6:$M$60,C2366)=0,"⚠ หมวดไม่ตรงประเภท","✓"))))</f>
        <v/>
      </c>
    </row>
    <row r="2367">
      <c r="B2367" s="113" t="n"/>
      <c r="C2367" s="114" t="n"/>
      <c r="D2367" s="115" t="n"/>
      <c r="E2367" s="116" t="n"/>
      <c r="F2367" s="115" t="n"/>
      <c r="G2367" s="117">
        <f>IF(COUNTA(B2367:E2367)=0,"",IF(COUNTA(B2367:E2367)&lt;4,"⚠ กรอกไม่ครบ",IF(NOT(ISNUMBER(B2367)),"⚠ วันที่ไม่ถูกต้อง",IF(COUNTIFS(Setup!$L$6:$L$60,D2367,Setup!$M$6:$M$60,C2367)=0,"⚠ หมวดไม่ตรงประเภท","✓"))))</f>
        <v/>
      </c>
    </row>
    <row r="2368">
      <c r="B2368" s="113" t="n"/>
      <c r="C2368" s="114" t="n"/>
      <c r="D2368" s="115" t="n"/>
      <c r="E2368" s="116" t="n"/>
      <c r="F2368" s="115" t="n"/>
      <c r="G2368" s="117">
        <f>IF(COUNTA(B2368:E2368)=0,"",IF(COUNTA(B2368:E2368)&lt;4,"⚠ กรอกไม่ครบ",IF(NOT(ISNUMBER(B2368)),"⚠ วันที่ไม่ถูกต้อง",IF(COUNTIFS(Setup!$L$6:$L$60,D2368,Setup!$M$6:$M$60,C2368)=0,"⚠ หมวดไม่ตรงประเภท","✓"))))</f>
        <v/>
      </c>
    </row>
    <row r="2369">
      <c r="B2369" s="113" t="n"/>
      <c r="C2369" s="114" t="n"/>
      <c r="D2369" s="115" t="n"/>
      <c r="E2369" s="116" t="n"/>
      <c r="F2369" s="115" t="n"/>
      <c r="G2369" s="117">
        <f>IF(COUNTA(B2369:E2369)=0,"",IF(COUNTA(B2369:E2369)&lt;4,"⚠ กรอกไม่ครบ",IF(NOT(ISNUMBER(B2369)),"⚠ วันที่ไม่ถูกต้อง",IF(COUNTIFS(Setup!$L$6:$L$60,D2369,Setup!$M$6:$M$60,C2369)=0,"⚠ หมวดไม่ตรงประเภท","✓"))))</f>
        <v/>
      </c>
    </row>
    <row r="2370">
      <c r="B2370" s="113" t="n"/>
      <c r="C2370" s="114" t="n"/>
      <c r="D2370" s="115" t="n"/>
      <c r="E2370" s="116" t="n"/>
      <c r="F2370" s="115" t="n"/>
      <c r="G2370" s="117">
        <f>IF(COUNTA(B2370:E2370)=0,"",IF(COUNTA(B2370:E2370)&lt;4,"⚠ กรอกไม่ครบ",IF(NOT(ISNUMBER(B2370)),"⚠ วันที่ไม่ถูกต้อง",IF(COUNTIFS(Setup!$L$6:$L$60,D2370,Setup!$M$6:$M$60,C2370)=0,"⚠ หมวดไม่ตรงประเภท","✓"))))</f>
        <v/>
      </c>
    </row>
    <row r="2371">
      <c r="B2371" s="113" t="n"/>
      <c r="C2371" s="114" t="n"/>
      <c r="D2371" s="115" t="n"/>
      <c r="E2371" s="116" t="n"/>
      <c r="F2371" s="115" t="n"/>
      <c r="G2371" s="117">
        <f>IF(COUNTA(B2371:E2371)=0,"",IF(COUNTA(B2371:E2371)&lt;4,"⚠ กรอกไม่ครบ",IF(NOT(ISNUMBER(B2371)),"⚠ วันที่ไม่ถูกต้อง",IF(COUNTIFS(Setup!$L$6:$L$60,D2371,Setup!$M$6:$M$60,C2371)=0,"⚠ หมวดไม่ตรงประเภท","✓"))))</f>
        <v/>
      </c>
    </row>
    <row r="2372">
      <c r="B2372" s="113" t="n"/>
      <c r="C2372" s="114" t="n"/>
      <c r="D2372" s="115" t="n"/>
      <c r="E2372" s="116" t="n"/>
      <c r="F2372" s="115" t="n"/>
      <c r="G2372" s="117">
        <f>IF(COUNTA(B2372:E2372)=0,"",IF(COUNTA(B2372:E2372)&lt;4,"⚠ กรอกไม่ครบ",IF(NOT(ISNUMBER(B2372)),"⚠ วันที่ไม่ถูกต้อง",IF(COUNTIFS(Setup!$L$6:$L$60,D2372,Setup!$M$6:$M$60,C2372)=0,"⚠ หมวดไม่ตรงประเภท","✓"))))</f>
        <v/>
      </c>
    </row>
    <row r="2373">
      <c r="B2373" s="113" t="n"/>
      <c r="C2373" s="114" t="n"/>
      <c r="D2373" s="115" t="n"/>
      <c r="E2373" s="116" t="n"/>
      <c r="F2373" s="115" t="n"/>
      <c r="G2373" s="117">
        <f>IF(COUNTA(B2373:E2373)=0,"",IF(COUNTA(B2373:E2373)&lt;4,"⚠ กรอกไม่ครบ",IF(NOT(ISNUMBER(B2373)),"⚠ วันที่ไม่ถูกต้อง",IF(COUNTIFS(Setup!$L$6:$L$60,D2373,Setup!$M$6:$M$60,C2373)=0,"⚠ หมวดไม่ตรงประเภท","✓"))))</f>
        <v/>
      </c>
    </row>
    <row r="2374">
      <c r="B2374" s="113" t="n"/>
      <c r="C2374" s="114" t="n"/>
      <c r="D2374" s="115" t="n"/>
      <c r="E2374" s="116" t="n"/>
      <c r="F2374" s="115" t="n"/>
      <c r="G2374" s="117">
        <f>IF(COUNTA(B2374:E2374)=0,"",IF(COUNTA(B2374:E2374)&lt;4,"⚠ กรอกไม่ครบ",IF(NOT(ISNUMBER(B2374)),"⚠ วันที่ไม่ถูกต้อง",IF(COUNTIFS(Setup!$L$6:$L$60,D2374,Setup!$M$6:$M$60,C2374)=0,"⚠ หมวดไม่ตรงประเภท","✓"))))</f>
        <v/>
      </c>
    </row>
    <row r="2375">
      <c r="B2375" s="113" t="n"/>
      <c r="C2375" s="114" t="n"/>
      <c r="D2375" s="115" t="n"/>
      <c r="E2375" s="116" t="n"/>
      <c r="F2375" s="115" t="n"/>
      <c r="G2375" s="117">
        <f>IF(COUNTA(B2375:E2375)=0,"",IF(COUNTA(B2375:E2375)&lt;4,"⚠ กรอกไม่ครบ",IF(NOT(ISNUMBER(B2375)),"⚠ วันที่ไม่ถูกต้อง",IF(COUNTIFS(Setup!$L$6:$L$60,D2375,Setup!$M$6:$M$60,C2375)=0,"⚠ หมวดไม่ตรงประเภท","✓"))))</f>
        <v/>
      </c>
    </row>
    <row r="2376">
      <c r="B2376" s="113" t="n"/>
      <c r="C2376" s="114" t="n"/>
      <c r="D2376" s="115" t="n"/>
      <c r="E2376" s="116" t="n"/>
      <c r="F2376" s="115" t="n"/>
      <c r="G2376" s="117">
        <f>IF(COUNTA(B2376:E2376)=0,"",IF(COUNTA(B2376:E2376)&lt;4,"⚠ กรอกไม่ครบ",IF(NOT(ISNUMBER(B2376)),"⚠ วันที่ไม่ถูกต้อง",IF(COUNTIFS(Setup!$L$6:$L$60,D2376,Setup!$M$6:$M$60,C2376)=0,"⚠ หมวดไม่ตรงประเภท","✓"))))</f>
        <v/>
      </c>
    </row>
    <row r="2377">
      <c r="B2377" s="113" t="n"/>
      <c r="C2377" s="114" t="n"/>
      <c r="D2377" s="115" t="n"/>
      <c r="E2377" s="116" t="n"/>
      <c r="F2377" s="115" t="n"/>
      <c r="G2377" s="117">
        <f>IF(COUNTA(B2377:E2377)=0,"",IF(COUNTA(B2377:E2377)&lt;4,"⚠ กรอกไม่ครบ",IF(NOT(ISNUMBER(B2377)),"⚠ วันที่ไม่ถูกต้อง",IF(COUNTIFS(Setup!$L$6:$L$60,D2377,Setup!$M$6:$M$60,C2377)=0,"⚠ หมวดไม่ตรงประเภท","✓"))))</f>
        <v/>
      </c>
    </row>
    <row r="2378">
      <c r="B2378" s="113" t="n"/>
      <c r="C2378" s="114" t="n"/>
      <c r="D2378" s="115" t="n"/>
      <c r="E2378" s="116" t="n"/>
      <c r="F2378" s="115" t="n"/>
      <c r="G2378" s="117">
        <f>IF(COUNTA(B2378:E2378)=0,"",IF(COUNTA(B2378:E2378)&lt;4,"⚠ กรอกไม่ครบ",IF(NOT(ISNUMBER(B2378)),"⚠ วันที่ไม่ถูกต้อง",IF(COUNTIFS(Setup!$L$6:$L$60,D2378,Setup!$M$6:$M$60,C2378)=0,"⚠ หมวดไม่ตรงประเภท","✓"))))</f>
        <v/>
      </c>
    </row>
    <row r="2379">
      <c r="B2379" s="113" t="n"/>
      <c r="C2379" s="114" t="n"/>
      <c r="D2379" s="115" t="n"/>
      <c r="E2379" s="116" t="n"/>
      <c r="F2379" s="115" t="n"/>
      <c r="G2379" s="117">
        <f>IF(COUNTA(B2379:E2379)=0,"",IF(COUNTA(B2379:E2379)&lt;4,"⚠ กรอกไม่ครบ",IF(NOT(ISNUMBER(B2379)),"⚠ วันที่ไม่ถูกต้อง",IF(COUNTIFS(Setup!$L$6:$L$60,D2379,Setup!$M$6:$M$60,C2379)=0,"⚠ หมวดไม่ตรงประเภท","✓"))))</f>
        <v/>
      </c>
    </row>
    <row r="2380">
      <c r="B2380" s="113" t="n"/>
      <c r="C2380" s="114" t="n"/>
      <c r="D2380" s="115" t="n"/>
      <c r="E2380" s="116" t="n"/>
      <c r="F2380" s="115" t="n"/>
      <c r="G2380" s="117">
        <f>IF(COUNTA(B2380:E2380)=0,"",IF(COUNTA(B2380:E2380)&lt;4,"⚠ กรอกไม่ครบ",IF(NOT(ISNUMBER(B2380)),"⚠ วันที่ไม่ถูกต้อง",IF(COUNTIFS(Setup!$L$6:$L$60,D2380,Setup!$M$6:$M$60,C2380)=0,"⚠ หมวดไม่ตรงประเภท","✓"))))</f>
        <v/>
      </c>
    </row>
    <row r="2381">
      <c r="B2381" s="113" t="n"/>
      <c r="C2381" s="114" t="n"/>
      <c r="D2381" s="115" t="n"/>
      <c r="E2381" s="116" t="n"/>
      <c r="F2381" s="115" t="n"/>
      <c r="G2381" s="117">
        <f>IF(COUNTA(B2381:E2381)=0,"",IF(COUNTA(B2381:E2381)&lt;4,"⚠ กรอกไม่ครบ",IF(NOT(ISNUMBER(B2381)),"⚠ วันที่ไม่ถูกต้อง",IF(COUNTIFS(Setup!$L$6:$L$60,D2381,Setup!$M$6:$M$60,C2381)=0,"⚠ หมวดไม่ตรงประเภท","✓"))))</f>
        <v/>
      </c>
    </row>
    <row r="2382">
      <c r="B2382" s="113" t="n"/>
      <c r="C2382" s="114" t="n"/>
      <c r="D2382" s="115" t="n"/>
      <c r="E2382" s="116" t="n"/>
      <c r="F2382" s="115" t="n"/>
      <c r="G2382" s="117">
        <f>IF(COUNTA(B2382:E2382)=0,"",IF(COUNTA(B2382:E2382)&lt;4,"⚠ กรอกไม่ครบ",IF(NOT(ISNUMBER(B2382)),"⚠ วันที่ไม่ถูกต้อง",IF(COUNTIFS(Setup!$L$6:$L$60,D2382,Setup!$M$6:$M$60,C2382)=0,"⚠ หมวดไม่ตรงประเภท","✓"))))</f>
        <v/>
      </c>
    </row>
    <row r="2383">
      <c r="B2383" s="113" t="n"/>
      <c r="C2383" s="114" t="n"/>
      <c r="D2383" s="115" t="n"/>
      <c r="E2383" s="116" t="n"/>
      <c r="F2383" s="115" t="n"/>
      <c r="G2383" s="117">
        <f>IF(COUNTA(B2383:E2383)=0,"",IF(COUNTA(B2383:E2383)&lt;4,"⚠ กรอกไม่ครบ",IF(NOT(ISNUMBER(B2383)),"⚠ วันที่ไม่ถูกต้อง",IF(COUNTIFS(Setup!$L$6:$L$60,D2383,Setup!$M$6:$M$60,C2383)=0,"⚠ หมวดไม่ตรงประเภท","✓"))))</f>
        <v/>
      </c>
    </row>
    <row r="2384">
      <c r="B2384" s="113" t="n"/>
      <c r="C2384" s="114" t="n"/>
      <c r="D2384" s="115" t="n"/>
      <c r="E2384" s="116" t="n"/>
      <c r="F2384" s="115" t="n"/>
      <c r="G2384" s="117">
        <f>IF(COUNTA(B2384:E2384)=0,"",IF(COUNTA(B2384:E2384)&lt;4,"⚠ กรอกไม่ครบ",IF(NOT(ISNUMBER(B2384)),"⚠ วันที่ไม่ถูกต้อง",IF(COUNTIFS(Setup!$L$6:$L$60,D2384,Setup!$M$6:$M$60,C2384)=0,"⚠ หมวดไม่ตรงประเภท","✓"))))</f>
        <v/>
      </c>
    </row>
    <row r="2385">
      <c r="B2385" s="113" t="n"/>
      <c r="C2385" s="114" t="n"/>
      <c r="D2385" s="115" t="n"/>
      <c r="E2385" s="116" t="n"/>
      <c r="F2385" s="115" t="n"/>
      <c r="G2385" s="117">
        <f>IF(COUNTA(B2385:E2385)=0,"",IF(COUNTA(B2385:E2385)&lt;4,"⚠ กรอกไม่ครบ",IF(NOT(ISNUMBER(B2385)),"⚠ วันที่ไม่ถูกต้อง",IF(COUNTIFS(Setup!$L$6:$L$60,D2385,Setup!$M$6:$M$60,C2385)=0,"⚠ หมวดไม่ตรงประเภท","✓"))))</f>
        <v/>
      </c>
    </row>
    <row r="2386">
      <c r="B2386" s="113" t="n"/>
      <c r="C2386" s="114" t="n"/>
      <c r="D2386" s="115" t="n"/>
      <c r="E2386" s="116" t="n"/>
      <c r="F2386" s="115" t="n"/>
      <c r="G2386" s="117">
        <f>IF(COUNTA(B2386:E2386)=0,"",IF(COUNTA(B2386:E2386)&lt;4,"⚠ กรอกไม่ครบ",IF(NOT(ISNUMBER(B2386)),"⚠ วันที่ไม่ถูกต้อง",IF(COUNTIFS(Setup!$L$6:$L$60,D2386,Setup!$M$6:$M$60,C2386)=0,"⚠ หมวดไม่ตรงประเภท","✓"))))</f>
        <v/>
      </c>
    </row>
    <row r="2387">
      <c r="B2387" s="113" t="n"/>
      <c r="C2387" s="114" t="n"/>
      <c r="D2387" s="115" t="n"/>
      <c r="E2387" s="116" t="n"/>
      <c r="F2387" s="115" t="n"/>
      <c r="G2387" s="117">
        <f>IF(COUNTA(B2387:E2387)=0,"",IF(COUNTA(B2387:E2387)&lt;4,"⚠ กรอกไม่ครบ",IF(NOT(ISNUMBER(B2387)),"⚠ วันที่ไม่ถูกต้อง",IF(COUNTIFS(Setup!$L$6:$L$60,D2387,Setup!$M$6:$M$60,C2387)=0,"⚠ หมวดไม่ตรงประเภท","✓"))))</f>
        <v/>
      </c>
    </row>
    <row r="2388">
      <c r="B2388" s="113" t="n"/>
      <c r="C2388" s="114" t="n"/>
      <c r="D2388" s="115" t="n"/>
      <c r="E2388" s="116" t="n"/>
      <c r="F2388" s="115" t="n"/>
      <c r="G2388" s="117">
        <f>IF(COUNTA(B2388:E2388)=0,"",IF(COUNTA(B2388:E2388)&lt;4,"⚠ กรอกไม่ครบ",IF(NOT(ISNUMBER(B2388)),"⚠ วันที่ไม่ถูกต้อง",IF(COUNTIFS(Setup!$L$6:$L$60,D2388,Setup!$M$6:$M$60,C2388)=0,"⚠ หมวดไม่ตรงประเภท","✓"))))</f>
        <v/>
      </c>
    </row>
    <row r="2389">
      <c r="B2389" s="113" t="n"/>
      <c r="C2389" s="114" t="n"/>
      <c r="D2389" s="115" t="n"/>
      <c r="E2389" s="116" t="n"/>
      <c r="F2389" s="115" t="n"/>
      <c r="G2389" s="117">
        <f>IF(COUNTA(B2389:E2389)=0,"",IF(COUNTA(B2389:E2389)&lt;4,"⚠ กรอกไม่ครบ",IF(NOT(ISNUMBER(B2389)),"⚠ วันที่ไม่ถูกต้อง",IF(COUNTIFS(Setup!$L$6:$L$60,D2389,Setup!$M$6:$M$60,C2389)=0,"⚠ หมวดไม่ตรงประเภท","✓"))))</f>
        <v/>
      </c>
    </row>
    <row r="2390">
      <c r="B2390" s="113" t="n"/>
      <c r="C2390" s="114" t="n"/>
      <c r="D2390" s="115" t="n"/>
      <c r="E2390" s="116" t="n"/>
      <c r="F2390" s="115" t="n"/>
      <c r="G2390" s="117">
        <f>IF(COUNTA(B2390:E2390)=0,"",IF(COUNTA(B2390:E2390)&lt;4,"⚠ กรอกไม่ครบ",IF(NOT(ISNUMBER(B2390)),"⚠ วันที่ไม่ถูกต้อง",IF(COUNTIFS(Setup!$L$6:$L$60,D2390,Setup!$M$6:$M$60,C2390)=0,"⚠ หมวดไม่ตรงประเภท","✓"))))</f>
        <v/>
      </c>
    </row>
    <row r="2391">
      <c r="B2391" s="113" t="n"/>
      <c r="C2391" s="114" t="n"/>
      <c r="D2391" s="115" t="n"/>
      <c r="E2391" s="116" t="n"/>
      <c r="F2391" s="115" t="n"/>
      <c r="G2391" s="117">
        <f>IF(COUNTA(B2391:E2391)=0,"",IF(COUNTA(B2391:E2391)&lt;4,"⚠ กรอกไม่ครบ",IF(NOT(ISNUMBER(B2391)),"⚠ วันที่ไม่ถูกต้อง",IF(COUNTIFS(Setup!$L$6:$L$60,D2391,Setup!$M$6:$M$60,C2391)=0,"⚠ หมวดไม่ตรงประเภท","✓"))))</f>
        <v/>
      </c>
    </row>
    <row r="2392">
      <c r="B2392" s="113" t="n"/>
      <c r="C2392" s="114" t="n"/>
      <c r="D2392" s="115" t="n"/>
      <c r="E2392" s="116" t="n"/>
      <c r="F2392" s="115" t="n"/>
      <c r="G2392" s="117">
        <f>IF(COUNTA(B2392:E2392)=0,"",IF(COUNTA(B2392:E2392)&lt;4,"⚠ กรอกไม่ครบ",IF(NOT(ISNUMBER(B2392)),"⚠ วันที่ไม่ถูกต้อง",IF(COUNTIFS(Setup!$L$6:$L$60,D2392,Setup!$M$6:$M$60,C2392)=0,"⚠ หมวดไม่ตรงประเภท","✓"))))</f>
        <v/>
      </c>
    </row>
    <row r="2393">
      <c r="B2393" s="113" t="n"/>
      <c r="C2393" s="114" t="n"/>
      <c r="D2393" s="115" t="n"/>
      <c r="E2393" s="116" t="n"/>
      <c r="F2393" s="115" t="n"/>
      <c r="G2393" s="117">
        <f>IF(COUNTA(B2393:E2393)=0,"",IF(COUNTA(B2393:E2393)&lt;4,"⚠ กรอกไม่ครบ",IF(NOT(ISNUMBER(B2393)),"⚠ วันที่ไม่ถูกต้อง",IF(COUNTIFS(Setup!$L$6:$L$60,D2393,Setup!$M$6:$M$60,C2393)=0,"⚠ หมวดไม่ตรงประเภท","✓"))))</f>
        <v/>
      </c>
    </row>
    <row r="2394">
      <c r="B2394" s="113" t="n"/>
      <c r="C2394" s="114" t="n"/>
      <c r="D2394" s="115" t="n"/>
      <c r="E2394" s="116" t="n"/>
      <c r="F2394" s="115" t="n"/>
      <c r="G2394" s="117">
        <f>IF(COUNTA(B2394:E2394)=0,"",IF(COUNTA(B2394:E2394)&lt;4,"⚠ กรอกไม่ครบ",IF(NOT(ISNUMBER(B2394)),"⚠ วันที่ไม่ถูกต้อง",IF(COUNTIFS(Setup!$L$6:$L$60,D2394,Setup!$M$6:$M$60,C2394)=0,"⚠ หมวดไม่ตรงประเภท","✓"))))</f>
        <v/>
      </c>
    </row>
    <row r="2395">
      <c r="B2395" s="113" t="n"/>
      <c r="C2395" s="114" t="n"/>
      <c r="D2395" s="115" t="n"/>
      <c r="E2395" s="116" t="n"/>
      <c r="F2395" s="115" t="n"/>
      <c r="G2395" s="117">
        <f>IF(COUNTA(B2395:E2395)=0,"",IF(COUNTA(B2395:E2395)&lt;4,"⚠ กรอกไม่ครบ",IF(NOT(ISNUMBER(B2395)),"⚠ วันที่ไม่ถูกต้อง",IF(COUNTIFS(Setup!$L$6:$L$60,D2395,Setup!$M$6:$M$60,C2395)=0,"⚠ หมวดไม่ตรงประเภท","✓"))))</f>
        <v/>
      </c>
    </row>
    <row r="2396">
      <c r="B2396" s="113" t="n"/>
      <c r="C2396" s="114" t="n"/>
      <c r="D2396" s="115" t="n"/>
      <c r="E2396" s="116" t="n"/>
      <c r="F2396" s="115" t="n"/>
      <c r="G2396" s="117">
        <f>IF(COUNTA(B2396:E2396)=0,"",IF(COUNTA(B2396:E2396)&lt;4,"⚠ กรอกไม่ครบ",IF(NOT(ISNUMBER(B2396)),"⚠ วันที่ไม่ถูกต้อง",IF(COUNTIFS(Setup!$L$6:$L$60,D2396,Setup!$M$6:$M$60,C2396)=0,"⚠ หมวดไม่ตรงประเภท","✓"))))</f>
        <v/>
      </c>
    </row>
    <row r="2397">
      <c r="B2397" s="113" t="n"/>
      <c r="C2397" s="114" t="n"/>
      <c r="D2397" s="115" t="n"/>
      <c r="E2397" s="116" t="n"/>
      <c r="F2397" s="115" t="n"/>
      <c r="G2397" s="117">
        <f>IF(COUNTA(B2397:E2397)=0,"",IF(COUNTA(B2397:E2397)&lt;4,"⚠ กรอกไม่ครบ",IF(NOT(ISNUMBER(B2397)),"⚠ วันที่ไม่ถูกต้อง",IF(COUNTIFS(Setup!$L$6:$L$60,D2397,Setup!$M$6:$M$60,C2397)=0,"⚠ หมวดไม่ตรงประเภท","✓"))))</f>
        <v/>
      </c>
    </row>
    <row r="2398">
      <c r="B2398" s="113" t="n"/>
      <c r="C2398" s="114" t="n"/>
      <c r="D2398" s="115" t="n"/>
      <c r="E2398" s="116" t="n"/>
      <c r="F2398" s="115" t="n"/>
      <c r="G2398" s="117">
        <f>IF(COUNTA(B2398:E2398)=0,"",IF(COUNTA(B2398:E2398)&lt;4,"⚠ กรอกไม่ครบ",IF(NOT(ISNUMBER(B2398)),"⚠ วันที่ไม่ถูกต้อง",IF(COUNTIFS(Setup!$L$6:$L$60,D2398,Setup!$M$6:$M$60,C2398)=0,"⚠ หมวดไม่ตรงประเภท","✓"))))</f>
        <v/>
      </c>
    </row>
    <row r="2399">
      <c r="B2399" s="113" t="n"/>
      <c r="C2399" s="114" t="n"/>
      <c r="D2399" s="115" t="n"/>
      <c r="E2399" s="116" t="n"/>
      <c r="F2399" s="115" t="n"/>
      <c r="G2399" s="117">
        <f>IF(COUNTA(B2399:E2399)=0,"",IF(COUNTA(B2399:E2399)&lt;4,"⚠ กรอกไม่ครบ",IF(NOT(ISNUMBER(B2399)),"⚠ วันที่ไม่ถูกต้อง",IF(COUNTIFS(Setup!$L$6:$L$60,D2399,Setup!$M$6:$M$60,C2399)=0,"⚠ หมวดไม่ตรงประเภท","✓"))))</f>
        <v/>
      </c>
    </row>
    <row r="2400">
      <c r="B2400" s="113" t="n"/>
      <c r="C2400" s="114" t="n"/>
      <c r="D2400" s="115" t="n"/>
      <c r="E2400" s="116" t="n"/>
      <c r="F2400" s="115" t="n"/>
      <c r="G2400" s="117">
        <f>IF(COUNTA(B2400:E2400)=0,"",IF(COUNTA(B2400:E2400)&lt;4,"⚠ กรอกไม่ครบ",IF(NOT(ISNUMBER(B2400)),"⚠ วันที่ไม่ถูกต้อง",IF(COUNTIFS(Setup!$L$6:$L$60,D2400,Setup!$M$6:$M$60,C2400)=0,"⚠ หมวดไม่ตรงประเภท","✓"))))</f>
        <v/>
      </c>
    </row>
    <row r="2401">
      <c r="B2401" s="113" t="n"/>
      <c r="C2401" s="114" t="n"/>
      <c r="D2401" s="115" t="n"/>
      <c r="E2401" s="116" t="n"/>
      <c r="F2401" s="115" t="n"/>
      <c r="G2401" s="117">
        <f>IF(COUNTA(B2401:E2401)=0,"",IF(COUNTA(B2401:E2401)&lt;4,"⚠ กรอกไม่ครบ",IF(NOT(ISNUMBER(B2401)),"⚠ วันที่ไม่ถูกต้อง",IF(COUNTIFS(Setup!$L$6:$L$60,D2401,Setup!$M$6:$M$60,C2401)=0,"⚠ หมวดไม่ตรงประเภท","✓"))))</f>
        <v/>
      </c>
    </row>
    <row r="2402">
      <c r="B2402" s="113" t="n"/>
      <c r="C2402" s="114" t="n"/>
      <c r="D2402" s="115" t="n"/>
      <c r="E2402" s="116" t="n"/>
      <c r="F2402" s="115" t="n"/>
      <c r="G2402" s="117">
        <f>IF(COUNTA(B2402:E2402)=0,"",IF(COUNTA(B2402:E2402)&lt;4,"⚠ กรอกไม่ครบ",IF(NOT(ISNUMBER(B2402)),"⚠ วันที่ไม่ถูกต้อง",IF(COUNTIFS(Setup!$L$6:$L$60,D2402,Setup!$M$6:$M$60,C2402)=0,"⚠ หมวดไม่ตรงประเภท","✓"))))</f>
        <v/>
      </c>
    </row>
    <row r="2403">
      <c r="B2403" s="113" t="n"/>
      <c r="C2403" s="114" t="n"/>
      <c r="D2403" s="115" t="n"/>
      <c r="E2403" s="116" t="n"/>
      <c r="F2403" s="115" t="n"/>
      <c r="G2403" s="117">
        <f>IF(COUNTA(B2403:E2403)=0,"",IF(COUNTA(B2403:E2403)&lt;4,"⚠ กรอกไม่ครบ",IF(NOT(ISNUMBER(B2403)),"⚠ วันที่ไม่ถูกต้อง",IF(COUNTIFS(Setup!$L$6:$L$60,D2403,Setup!$M$6:$M$60,C2403)=0,"⚠ หมวดไม่ตรงประเภท","✓"))))</f>
        <v/>
      </c>
    </row>
    <row r="2404">
      <c r="B2404" s="113" t="n"/>
      <c r="C2404" s="114" t="n"/>
      <c r="D2404" s="115" t="n"/>
      <c r="E2404" s="116" t="n"/>
      <c r="F2404" s="115" t="n"/>
      <c r="G2404" s="117">
        <f>IF(COUNTA(B2404:E2404)=0,"",IF(COUNTA(B2404:E2404)&lt;4,"⚠ กรอกไม่ครบ",IF(NOT(ISNUMBER(B2404)),"⚠ วันที่ไม่ถูกต้อง",IF(COUNTIFS(Setup!$L$6:$L$60,D2404,Setup!$M$6:$M$60,C2404)=0,"⚠ หมวดไม่ตรงประเภท","✓"))))</f>
        <v/>
      </c>
    </row>
    <row r="2405">
      <c r="B2405" s="113" t="n"/>
      <c r="C2405" s="114" t="n"/>
      <c r="D2405" s="115" t="n"/>
      <c r="E2405" s="116" t="n"/>
      <c r="F2405" s="115" t="n"/>
      <c r="G2405" s="117">
        <f>IF(COUNTA(B2405:E2405)=0,"",IF(COUNTA(B2405:E2405)&lt;4,"⚠ กรอกไม่ครบ",IF(NOT(ISNUMBER(B2405)),"⚠ วันที่ไม่ถูกต้อง",IF(COUNTIFS(Setup!$L$6:$L$60,D2405,Setup!$M$6:$M$60,C2405)=0,"⚠ หมวดไม่ตรงประเภท","✓"))))</f>
        <v/>
      </c>
    </row>
    <row r="2406">
      <c r="B2406" s="113" t="n"/>
      <c r="C2406" s="114" t="n"/>
      <c r="D2406" s="115" t="n"/>
      <c r="E2406" s="116" t="n"/>
      <c r="F2406" s="115" t="n"/>
      <c r="G2406" s="117">
        <f>IF(COUNTA(B2406:E2406)=0,"",IF(COUNTA(B2406:E2406)&lt;4,"⚠ กรอกไม่ครบ",IF(NOT(ISNUMBER(B2406)),"⚠ วันที่ไม่ถูกต้อง",IF(COUNTIFS(Setup!$L$6:$L$60,D2406,Setup!$M$6:$M$60,C2406)=0,"⚠ หมวดไม่ตรงประเภท","✓"))))</f>
        <v/>
      </c>
    </row>
    <row r="2407">
      <c r="B2407" s="113" t="n"/>
      <c r="C2407" s="114" t="n"/>
      <c r="D2407" s="115" t="n"/>
      <c r="E2407" s="116" t="n"/>
      <c r="F2407" s="115" t="n"/>
      <c r="G2407" s="117">
        <f>IF(COUNTA(B2407:E2407)=0,"",IF(COUNTA(B2407:E2407)&lt;4,"⚠ กรอกไม่ครบ",IF(NOT(ISNUMBER(B2407)),"⚠ วันที่ไม่ถูกต้อง",IF(COUNTIFS(Setup!$L$6:$L$60,D2407,Setup!$M$6:$M$60,C2407)=0,"⚠ หมวดไม่ตรงประเภท","✓"))))</f>
        <v/>
      </c>
    </row>
    <row r="2408">
      <c r="B2408" s="113" t="n"/>
      <c r="C2408" s="114" t="n"/>
      <c r="D2408" s="115" t="n"/>
      <c r="E2408" s="116" t="n"/>
      <c r="F2408" s="115" t="n"/>
      <c r="G2408" s="117">
        <f>IF(COUNTA(B2408:E2408)=0,"",IF(COUNTA(B2408:E2408)&lt;4,"⚠ กรอกไม่ครบ",IF(NOT(ISNUMBER(B2408)),"⚠ วันที่ไม่ถูกต้อง",IF(COUNTIFS(Setup!$L$6:$L$60,D2408,Setup!$M$6:$M$60,C2408)=0,"⚠ หมวดไม่ตรงประเภท","✓"))))</f>
        <v/>
      </c>
    </row>
    <row r="2409">
      <c r="B2409" s="113" t="n"/>
      <c r="C2409" s="114" t="n"/>
      <c r="D2409" s="115" t="n"/>
      <c r="E2409" s="116" t="n"/>
      <c r="F2409" s="115" t="n"/>
      <c r="G2409" s="117">
        <f>IF(COUNTA(B2409:E2409)=0,"",IF(COUNTA(B2409:E2409)&lt;4,"⚠ กรอกไม่ครบ",IF(NOT(ISNUMBER(B2409)),"⚠ วันที่ไม่ถูกต้อง",IF(COUNTIFS(Setup!$L$6:$L$60,D2409,Setup!$M$6:$M$60,C2409)=0,"⚠ หมวดไม่ตรงประเภท","✓"))))</f>
        <v/>
      </c>
    </row>
    <row r="2410">
      <c r="B2410" s="113" t="n"/>
      <c r="C2410" s="114" t="n"/>
      <c r="D2410" s="115" t="n"/>
      <c r="E2410" s="116" t="n"/>
      <c r="F2410" s="115" t="n"/>
      <c r="G2410" s="117">
        <f>IF(COUNTA(B2410:E2410)=0,"",IF(COUNTA(B2410:E2410)&lt;4,"⚠ กรอกไม่ครบ",IF(NOT(ISNUMBER(B2410)),"⚠ วันที่ไม่ถูกต้อง",IF(COUNTIFS(Setup!$L$6:$L$60,D2410,Setup!$M$6:$M$60,C2410)=0,"⚠ หมวดไม่ตรงประเภท","✓"))))</f>
        <v/>
      </c>
    </row>
    <row r="2411">
      <c r="B2411" s="113" t="n"/>
      <c r="C2411" s="114" t="n"/>
      <c r="D2411" s="115" t="n"/>
      <c r="E2411" s="116" t="n"/>
      <c r="F2411" s="115" t="n"/>
      <c r="G2411" s="117">
        <f>IF(COUNTA(B2411:E2411)=0,"",IF(COUNTA(B2411:E2411)&lt;4,"⚠ กรอกไม่ครบ",IF(NOT(ISNUMBER(B2411)),"⚠ วันที่ไม่ถูกต้อง",IF(COUNTIFS(Setup!$L$6:$L$60,D2411,Setup!$M$6:$M$60,C2411)=0,"⚠ หมวดไม่ตรงประเภท","✓"))))</f>
        <v/>
      </c>
    </row>
    <row r="2412">
      <c r="B2412" s="113" t="n"/>
      <c r="C2412" s="114" t="n"/>
      <c r="D2412" s="115" t="n"/>
      <c r="E2412" s="116" t="n"/>
      <c r="F2412" s="115" t="n"/>
      <c r="G2412" s="117">
        <f>IF(COUNTA(B2412:E2412)=0,"",IF(COUNTA(B2412:E2412)&lt;4,"⚠ กรอกไม่ครบ",IF(NOT(ISNUMBER(B2412)),"⚠ วันที่ไม่ถูกต้อง",IF(COUNTIFS(Setup!$L$6:$L$60,D2412,Setup!$M$6:$M$60,C2412)=0,"⚠ หมวดไม่ตรงประเภท","✓"))))</f>
        <v/>
      </c>
    </row>
    <row r="2413">
      <c r="B2413" s="113" t="n"/>
      <c r="C2413" s="114" t="n"/>
      <c r="D2413" s="115" t="n"/>
      <c r="E2413" s="116" t="n"/>
      <c r="F2413" s="115" t="n"/>
      <c r="G2413" s="117">
        <f>IF(COUNTA(B2413:E2413)=0,"",IF(COUNTA(B2413:E2413)&lt;4,"⚠ กรอกไม่ครบ",IF(NOT(ISNUMBER(B2413)),"⚠ วันที่ไม่ถูกต้อง",IF(COUNTIFS(Setup!$L$6:$L$60,D2413,Setup!$M$6:$M$60,C2413)=0,"⚠ หมวดไม่ตรงประเภท","✓"))))</f>
        <v/>
      </c>
    </row>
    <row r="2414">
      <c r="B2414" s="113" t="n"/>
      <c r="C2414" s="114" t="n"/>
      <c r="D2414" s="115" t="n"/>
      <c r="E2414" s="116" t="n"/>
      <c r="F2414" s="115" t="n"/>
      <c r="G2414" s="117">
        <f>IF(COUNTA(B2414:E2414)=0,"",IF(COUNTA(B2414:E2414)&lt;4,"⚠ กรอกไม่ครบ",IF(NOT(ISNUMBER(B2414)),"⚠ วันที่ไม่ถูกต้อง",IF(COUNTIFS(Setup!$L$6:$L$60,D2414,Setup!$M$6:$M$60,C2414)=0,"⚠ หมวดไม่ตรงประเภท","✓"))))</f>
        <v/>
      </c>
    </row>
    <row r="2415">
      <c r="B2415" s="113" t="n"/>
      <c r="C2415" s="114" t="n"/>
      <c r="D2415" s="115" t="n"/>
      <c r="E2415" s="116" t="n"/>
      <c r="F2415" s="115" t="n"/>
      <c r="G2415" s="117">
        <f>IF(COUNTA(B2415:E2415)=0,"",IF(COUNTA(B2415:E2415)&lt;4,"⚠ กรอกไม่ครบ",IF(NOT(ISNUMBER(B2415)),"⚠ วันที่ไม่ถูกต้อง",IF(COUNTIFS(Setup!$L$6:$L$60,D2415,Setup!$M$6:$M$60,C2415)=0,"⚠ หมวดไม่ตรงประเภท","✓"))))</f>
        <v/>
      </c>
    </row>
    <row r="2416">
      <c r="B2416" s="113" t="n"/>
      <c r="C2416" s="114" t="n"/>
      <c r="D2416" s="115" t="n"/>
      <c r="E2416" s="116" t="n"/>
      <c r="F2416" s="115" t="n"/>
      <c r="G2416" s="117">
        <f>IF(COUNTA(B2416:E2416)=0,"",IF(COUNTA(B2416:E2416)&lt;4,"⚠ กรอกไม่ครบ",IF(NOT(ISNUMBER(B2416)),"⚠ วันที่ไม่ถูกต้อง",IF(COUNTIFS(Setup!$L$6:$L$60,D2416,Setup!$M$6:$M$60,C2416)=0,"⚠ หมวดไม่ตรงประเภท","✓"))))</f>
        <v/>
      </c>
    </row>
    <row r="2417">
      <c r="B2417" s="113" t="n"/>
      <c r="C2417" s="114" t="n"/>
      <c r="D2417" s="115" t="n"/>
      <c r="E2417" s="116" t="n"/>
      <c r="F2417" s="115" t="n"/>
      <c r="G2417" s="117">
        <f>IF(COUNTA(B2417:E2417)=0,"",IF(COUNTA(B2417:E2417)&lt;4,"⚠ กรอกไม่ครบ",IF(NOT(ISNUMBER(B2417)),"⚠ วันที่ไม่ถูกต้อง",IF(COUNTIFS(Setup!$L$6:$L$60,D2417,Setup!$M$6:$M$60,C2417)=0,"⚠ หมวดไม่ตรงประเภท","✓"))))</f>
        <v/>
      </c>
    </row>
    <row r="2418">
      <c r="B2418" s="113" t="n"/>
      <c r="C2418" s="114" t="n"/>
      <c r="D2418" s="115" t="n"/>
      <c r="E2418" s="116" t="n"/>
      <c r="F2418" s="115" t="n"/>
      <c r="G2418" s="117">
        <f>IF(COUNTA(B2418:E2418)=0,"",IF(COUNTA(B2418:E2418)&lt;4,"⚠ กรอกไม่ครบ",IF(NOT(ISNUMBER(B2418)),"⚠ วันที่ไม่ถูกต้อง",IF(COUNTIFS(Setup!$L$6:$L$60,D2418,Setup!$M$6:$M$60,C2418)=0,"⚠ หมวดไม่ตรงประเภท","✓"))))</f>
        <v/>
      </c>
    </row>
    <row r="2419">
      <c r="B2419" s="113" t="n"/>
      <c r="C2419" s="114" t="n"/>
      <c r="D2419" s="115" t="n"/>
      <c r="E2419" s="116" t="n"/>
      <c r="F2419" s="115" t="n"/>
      <c r="G2419" s="117">
        <f>IF(COUNTA(B2419:E2419)=0,"",IF(COUNTA(B2419:E2419)&lt;4,"⚠ กรอกไม่ครบ",IF(NOT(ISNUMBER(B2419)),"⚠ วันที่ไม่ถูกต้อง",IF(COUNTIFS(Setup!$L$6:$L$60,D2419,Setup!$M$6:$M$60,C2419)=0,"⚠ หมวดไม่ตรงประเภท","✓"))))</f>
        <v/>
      </c>
    </row>
    <row r="2420">
      <c r="B2420" s="113" t="n"/>
      <c r="C2420" s="114" t="n"/>
      <c r="D2420" s="115" t="n"/>
      <c r="E2420" s="116" t="n"/>
      <c r="F2420" s="115" t="n"/>
      <c r="G2420" s="117">
        <f>IF(COUNTA(B2420:E2420)=0,"",IF(COUNTA(B2420:E2420)&lt;4,"⚠ กรอกไม่ครบ",IF(NOT(ISNUMBER(B2420)),"⚠ วันที่ไม่ถูกต้อง",IF(COUNTIFS(Setup!$L$6:$L$60,D2420,Setup!$M$6:$M$60,C2420)=0,"⚠ หมวดไม่ตรงประเภท","✓"))))</f>
        <v/>
      </c>
    </row>
    <row r="2421">
      <c r="B2421" s="113" t="n"/>
      <c r="C2421" s="114" t="n"/>
      <c r="D2421" s="115" t="n"/>
      <c r="E2421" s="116" t="n"/>
      <c r="F2421" s="115" t="n"/>
      <c r="G2421" s="117">
        <f>IF(COUNTA(B2421:E2421)=0,"",IF(COUNTA(B2421:E2421)&lt;4,"⚠ กรอกไม่ครบ",IF(NOT(ISNUMBER(B2421)),"⚠ วันที่ไม่ถูกต้อง",IF(COUNTIFS(Setup!$L$6:$L$60,D2421,Setup!$M$6:$M$60,C2421)=0,"⚠ หมวดไม่ตรงประเภท","✓"))))</f>
        <v/>
      </c>
    </row>
    <row r="2422">
      <c r="B2422" s="113" t="n"/>
      <c r="C2422" s="114" t="n"/>
      <c r="D2422" s="115" t="n"/>
      <c r="E2422" s="116" t="n"/>
      <c r="F2422" s="115" t="n"/>
      <c r="G2422" s="117">
        <f>IF(COUNTA(B2422:E2422)=0,"",IF(COUNTA(B2422:E2422)&lt;4,"⚠ กรอกไม่ครบ",IF(NOT(ISNUMBER(B2422)),"⚠ วันที่ไม่ถูกต้อง",IF(COUNTIFS(Setup!$L$6:$L$60,D2422,Setup!$M$6:$M$60,C2422)=0,"⚠ หมวดไม่ตรงประเภท","✓"))))</f>
        <v/>
      </c>
    </row>
    <row r="2423">
      <c r="B2423" s="113" t="n"/>
      <c r="C2423" s="114" t="n"/>
      <c r="D2423" s="115" t="n"/>
      <c r="E2423" s="116" t="n"/>
      <c r="F2423" s="115" t="n"/>
      <c r="G2423" s="117">
        <f>IF(COUNTA(B2423:E2423)=0,"",IF(COUNTA(B2423:E2423)&lt;4,"⚠ กรอกไม่ครบ",IF(NOT(ISNUMBER(B2423)),"⚠ วันที่ไม่ถูกต้อง",IF(COUNTIFS(Setup!$L$6:$L$60,D2423,Setup!$M$6:$M$60,C2423)=0,"⚠ หมวดไม่ตรงประเภท","✓"))))</f>
        <v/>
      </c>
    </row>
    <row r="2424">
      <c r="B2424" s="113" t="n"/>
      <c r="C2424" s="114" t="n"/>
      <c r="D2424" s="115" t="n"/>
      <c r="E2424" s="116" t="n"/>
      <c r="F2424" s="115" t="n"/>
      <c r="G2424" s="117">
        <f>IF(COUNTA(B2424:E2424)=0,"",IF(COUNTA(B2424:E2424)&lt;4,"⚠ กรอกไม่ครบ",IF(NOT(ISNUMBER(B2424)),"⚠ วันที่ไม่ถูกต้อง",IF(COUNTIFS(Setup!$L$6:$L$60,D2424,Setup!$M$6:$M$60,C2424)=0,"⚠ หมวดไม่ตรงประเภท","✓"))))</f>
        <v/>
      </c>
    </row>
    <row r="2425">
      <c r="B2425" s="113" t="n"/>
      <c r="C2425" s="114" t="n"/>
      <c r="D2425" s="115" t="n"/>
      <c r="E2425" s="116" t="n"/>
      <c r="F2425" s="115" t="n"/>
      <c r="G2425" s="117">
        <f>IF(COUNTA(B2425:E2425)=0,"",IF(COUNTA(B2425:E2425)&lt;4,"⚠ กรอกไม่ครบ",IF(NOT(ISNUMBER(B2425)),"⚠ วันที่ไม่ถูกต้อง",IF(COUNTIFS(Setup!$L$6:$L$60,D2425,Setup!$M$6:$M$60,C2425)=0,"⚠ หมวดไม่ตรงประเภท","✓"))))</f>
        <v/>
      </c>
    </row>
    <row r="2426">
      <c r="B2426" s="113" t="n"/>
      <c r="C2426" s="114" t="n"/>
      <c r="D2426" s="115" t="n"/>
      <c r="E2426" s="116" t="n"/>
      <c r="F2426" s="115" t="n"/>
      <c r="G2426" s="117">
        <f>IF(COUNTA(B2426:E2426)=0,"",IF(COUNTA(B2426:E2426)&lt;4,"⚠ กรอกไม่ครบ",IF(NOT(ISNUMBER(B2426)),"⚠ วันที่ไม่ถูกต้อง",IF(COUNTIFS(Setup!$L$6:$L$60,D2426,Setup!$M$6:$M$60,C2426)=0,"⚠ หมวดไม่ตรงประเภท","✓"))))</f>
        <v/>
      </c>
    </row>
    <row r="2427">
      <c r="B2427" s="113" t="n"/>
      <c r="C2427" s="114" t="n"/>
      <c r="D2427" s="115" t="n"/>
      <c r="E2427" s="116" t="n"/>
      <c r="F2427" s="115" t="n"/>
      <c r="G2427" s="117">
        <f>IF(COUNTA(B2427:E2427)=0,"",IF(COUNTA(B2427:E2427)&lt;4,"⚠ กรอกไม่ครบ",IF(NOT(ISNUMBER(B2427)),"⚠ วันที่ไม่ถูกต้อง",IF(COUNTIFS(Setup!$L$6:$L$60,D2427,Setup!$M$6:$M$60,C2427)=0,"⚠ หมวดไม่ตรงประเภท","✓"))))</f>
        <v/>
      </c>
    </row>
    <row r="2428">
      <c r="B2428" s="113" t="n"/>
      <c r="C2428" s="114" t="n"/>
      <c r="D2428" s="115" t="n"/>
      <c r="E2428" s="116" t="n"/>
      <c r="F2428" s="115" t="n"/>
      <c r="G2428" s="117">
        <f>IF(COUNTA(B2428:E2428)=0,"",IF(COUNTA(B2428:E2428)&lt;4,"⚠ กรอกไม่ครบ",IF(NOT(ISNUMBER(B2428)),"⚠ วันที่ไม่ถูกต้อง",IF(COUNTIFS(Setup!$L$6:$L$60,D2428,Setup!$M$6:$M$60,C2428)=0,"⚠ หมวดไม่ตรงประเภท","✓"))))</f>
        <v/>
      </c>
    </row>
    <row r="2429">
      <c r="B2429" s="113" t="n"/>
      <c r="C2429" s="114" t="n"/>
      <c r="D2429" s="115" t="n"/>
      <c r="E2429" s="116" t="n"/>
      <c r="F2429" s="115" t="n"/>
      <c r="G2429" s="117">
        <f>IF(COUNTA(B2429:E2429)=0,"",IF(COUNTA(B2429:E2429)&lt;4,"⚠ กรอกไม่ครบ",IF(NOT(ISNUMBER(B2429)),"⚠ วันที่ไม่ถูกต้อง",IF(COUNTIFS(Setup!$L$6:$L$60,D2429,Setup!$M$6:$M$60,C2429)=0,"⚠ หมวดไม่ตรงประเภท","✓"))))</f>
        <v/>
      </c>
    </row>
    <row r="2430">
      <c r="B2430" s="113" t="n"/>
      <c r="C2430" s="114" t="n"/>
      <c r="D2430" s="115" t="n"/>
      <c r="E2430" s="116" t="n"/>
      <c r="F2430" s="115" t="n"/>
      <c r="G2430" s="117">
        <f>IF(COUNTA(B2430:E2430)=0,"",IF(COUNTA(B2430:E2430)&lt;4,"⚠ กรอกไม่ครบ",IF(NOT(ISNUMBER(B2430)),"⚠ วันที่ไม่ถูกต้อง",IF(COUNTIFS(Setup!$L$6:$L$60,D2430,Setup!$M$6:$M$60,C2430)=0,"⚠ หมวดไม่ตรงประเภท","✓"))))</f>
        <v/>
      </c>
    </row>
    <row r="2431">
      <c r="B2431" s="113" t="n"/>
      <c r="C2431" s="114" t="n"/>
      <c r="D2431" s="115" t="n"/>
      <c r="E2431" s="116" t="n"/>
      <c r="F2431" s="115" t="n"/>
      <c r="G2431" s="117">
        <f>IF(COUNTA(B2431:E2431)=0,"",IF(COUNTA(B2431:E2431)&lt;4,"⚠ กรอกไม่ครบ",IF(NOT(ISNUMBER(B2431)),"⚠ วันที่ไม่ถูกต้อง",IF(COUNTIFS(Setup!$L$6:$L$60,D2431,Setup!$M$6:$M$60,C2431)=0,"⚠ หมวดไม่ตรงประเภท","✓"))))</f>
        <v/>
      </c>
    </row>
    <row r="2432">
      <c r="B2432" s="113" t="n"/>
      <c r="C2432" s="114" t="n"/>
      <c r="D2432" s="115" t="n"/>
      <c r="E2432" s="116" t="n"/>
      <c r="F2432" s="115" t="n"/>
      <c r="G2432" s="117">
        <f>IF(COUNTA(B2432:E2432)=0,"",IF(COUNTA(B2432:E2432)&lt;4,"⚠ กรอกไม่ครบ",IF(NOT(ISNUMBER(B2432)),"⚠ วันที่ไม่ถูกต้อง",IF(COUNTIFS(Setup!$L$6:$L$60,D2432,Setup!$M$6:$M$60,C2432)=0,"⚠ หมวดไม่ตรงประเภท","✓"))))</f>
        <v/>
      </c>
    </row>
    <row r="2433">
      <c r="B2433" s="113" t="n"/>
      <c r="C2433" s="114" t="n"/>
      <c r="D2433" s="115" t="n"/>
      <c r="E2433" s="116" t="n"/>
      <c r="F2433" s="115" t="n"/>
      <c r="G2433" s="117">
        <f>IF(COUNTA(B2433:E2433)=0,"",IF(COUNTA(B2433:E2433)&lt;4,"⚠ กรอกไม่ครบ",IF(NOT(ISNUMBER(B2433)),"⚠ วันที่ไม่ถูกต้อง",IF(COUNTIFS(Setup!$L$6:$L$60,D2433,Setup!$M$6:$M$60,C2433)=0,"⚠ หมวดไม่ตรงประเภท","✓"))))</f>
        <v/>
      </c>
    </row>
    <row r="2434">
      <c r="B2434" s="113" t="n"/>
      <c r="C2434" s="114" t="n"/>
      <c r="D2434" s="115" t="n"/>
      <c r="E2434" s="116" t="n"/>
      <c r="F2434" s="115" t="n"/>
      <c r="G2434" s="117">
        <f>IF(COUNTA(B2434:E2434)=0,"",IF(COUNTA(B2434:E2434)&lt;4,"⚠ กรอกไม่ครบ",IF(NOT(ISNUMBER(B2434)),"⚠ วันที่ไม่ถูกต้อง",IF(COUNTIFS(Setup!$L$6:$L$60,D2434,Setup!$M$6:$M$60,C2434)=0,"⚠ หมวดไม่ตรงประเภท","✓"))))</f>
        <v/>
      </c>
    </row>
    <row r="2435">
      <c r="B2435" s="113" t="n"/>
      <c r="C2435" s="114" t="n"/>
      <c r="D2435" s="115" t="n"/>
      <c r="E2435" s="116" t="n"/>
      <c r="F2435" s="115" t="n"/>
      <c r="G2435" s="117">
        <f>IF(COUNTA(B2435:E2435)=0,"",IF(COUNTA(B2435:E2435)&lt;4,"⚠ กรอกไม่ครบ",IF(NOT(ISNUMBER(B2435)),"⚠ วันที่ไม่ถูกต้อง",IF(COUNTIFS(Setup!$L$6:$L$60,D2435,Setup!$M$6:$M$60,C2435)=0,"⚠ หมวดไม่ตรงประเภท","✓"))))</f>
        <v/>
      </c>
    </row>
    <row r="2436">
      <c r="B2436" s="113" t="n"/>
      <c r="C2436" s="114" t="n"/>
      <c r="D2436" s="115" t="n"/>
      <c r="E2436" s="116" t="n"/>
      <c r="F2436" s="115" t="n"/>
      <c r="G2436" s="117">
        <f>IF(COUNTA(B2436:E2436)=0,"",IF(COUNTA(B2436:E2436)&lt;4,"⚠ กรอกไม่ครบ",IF(NOT(ISNUMBER(B2436)),"⚠ วันที่ไม่ถูกต้อง",IF(COUNTIFS(Setup!$L$6:$L$60,D2436,Setup!$M$6:$M$60,C2436)=0,"⚠ หมวดไม่ตรงประเภท","✓"))))</f>
        <v/>
      </c>
    </row>
    <row r="2437">
      <c r="B2437" s="113" t="n"/>
      <c r="C2437" s="114" t="n"/>
      <c r="D2437" s="115" t="n"/>
      <c r="E2437" s="116" t="n"/>
      <c r="F2437" s="115" t="n"/>
      <c r="G2437" s="117">
        <f>IF(COUNTA(B2437:E2437)=0,"",IF(COUNTA(B2437:E2437)&lt;4,"⚠ กรอกไม่ครบ",IF(NOT(ISNUMBER(B2437)),"⚠ วันที่ไม่ถูกต้อง",IF(COUNTIFS(Setup!$L$6:$L$60,D2437,Setup!$M$6:$M$60,C2437)=0,"⚠ หมวดไม่ตรงประเภท","✓"))))</f>
        <v/>
      </c>
    </row>
    <row r="2438">
      <c r="B2438" s="113" t="n"/>
      <c r="C2438" s="114" t="n"/>
      <c r="D2438" s="115" t="n"/>
      <c r="E2438" s="116" t="n"/>
      <c r="F2438" s="115" t="n"/>
      <c r="G2438" s="117">
        <f>IF(COUNTA(B2438:E2438)=0,"",IF(COUNTA(B2438:E2438)&lt;4,"⚠ กรอกไม่ครบ",IF(NOT(ISNUMBER(B2438)),"⚠ วันที่ไม่ถูกต้อง",IF(COUNTIFS(Setup!$L$6:$L$60,D2438,Setup!$M$6:$M$60,C2438)=0,"⚠ หมวดไม่ตรงประเภท","✓"))))</f>
        <v/>
      </c>
    </row>
    <row r="2439">
      <c r="B2439" s="113" t="n"/>
      <c r="C2439" s="114" t="n"/>
      <c r="D2439" s="115" t="n"/>
      <c r="E2439" s="116" t="n"/>
      <c r="F2439" s="115" t="n"/>
      <c r="G2439" s="117">
        <f>IF(COUNTA(B2439:E2439)=0,"",IF(COUNTA(B2439:E2439)&lt;4,"⚠ กรอกไม่ครบ",IF(NOT(ISNUMBER(B2439)),"⚠ วันที่ไม่ถูกต้อง",IF(COUNTIFS(Setup!$L$6:$L$60,D2439,Setup!$M$6:$M$60,C2439)=0,"⚠ หมวดไม่ตรงประเภท","✓"))))</f>
        <v/>
      </c>
    </row>
    <row r="2440">
      <c r="B2440" s="113" t="n"/>
      <c r="C2440" s="114" t="n"/>
      <c r="D2440" s="115" t="n"/>
      <c r="E2440" s="116" t="n"/>
      <c r="F2440" s="115" t="n"/>
      <c r="G2440" s="117">
        <f>IF(COUNTA(B2440:E2440)=0,"",IF(COUNTA(B2440:E2440)&lt;4,"⚠ กรอกไม่ครบ",IF(NOT(ISNUMBER(B2440)),"⚠ วันที่ไม่ถูกต้อง",IF(COUNTIFS(Setup!$L$6:$L$60,D2440,Setup!$M$6:$M$60,C2440)=0,"⚠ หมวดไม่ตรงประเภท","✓"))))</f>
        <v/>
      </c>
    </row>
    <row r="2441">
      <c r="B2441" s="113" t="n"/>
      <c r="C2441" s="114" t="n"/>
      <c r="D2441" s="115" t="n"/>
      <c r="E2441" s="116" t="n"/>
      <c r="F2441" s="115" t="n"/>
      <c r="G2441" s="117">
        <f>IF(COUNTA(B2441:E2441)=0,"",IF(COUNTA(B2441:E2441)&lt;4,"⚠ กรอกไม่ครบ",IF(NOT(ISNUMBER(B2441)),"⚠ วันที่ไม่ถูกต้อง",IF(COUNTIFS(Setup!$L$6:$L$60,D2441,Setup!$M$6:$M$60,C2441)=0,"⚠ หมวดไม่ตรงประเภท","✓"))))</f>
        <v/>
      </c>
    </row>
    <row r="2442">
      <c r="B2442" s="113" t="n"/>
      <c r="C2442" s="114" t="n"/>
      <c r="D2442" s="115" t="n"/>
      <c r="E2442" s="116" t="n"/>
      <c r="F2442" s="115" t="n"/>
      <c r="G2442" s="117">
        <f>IF(COUNTA(B2442:E2442)=0,"",IF(COUNTA(B2442:E2442)&lt;4,"⚠ กรอกไม่ครบ",IF(NOT(ISNUMBER(B2442)),"⚠ วันที่ไม่ถูกต้อง",IF(COUNTIFS(Setup!$L$6:$L$60,D2442,Setup!$M$6:$M$60,C2442)=0,"⚠ หมวดไม่ตรงประเภท","✓"))))</f>
        <v/>
      </c>
    </row>
    <row r="2443">
      <c r="B2443" s="113" t="n"/>
      <c r="C2443" s="114" t="n"/>
      <c r="D2443" s="115" t="n"/>
      <c r="E2443" s="116" t="n"/>
      <c r="F2443" s="115" t="n"/>
      <c r="G2443" s="117">
        <f>IF(COUNTA(B2443:E2443)=0,"",IF(COUNTA(B2443:E2443)&lt;4,"⚠ กรอกไม่ครบ",IF(NOT(ISNUMBER(B2443)),"⚠ วันที่ไม่ถูกต้อง",IF(COUNTIFS(Setup!$L$6:$L$60,D2443,Setup!$M$6:$M$60,C2443)=0,"⚠ หมวดไม่ตรงประเภท","✓"))))</f>
        <v/>
      </c>
    </row>
    <row r="2444">
      <c r="B2444" s="113" t="n"/>
      <c r="C2444" s="114" t="n"/>
      <c r="D2444" s="115" t="n"/>
      <c r="E2444" s="116" t="n"/>
      <c r="F2444" s="115" t="n"/>
      <c r="G2444" s="117">
        <f>IF(COUNTA(B2444:E2444)=0,"",IF(COUNTA(B2444:E2444)&lt;4,"⚠ กรอกไม่ครบ",IF(NOT(ISNUMBER(B2444)),"⚠ วันที่ไม่ถูกต้อง",IF(COUNTIFS(Setup!$L$6:$L$60,D2444,Setup!$M$6:$M$60,C2444)=0,"⚠ หมวดไม่ตรงประเภท","✓"))))</f>
        <v/>
      </c>
    </row>
    <row r="2445">
      <c r="B2445" s="113" t="n"/>
      <c r="C2445" s="114" t="n"/>
      <c r="D2445" s="115" t="n"/>
      <c r="E2445" s="116" t="n"/>
      <c r="F2445" s="115" t="n"/>
      <c r="G2445" s="117">
        <f>IF(COUNTA(B2445:E2445)=0,"",IF(COUNTA(B2445:E2445)&lt;4,"⚠ กรอกไม่ครบ",IF(NOT(ISNUMBER(B2445)),"⚠ วันที่ไม่ถูกต้อง",IF(COUNTIFS(Setup!$L$6:$L$60,D2445,Setup!$M$6:$M$60,C2445)=0,"⚠ หมวดไม่ตรงประเภท","✓"))))</f>
        <v/>
      </c>
    </row>
    <row r="2446">
      <c r="B2446" s="113" t="n"/>
      <c r="C2446" s="114" t="n"/>
      <c r="D2446" s="115" t="n"/>
      <c r="E2446" s="116" t="n"/>
      <c r="F2446" s="115" t="n"/>
      <c r="G2446" s="117">
        <f>IF(COUNTA(B2446:E2446)=0,"",IF(COUNTA(B2446:E2446)&lt;4,"⚠ กรอกไม่ครบ",IF(NOT(ISNUMBER(B2446)),"⚠ วันที่ไม่ถูกต้อง",IF(COUNTIFS(Setup!$L$6:$L$60,D2446,Setup!$M$6:$M$60,C2446)=0,"⚠ หมวดไม่ตรงประเภท","✓"))))</f>
        <v/>
      </c>
    </row>
    <row r="2447">
      <c r="B2447" s="113" t="n"/>
      <c r="C2447" s="114" t="n"/>
      <c r="D2447" s="115" t="n"/>
      <c r="E2447" s="116" t="n"/>
      <c r="F2447" s="115" t="n"/>
      <c r="G2447" s="117">
        <f>IF(COUNTA(B2447:E2447)=0,"",IF(COUNTA(B2447:E2447)&lt;4,"⚠ กรอกไม่ครบ",IF(NOT(ISNUMBER(B2447)),"⚠ วันที่ไม่ถูกต้อง",IF(COUNTIFS(Setup!$L$6:$L$60,D2447,Setup!$M$6:$M$60,C2447)=0,"⚠ หมวดไม่ตรงประเภท","✓"))))</f>
        <v/>
      </c>
    </row>
    <row r="2448">
      <c r="B2448" s="113" t="n"/>
      <c r="C2448" s="114" t="n"/>
      <c r="D2448" s="115" t="n"/>
      <c r="E2448" s="116" t="n"/>
      <c r="F2448" s="115" t="n"/>
      <c r="G2448" s="117">
        <f>IF(COUNTA(B2448:E2448)=0,"",IF(COUNTA(B2448:E2448)&lt;4,"⚠ กรอกไม่ครบ",IF(NOT(ISNUMBER(B2448)),"⚠ วันที่ไม่ถูกต้อง",IF(COUNTIFS(Setup!$L$6:$L$60,D2448,Setup!$M$6:$M$60,C2448)=0,"⚠ หมวดไม่ตรงประเภท","✓"))))</f>
        <v/>
      </c>
    </row>
    <row r="2449">
      <c r="B2449" s="113" t="n"/>
      <c r="C2449" s="114" t="n"/>
      <c r="D2449" s="115" t="n"/>
      <c r="E2449" s="116" t="n"/>
      <c r="F2449" s="115" t="n"/>
      <c r="G2449" s="117">
        <f>IF(COUNTA(B2449:E2449)=0,"",IF(COUNTA(B2449:E2449)&lt;4,"⚠ กรอกไม่ครบ",IF(NOT(ISNUMBER(B2449)),"⚠ วันที่ไม่ถูกต้อง",IF(COUNTIFS(Setup!$L$6:$L$60,D2449,Setup!$M$6:$M$60,C2449)=0,"⚠ หมวดไม่ตรงประเภท","✓"))))</f>
        <v/>
      </c>
    </row>
    <row r="2450">
      <c r="B2450" s="113" t="n"/>
      <c r="C2450" s="114" t="n"/>
      <c r="D2450" s="115" t="n"/>
      <c r="E2450" s="116" t="n"/>
      <c r="F2450" s="115" t="n"/>
      <c r="G2450" s="117">
        <f>IF(COUNTA(B2450:E2450)=0,"",IF(COUNTA(B2450:E2450)&lt;4,"⚠ กรอกไม่ครบ",IF(NOT(ISNUMBER(B2450)),"⚠ วันที่ไม่ถูกต้อง",IF(COUNTIFS(Setup!$L$6:$L$60,D2450,Setup!$M$6:$M$60,C2450)=0,"⚠ หมวดไม่ตรงประเภท","✓"))))</f>
        <v/>
      </c>
    </row>
    <row r="2451">
      <c r="B2451" s="113" t="n"/>
      <c r="C2451" s="114" t="n"/>
      <c r="D2451" s="115" t="n"/>
      <c r="E2451" s="116" t="n"/>
      <c r="F2451" s="115" t="n"/>
      <c r="G2451" s="117">
        <f>IF(COUNTA(B2451:E2451)=0,"",IF(COUNTA(B2451:E2451)&lt;4,"⚠ กรอกไม่ครบ",IF(NOT(ISNUMBER(B2451)),"⚠ วันที่ไม่ถูกต้อง",IF(COUNTIFS(Setup!$L$6:$L$60,D2451,Setup!$M$6:$M$60,C2451)=0,"⚠ หมวดไม่ตรงประเภท","✓"))))</f>
        <v/>
      </c>
    </row>
    <row r="2452">
      <c r="B2452" s="113" t="n"/>
      <c r="C2452" s="114" t="n"/>
      <c r="D2452" s="115" t="n"/>
      <c r="E2452" s="116" t="n"/>
      <c r="F2452" s="115" t="n"/>
      <c r="G2452" s="117">
        <f>IF(COUNTA(B2452:E2452)=0,"",IF(COUNTA(B2452:E2452)&lt;4,"⚠ กรอกไม่ครบ",IF(NOT(ISNUMBER(B2452)),"⚠ วันที่ไม่ถูกต้อง",IF(COUNTIFS(Setup!$L$6:$L$60,D2452,Setup!$M$6:$M$60,C2452)=0,"⚠ หมวดไม่ตรงประเภท","✓"))))</f>
        <v/>
      </c>
    </row>
    <row r="2453">
      <c r="B2453" s="113" t="n"/>
      <c r="C2453" s="114" t="n"/>
      <c r="D2453" s="115" t="n"/>
      <c r="E2453" s="116" t="n"/>
      <c r="F2453" s="115" t="n"/>
      <c r="G2453" s="117">
        <f>IF(COUNTA(B2453:E2453)=0,"",IF(COUNTA(B2453:E2453)&lt;4,"⚠ กรอกไม่ครบ",IF(NOT(ISNUMBER(B2453)),"⚠ วันที่ไม่ถูกต้อง",IF(COUNTIFS(Setup!$L$6:$L$60,D2453,Setup!$M$6:$M$60,C2453)=0,"⚠ หมวดไม่ตรงประเภท","✓"))))</f>
        <v/>
      </c>
    </row>
    <row r="2454">
      <c r="B2454" s="113" t="n"/>
      <c r="C2454" s="114" t="n"/>
      <c r="D2454" s="115" t="n"/>
      <c r="E2454" s="116" t="n"/>
      <c r="F2454" s="115" t="n"/>
      <c r="G2454" s="117">
        <f>IF(COUNTA(B2454:E2454)=0,"",IF(COUNTA(B2454:E2454)&lt;4,"⚠ กรอกไม่ครบ",IF(NOT(ISNUMBER(B2454)),"⚠ วันที่ไม่ถูกต้อง",IF(COUNTIFS(Setup!$L$6:$L$60,D2454,Setup!$M$6:$M$60,C2454)=0,"⚠ หมวดไม่ตรงประเภท","✓"))))</f>
        <v/>
      </c>
    </row>
    <row r="2455">
      <c r="B2455" s="113" t="n"/>
      <c r="C2455" s="114" t="n"/>
      <c r="D2455" s="115" t="n"/>
      <c r="E2455" s="116" t="n"/>
      <c r="F2455" s="115" t="n"/>
      <c r="G2455" s="117">
        <f>IF(COUNTA(B2455:E2455)=0,"",IF(COUNTA(B2455:E2455)&lt;4,"⚠ กรอกไม่ครบ",IF(NOT(ISNUMBER(B2455)),"⚠ วันที่ไม่ถูกต้อง",IF(COUNTIFS(Setup!$L$6:$L$60,D2455,Setup!$M$6:$M$60,C2455)=0,"⚠ หมวดไม่ตรงประเภท","✓"))))</f>
        <v/>
      </c>
    </row>
    <row r="2456">
      <c r="B2456" s="113" t="n"/>
      <c r="C2456" s="114" t="n"/>
      <c r="D2456" s="115" t="n"/>
      <c r="E2456" s="116" t="n"/>
      <c r="F2456" s="115" t="n"/>
      <c r="G2456" s="117">
        <f>IF(COUNTA(B2456:E2456)=0,"",IF(COUNTA(B2456:E2456)&lt;4,"⚠ กรอกไม่ครบ",IF(NOT(ISNUMBER(B2456)),"⚠ วันที่ไม่ถูกต้อง",IF(COUNTIFS(Setup!$L$6:$L$60,D2456,Setup!$M$6:$M$60,C2456)=0,"⚠ หมวดไม่ตรงประเภท","✓"))))</f>
        <v/>
      </c>
    </row>
    <row r="2457">
      <c r="B2457" s="113" t="n"/>
      <c r="C2457" s="114" t="n"/>
      <c r="D2457" s="115" t="n"/>
      <c r="E2457" s="116" t="n"/>
      <c r="F2457" s="115" t="n"/>
      <c r="G2457" s="117">
        <f>IF(COUNTA(B2457:E2457)=0,"",IF(COUNTA(B2457:E2457)&lt;4,"⚠ กรอกไม่ครบ",IF(NOT(ISNUMBER(B2457)),"⚠ วันที่ไม่ถูกต้อง",IF(COUNTIFS(Setup!$L$6:$L$60,D2457,Setup!$M$6:$M$60,C2457)=0,"⚠ หมวดไม่ตรงประเภท","✓"))))</f>
        <v/>
      </c>
    </row>
    <row r="2458">
      <c r="B2458" s="113" t="n"/>
      <c r="C2458" s="114" t="n"/>
      <c r="D2458" s="115" t="n"/>
      <c r="E2458" s="116" t="n"/>
      <c r="F2458" s="115" t="n"/>
      <c r="G2458" s="117">
        <f>IF(COUNTA(B2458:E2458)=0,"",IF(COUNTA(B2458:E2458)&lt;4,"⚠ กรอกไม่ครบ",IF(NOT(ISNUMBER(B2458)),"⚠ วันที่ไม่ถูกต้อง",IF(COUNTIFS(Setup!$L$6:$L$60,D2458,Setup!$M$6:$M$60,C2458)=0,"⚠ หมวดไม่ตรงประเภท","✓"))))</f>
        <v/>
      </c>
    </row>
    <row r="2459">
      <c r="B2459" s="113" t="n"/>
      <c r="C2459" s="114" t="n"/>
      <c r="D2459" s="115" t="n"/>
      <c r="E2459" s="116" t="n"/>
      <c r="F2459" s="115" t="n"/>
      <c r="G2459" s="117">
        <f>IF(COUNTA(B2459:E2459)=0,"",IF(COUNTA(B2459:E2459)&lt;4,"⚠ กรอกไม่ครบ",IF(NOT(ISNUMBER(B2459)),"⚠ วันที่ไม่ถูกต้อง",IF(COUNTIFS(Setup!$L$6:$L$60,D2459,Setup!$M$6:$M$60,C2459)=0,"⚠ หมวดไม่ตรงประเภท","✓"))))</f>
        <v/>
      </c>
    </row>
    <row r="2460">
      <c r="B2460" s="113" t="n"/>
      <c r="C2460" s="114" t="n"/>
      <c r="D2460" s="115" t="n"/>
      <c r="E2460" s="116" t="n"/>
      <c r="F2460" s="115" t="n"/>
      <c r="G2460" s="117">
        <f>IF(COUNTA(B2460:E2460)=0,"",IF(COUNTA(B2460:E2460)&lt;4,"⚠ กรอกไม่ครบ",IF(NOT(ISNUMBER(B2460)),"⚠ วันที่ไม่ถูกต้อง",IF(COUNTIFS(Setup!$L$6:$L$60,D2460,Setup!$M$6:$M$60,C2460)=0,"⚠ หมวดไม่ตรงประเภท","✓"))))</f>
        <v/>
      </c>
    </row>
    <row r="2461">
      <c r="B2461" s="113" t="n"/>
      <c r="C2461" s="114" t="n"/>
      <c r="D2461" s="115" t="n"/>
      <c r="E2461" s="116" t="n"/>
      <c r="F2461" s="115" t="n"/>
      <c r="G2461" s="117">
        <f>IF(COUNTA(B2461:E2461)=0,"",IF(COUNTA(B2461:E2461)&lt;4,"⚠ กรอกไม่ครบ",IF(NOT(ISNUMBER(B2461)),"⚠ วันที่ไม่ถูกต้อง",IF(COUNTIFS(Setup!$L$6:$L$60,D2461,Setup!$M$6:$M$60,C2461)=0,"⚠ หมวดไม่ตรงประเภท","✓"))))</f>
        <v/>
      </c>
    </row>
    <row r="2462">
      <c r="B2462" s="113" t="n"/>
      <c r="C2462" s="114" t="n"/>
      <c r="D2462" s="115" t="n"/>
      <c r="E2462" s="116" t="n"/>
      <c r="F2462" s="115" t="n"/>
      <c r="G2462" s="117">
        <f>IF(COUNTA(B2462:E2462)=0,"",IF(COUNTA(B2462:E2462)&lt;4,"⚠ กรอกไม่ครบ",IF(NOT(ISNUMBER(B2462)),"⚠ วันที่ไม่ถูกต้อง",IF(COUNTIFS(Setup!$L$6:$L$60,D2462,Setup!$M$6:$M$60,C2462)=0,"⚠ หมวดไม่ตรงประเภท","✓"))))</f>
        <v/>
      </c>
    </row>
    <row r="2463">
      <c r="B2463" s="113" t="n"/>
      <c r="C2463" s="114" t="n"/>
      <c r="D2463" s="115" t="n"/>
      <c r="E2463" s="116" t="n"/>
      <c r="F2463" s="115" t="n"/>
      <c r="G2463" s="117">
        <f>IF(COUNTA(B2463:E2463)=0,"",IF(COUNTA(B2463:E2463)&lt;4,"⚠ กรอกไม่ครบ",IF(NOT(ISNUMBER(B2463)),"⚠ วันที่ไม่ถูกต้อง",IF(COUNTIFS(Setup!$L$6:$L$60,D2463,Setup!$M$6:$M$60,C2463)=0,"⚠ หมวดไม่ตรงประเภท","✓"))))</f>
        <v/>
      </c>
    </row>
    <row r="2464">
      <c r="B2464" s="113" t="n"/>
      <c r="C2464" s="114" t="n"/>
      <c r="D2464" s="115" t="n"/>
      <c r="E2464" s="116" t="n"/>
      <c r="F2464" s="115" t="n"/>
      <c r="G2464" s="117">
        <f>IF(COUNTA(B2464:E2464)=0,"",IF(COUNTA(B2464:E2464)&lt;4,"⚠ กรอกไม่ครบ",IF(NOT(ISNUMBER(B2464)),"⚠ วันที่ไม่ถูกต้อง",IF(COUNTIFS(Setup!$L$6:$L$60,D2464,Setup!$M$6:$M$60,C2464)=0,"⚠ หมวดไม่ตรงประเภท","✓"))))</f>
        <v/>
      </c>
    </row>
    <row r="2465">
      <c r="B2465" s="113" t="n"/>
      <c r="C2465" s="114" t="n"/>
      <c r="D2465" s="115" t="n"/>
      <c r="E2465" s="116" t="n"/>
      <c r="F2465" s="115" t="n"/>
      <c r="G2465" s="117">
        <f>IF(COUNTA(B2465:E2465)=0,"",IF(COUNTA(B2465:E2465)&lt;4,"⚠ กรอกไม่ครบ",IF(NOT(ISNUMBER(B2465)),"⚠ วันที่ไม่ถูกต้อง",IF(COUNTIFS(Setup!$L$6:$L$60,D2465,Setup!$M$6:$M$60,C2465)=0,"⚠ หมวดไม่ตรงประเภท","✓"))))</f>
        <v/>
      </c>
    </row>
    <row r="2466">
      <c r="B2466" s="113" t="n"/>
      <c r="C2466" s="114" t="n"/>
      <c r="D2466" s="115" t="n"/>
      <c r="E2466" s="116" t="n"/>
      <c r="F2466" s="115" t="n"/>
      <c r="G2466" s="117">
        <f>IF(COUNTA(B2466:E2466)=0,"",IF(COUNTA(B2466:E2466)&lt;4,"⚠ กรอกไม่ครบ",IF(NOT(ISNUMBER(B2466)),"⚠ วันที่ไม่ถูกต้อง",IF(COUNTIFS(Setup!$L$6:$L$60,D2466,Setup!$M$6:$M$60,C2466)=0,"⚠ หมวดไม่ตรงประเภท","✓"))))</f>
        <v/>
      </c>
    </row>
    <row r="2467">
      <c r="B2467" s="113" t="n"/>
      <c r="C2467" s="114" t="n"/>
      <c r="D2467" s="115" t="n"/>
      <c r="E2467" s="116" t="n"/>
      <c r="F2467" s="115" t="n"/>
      <c r="G2467" s="117">
        <f>IF(COUNTA(B2467:E2467)=0,"",IF(COUNTA(B2467:E2467)&lt;4,"⚠ กรอกไม่ครบ",IF(NOT(ISNUMBER(B2467)),"⚠ วันที่ไม่ถูกต้อง",IF(COUNTIFS(Setup!$L$6:$L$60,D2467,Setup!$M$6:$M$60,C2467)=0,"⚠ หมวดไม่ตรงประเภท","✓"))))</f>
        <v/>
      </c>
    </row>
    <row r="2468">
      <c r="B2468" s="113" t="n"/>
      <c r="C2468" s="114" t="n"/>
      <c r="D2468" s="115" t="n"/>
      <c r="E2468" s="116" t="n"/>
      <c r="F2468" s="115" t="n"/>
      <c r="G2468" s="117">
        <f>IF(COUNTA(B2468:E2468)=0,"",IF(COUNTA(B2468:E2468)&lt;4,"⚠ กรอกไม่ครบ",IF(NOT(ISNUMBER(B2468)),"⚠ วันที่ไม่ถูกต้อง",IF(COUNTIFS(Setup!$L$6:$L$60,D2468,Setup!$M$6:$M$60,C2468)=0,"⚠ หมวดไม่ตรงประเภท","✓"))))</f>
        <v/>
      </c>
    </row>
    <row r="2469">
      <c r="B2469" s="113" t="n"/>
      <c r="C2469" s="114" t="n"/>
      <c r="D2469" s="115" t="n"/>
      <c r="E2469" s="116" t="n"/>
      <c r="F2469" s="115" t="n"/>
      <c r="G2469" s="117">
        <f>IF(COUNTA(B2469:E2469)=0,"",IF(COUNTA(B2469:E2469)&lt;4,"⚠ กรอกไม่ครบ",IF(NOT(ISNUMBER(B2469)),"⚠ วันที่ไม่ถูกต้อง",IF(COUNTIFS(Setup!$L$6:$L$60,D2469,Setup!$M$6:$M$60,C2469)=0,"⚠ หมวดไม่ตรงประเภท","✓"))))</f>
        <v/>
      </c>
    </row>
    <row r="2470">
      <c r="B2470" s="113" t="n"/>
      <c r="C2470" s="114" t="n"/>
      <c r="D2470" s="115" t="n"/>
      <c r="E2470" s="116" t="n"/>
      <c r="F2470" s="115" t="n"/>
      <c r="G2470" s="117">
        <f>IF(COUNTA(B2470:E2470)=0,"",IF(COUNTA(B2470:E2470)&lt;4,"⚠ กรอกไม่ครบ",IF(NOT(ISNUMBER(B2470)),"⚠ วันที่ไม่ถูกต้อง",IF(COUNTIFS(Setup!$L$6:$L$60,D2470,Setup!$M$6:$M$60,C2470)=0,"⚠ หมวดไม่ตรงประเภท","✓"))))</f>
        <v/>
      </c>
    </row>
    <row r="2471">
      <c r="B2471" s="113" t="n"/>
      <c r="C2471" s="114" t="n"/>
      <c r="D2471" s="115" t="n"/>
      <c r="E2471" s="116" t="n"/>
      <c r="F2471" s="115" t="n"/>
      <c r="G2471" s="117">
        <f>IF(COUNTA(B2471:E2471)=0,"",IF(COUNTA(B2471:E2471)&lt;4,"⚠ กรอกไม่ครบ",IF(NOT(ISNUMBER(B2471)),"⚠ วันที่ไม่ถูกต้อง",IF(COUNTIFS(Setup!$L$6:$L$60,D2471,Setup!$M$6:$M$60,C2471)=0,"⚠ หมวดไม่ตรงประเภท","✓"))))</f>
        <v/>
      </c>
    </row>
    <row r="2472">
      <c r="B2472" s="113" t="n"/>
      <c r="C2472" s="114" t="n"/>
      <c r="D2472" s="115" t="n"/>
      <c r="E2472" s="116" t="n"/>
      <c r="F2472" s="115" t="n"/>
      <c r="G2472" s="117">
        <f>IF(COUNTA(B2472:E2472)=0,"",IF(COUNTA(B2472:E2472)&lt;4,"⚠ กรอกไม่ครบ",IF(NOT(ISNUMBER(B2472)),"⚠ วันที่ไม่ถูกต้อง",IF(COUNTIFS(Setup!$L$6:$L$60,D2472,Setup!$M$6:$M$60,C2472)=0,"⚠ หมวดไม่ตรงประเภท","✓"))))</f>
        <v/>
      </c>
    </row>
    <row r="2473">
      <c r="B2473" s="113" t="n"/>
      <c r="C2473" s="114" t="n"/>
      <c r="D2473" s="115" t="n"/>
      <c r="E2473" s="116" t="n"/>
      <c r="F2473" s="115" t="n"/>
      <c r="G2473" s="117">
        <f>IF(COUNTA(B2473:E2473)=0,"",IF(COUNTA(B2473:E2473)&lt;4,"⚠ กรอกไม่ครบ",IF(NOT(ISNUMBER(B2473)),"⚠ วันที่ไม่ถูกต้อง",IF(COUNTIFS(Setup!$L$6:$L$60,D2473,Setup!$M$6:$M$60,C2473)=0,"⚠ หมวดไม่ตรงประเภท","✓"))))</f>
        <v/>
      </c>
    </row>
    <row r="2474">
      <c r="B2474" s="113" t="n"/>
      <c r="C2474" s="114" t="n"/>
      <c r="D2474" s="115" t="n"/>
      <c r="E2474" s="116" t="n"/>
      <c r="F2474" s="115" t="n"/>
      <c r="G2474" s="117">
        <f>IF(COUNTA(B2474:E2474)=0,"",IF(COUNTA(B2474:E2474)&lt;4,"⚠ กรอกไม่ครบ",IF(NOT(ISNUMBER(B2474)),"⚠ วันที่ไม่ถูกต้อง",IF(COUNTIFS(Setup!$L$6:$L$60,D2474,Setup!$M$6:$M$60,C2474)=0,"⚠ หมวดไม่ตรงประเภท","✓"))))</f>
        <v/>
      </c>
    </row>
    <row r="2475">
      <c r="B2475" s="113" t="n"/>
      <c r="C2475" s="114" t="n"/>
      <c r="D2475" s="115" t="n"/>
      <c r="E2475" s="116" t="n"/>
      <c r="F2475" s="115" t="n"/>
      <c r="G2475" s="117">
        <f>IF(COUNTA(B2475:E2475)=0,"",IF(COUNTA(B2475:E2475)&lt;4,"⚠ กรอกไม่ครบ",IF(NOT(ISNUMBER(B2475)),"⚠ วันที่ไม่ถูกต้อง",IF(COUNTIFS(Setup!$L$6:$L$60,D2475,Setup!$M$6:$M$60,C2475)=0,"⚠ หมวดไม่ตรงประเภท","✓"))))</f>
        <v/>
      </c>
    </row>
    <row r="2476">
      <c r="B2476" s="113" t="n"/>
      <c r="C2476" s="114" t="n"/>
      <c r="D2476" s="115" t="n"/>
      <c r="E2476" s="116" t="n"/>
      <c r="F2476" s="115" t="n"/>
      <c r="G2476" s="117">
        <f>IF(COUNTA(B2476:E2476)=0,"",IF(COUNTA(B2476:E2476)&lt;4,"⚠ กรอกไม่ครบ",IF(NOT(ISNUMBER(B2476)),"⚠ วันที่ไม่ถูกต้อง",IF(COUNTIFS(Setup!$L$6:$L$60,D2476,Setup!$M$6:$M$60,C2476)=0,"⚠ หมวดไม่ตรงประเภท","✓"))))</f>
        <v/>
      </c>
    </row>
    <row r="2477">
      <c r="B2477" s="113" t="n"/>
      <c r="C2477" s="114" t="n"/>
      <c r="D2477" s="115" t="n"/>
      <c r="E2477" s="116" t="n"/>
      <c r="F2477" s="115" t="n"/>
      <c r="G2477" s="117">
        <f>IF(COUNTA(B2477:E2477)=0,"",IF(COUNTA(B2477:E2477)&lt;4,"⚠ กรอกไม่ครบ",IF(NOT(ISNUMBER(B2477)),"⚠ วันที่ไม่ถูกต้อง",IF(COUNTIFS(Setup!$L$6:$L$60,D2477,Setup!$M$6:$M$60,C2477)=0,"⚠ หมวดไม่ตรงประเภท","✓"))))</f>
        <v/>
      </c>
    </row>
    <row r="2478">
      <c r="B2478" s="113" t="n"/>
      <c r="C2478" s="114" t="n"/>
      <c r="D2478" s="115" t="n"/>
      <c r="E2478" s="116" t="n"/>
      <c r="F2478" s="115" t="n"/>
      <c r="G2478" s="117">
        <f>IF(COUNTA(B2478:E2478)=0,"",IF(COUNTA(B2478:E2478)&lt;4,"⚠ กรอกไม่ครบ",IF(NOT(ISNUMBER(B2478)),"⚠ วันที่ไม่ถูกต้อง",IF(COUNTIFS(Setup!$L$6:$L$60,D2478,Setup!$M$6:$M$60,C2478)=0,"⚠ หมวดไม่ตรงประเภท","✓"))))</f>
        <v/>
      </c>
    </row>
    <row r="2479">
      <c r="B2479" s="113" t="n"/>
      <c r="C2479" s="114" t="n"/>
      <c r="D2479" s="115" t="n"/>
      <c r="E2479" s="116" t="n"/>
      <c r="F2479" s="115" t="n"/>
      <c r="G2479" s="117">
        <f>IF(COUNTA(B2479:E2479)=0,"",IF(COUNTA(B2479:E2479)&lt;4,"⚠ กรอกไม่ครบ",IF(NOT(ISNUMBER(B2479)),"⚠ วันที่ไม่ถูกต้อง",IF(COUNTIFS(Setup!$L$6:$L$60,D2479,Setup!$M$6:$M$60,C2479)=0,"⚠ หมวดไม่ตรงประเภท","✓"))))</f>
        <v/>
      </c>
    </row>
    <row r="2480">
      <c r="B2480" s="113" t="n"/>
      <c r="C2480" s="114" t="n"/>
      <c r="D2480" s="115" t="n"/>
      <c r="E2480" s="116" t="n"/>
      <c r="F2480" s="115" t="n"/>
      <c r="G2480" s="117">
        <f>IF(COUNTA(B2480:E2480)=0,"",IF(COUNTA(B2480:E2480)&lt;4,"⚠ กรอกไม่ครบ",IF(NOT(ISNUMBER(B2480)),"⚠ วันที่ไม่ถูกต้อง",IF(COUNTIFS(Setup!$L$6:$L$60,D2480,Setup!$M$6:$M$60,C2480)=0,"⚠ หมวดไม่ตรงประเภท","✓"))))</f>
        <v/>
      </c>
    </row>
    <row r="2481">
      <c r="B2481" s="113" t="n"/>
      <c r="C2481" s="114" t="n"/>
      <c r="D2481" s="115" t="n"/>
      <c r="E2481" s="116" t="n"/>
      <c r="F2481" s="115" t="n"/>
      <c r="G2481" s="117">
        <f>IF(COUNTA(B2481:E2481)=0,"",IF(COUNTA(B2481:E2481)&lt;4,"⚠ กรอกไม่ครบ",IF(NOT(ISNUMBER(B2481)),"⚠ วันที่ไม่ถูกต้อง",IF(COUNTIFS(Setup!$L$6:$L$60,D2481,Setup!$M$6:$M$60,C2481)=0,"⚠ หมวดไม่ตรงประเภท","✓"))))</f>
        <v/>
      </c>
    </row>
    <row r="2482">
      <c r="B2482" s="113" t="n"/>
      <c r="C2482" s="114" t="n"/>
      <c r="D2482" s="115" t="n"/>
      <c r="E2482" s="116" t="n"/>
      <c r="F2482" s="115" t="n"/>
      <c r="G2482" s="117">
        <f>IF(COUNTA(B2482:E2482)=0,"",IF(COUNTA(B2482:E2482)&lt;4,"⚠ กรอกไม่ครบ",IF(NOT(ISNUMBER(B2482)),"⚠ วันที่ไม่ถูกต้อง",IF(COUNTIFS(Setup!$L$6:$L$60,D2482,Setup!$M$6:$M$60,C2482)=0,"⚠ หมวดไม่ตรงประเภท","✓"))))</f>
        <v/>
      </c>
    </row>
    <row r="2483">
      <c r="B2483" s="113" t="n"/>
      <c r="C2483" s="114" t="n"/>
      <c r="D2483" s="115" t="n"/>
      <c r="E2483" s="116" t="n"/>
      <c r="F2483" s="115" t="n"/>
      <c r="G2483" s="117">
        <f>IF(COUNTA(B2483:E2483)=0,"",IF(COUNTA(B2483:E2483)&lt;4,"⚠ กรอกไม่ครบ",IF(NOT(ISNUMBER(B2483)),"⚠ วันที่ไม่ถูกต้อง",IF(COUNTIFS(Setup!$L$6:$L$60,D2483,Setup!$M$6:$M$60,C2483)=0,"⚠ หมวดไม่ตรงประเภท","✓"))))</f>
        <v/>
      </c>
    </row>
    <row r="2484">
      <c r="B2484" s="113" t="n"/>
      <c r="C2484" s="114" t="n"/>
      <c r="D2484" s="115" t="n"/>
      <c r="E2484" s="116" t="n"/>
      <c r="F2484" s="115" t="n"/>
      <c r="G2484" s="117">
        <f>IF(COUNTA(B2484:E2484)=0,"",IF(COUNTA(B2484:E2484)&lt;4,"⚠ กรอกไม่ครบ",IF(NOT(ISNUMBER(B2484)),"⚠ วันที่ไม่ถูกต้อง",IF(COUNTIFS(Setup!$L$6:$L$60,D2484,Setup!$M$6:$M$60,C2484)=0,"⚠ หมวดไม่ตรงประเภท","✓"))))</f>
        <v/>
      </c>
    </row>
    <row r="2485">
      <c r="B2485" s="113" t="n"/>
      <c r="C2485" s="114" t="n"/>
      <c r="D2485" s="115" t="n"/>
      <c r="E2485" s="116" t="n"/>
      <c r="F2485" s="115" t="n"/>
      <c r="G2485" s="117">
        <f>IF(COUNTA(B2485:E2485)=0,"",IF(COUNTA(B2485:E2485)&lt;4,"⚠ กรอกไม่ครบ",IF(NOT(ISNUMBER(B2485)),"⚠ วันที่ไม่ถูกต้อง",IF(COUNTIFS(Setup!$L$6:$L$60,D2485,Setup!$M$6:$M$60,C2485)=0,"⚠ หมวดไม่ตรงประเภท","✓"))))</f>
        <v/>
      </c>
    </row>
    <row r="2486">
      <c r="B2486" s="113" t="n"/>
      <c r="C2486" s="114" t="n"/>
      <c r="D2486" s="115" t="n"/>
      <c r="E2486" s="116" t="n"/>
      <c r="F2486" s="115" t="n"/>
      <c r="G2486" s="117">
        <f>IF(COUNTA(B2486:E2486)=0,"",IF(COUNTA(B2486:E2486)&lt;4,"⚠ กรอกไม่ครบ",IF(NOT(ISNUMBER(B2486)),"⚠ วันที่ไม่ถูกต้อง",IF(COUNTIFS(Setup!$L$6:$L$60,D2486,Setup!$M$6:$M$60,C2486)=0,"⚠ หมวดไม่ตรงประเภท","✓"))))</f>
        <v/>
      </c>
    </row>
    <row r="2487">
      <c r="B2487" s="113" t="n"/>
      <c r="C2487" s="114" t="n"/>
      <c r="D2487" s="115" t="n"/>
      <c r="E2487" s="116" t="n"/>
      <c r="F2487" s="115" t="n"/>
      <c r="G2487" s="117">
        <f>IF(COUNTA(B2487:E2487)=0,"",IF(COUNTA(B2487:E2487)&lt;4,"⚠ กรอกไม่ครบ",IF(NOT(ISNUMBER(B2487)),"⚠ วันที่ไม่ถูกต้อง",IF(COUNTIFS(Setup!$L$6:$L$60,D2487,Setup!$M$6:$M$60,C2487)=0,"⚠ หมวดไม่ตรงประเภท","✓"))))</f>
        <v/>
      </c>
    </row>
    <row r="2488">
      <c r="B2488" s="113" t="n"/>
      <c r="C2488" s="114" t="n"/>
      <c r="D2488" s="115" t="n"/>
      <c r="E2488" s="116" t="n"/>
      <c r="F2488" s="115" t="n"/>
      <c r="G2488" s="117">
        <f>IF(COUNTA(B2488:E2488)=0,"",IF(COUNTA(B2488:E2488)&lt;4,"⚠ กรอกไม่ครบ",IF(NOT(ISNUMBER(B2488)),"⚠ วันที่ไม่ถูกต้อง",IF(COUNTIFS(Setup!$L$6:$L$60,D2488,Setup!$M$6:$M$60,C2488)=0,"⚠ หมวดไม่ตรงประเภท","✓"))))</f>
        <v/>
      </c>
    </row>
    <row r="2489">
      <c r="B2489" s="113" t="n"/>
      <c r="C2489" s="114" t="n"/>
      <c r="D2489" s="115" t="n"/>
      <c r="E2489" s="116" t="n"/>
      <c r="F2489" s="115" t="n"/>
      <c r="G2489" s="117">
        <f>IF(COUNTA(B2489:E2489)=0,"",IF(COUNTA(B2489:E2489)&lt;4,"⚠ กรอกไม่ครบ",IF(NOT(ISNUMBER(B2489)),"⚠ วันที่ไม่ถูกต้อง",IF(COUNTIFS(Setup!$L$6:$L$60,D2489,Setup!$M$6:$M$60,C2489)=0,"⚠ หมวดไม่ตรงประเภท","✓"))))</f>
        <v/>
      </c>
    </row>
    <row r="2490">
      <c r="B2490" s="113" t="n"/>
      <c r="C2490" s="114" t="n"/>
      <c r="D2490" s="115" t="n"/>
      <c r="E2490" s="116" t="n"/>
      <c r="F2490" s="115" t="n"/>
      <c r="G2490" s="117">
        <f>IF(COUNTA(B2490:E2490)=0,"",IF(COUNTA(B2490:E2490)&lt;4,"⚠ กรอกไม่ครบ",IF(NOT(ISNUMBER(B2490)),"⚠ วันที่ไม่ถูกต้อง",IF(COUNTIFS(Setup!$L$6:$L$60,D2490,Setup!$M$6:$M$60,C2490)=0,"⚠ หมวดไม่ตรงประเภท","✓"))))</f>
        <v/>
      </c>
    </row>
    <row r="2491">
      <c r="B2491" s="113" t="n"/>
      <c r="C2491" s="114" t="n"/>
      <c r="D2491" s="115" t="n"/>
      <c r="E2491" s="116" t="n"/>
      <c r="F2491" s="115" t="n"/>
      <c r="G2491" s="117">
        <f>IF(COUNTA(B2491:E2491)=0,"",IF(COUNTA(B2491:E2491)&lt;4,"⚠ กรอกไม่ครบ",IF(NOT(ISNUMBER(B2491)),"⚠ วันที่ไม่ถูกต้อง",IF(COUNTIFS(Setup!$L$6:$L$60,D2491,Setup!$M$6:$M$60,C2491)=0,"⚠ หมวดไม่ตรงประเภท","✓"))))</f>
        <v/>
      </c>
    </row>
    <row r="2492">
      <c r="B2492" s="113" t="n"/>
      <c r="C2492" s="114" t="n"/>
      <c r="D2492" s="115" t="n"/>
      <c r="E2492" s="116" t="n"/>
      <c r="F2492" s="115" t="n"/>
      <c r="G2492" s="117">
        <f>IF(COUNTA(B2492:E2492)=0,"",IF(COUNTA(B2492:E2492)&lt;4,"⚠ กรอกไม่ครบ",IF(NOT(ISNUMBER(B2492)),"⚠ วันที่ไม่ถูกต้อง",IF(COUNTIFS(Setup!$L$6:$L$60,D2492,Setup!$M$6:$M$60,C2492)=0,"⚠ หมวดไม่ตรงประเภท","✓"))))</f>
        <v/>
      </c>
    </row>
    <row r="2493">
      <c r="B2493" s="113" t="n"/>
      <c r="C2493" s="114" t="n"/>
      <c r="D2493" s="115" t="n"/>
      <c r="E2493" s="116" t="n"/>
      <c r="F2493" s="115" t="n"/>
      <c r="G2493" s="117">
        <f>IF(COUNTA(B2493:E2493)=0,"",IF(COUNTA(B2493:E2493)&lt;4,"⚠ กรอกไม่ครบ",IF(NOT(ISNUMBER(B2493)),"⚠ วันที่ไม่ถูกต้อง",IF(COUNTIFS(Setup!$L$6:$L$60,D2493,Setup!$M$6:$M$60,C2493)=0,"⚠ หมวดไม่ตรงประเภท","✓"))))</f>
        <v/>
      </c>
    </row>
    <row r="2494">
      <c r="B2494" s="113" t="n"/>
      <c r="C2494" s="114" t="n"/>
      <c r="D2494" s="115" t="n"/>
      <c r="E2494" s="116" t="n"/>
      <c r="F2494" s="115" t="n"/>
      <c r="G2494" s="117">
        <f>IF(COUNTA(B2494:E2494)=0,"",IF(COUNTA(B2494:E2494)&lt;4,"⚠ กรอกไม่ครบ",IF(NOT(ISNUMBER(B2494)),"⚠ วันที่ไม่ถูกต้อง",IF(COUNTIFS(Setup!$L$6:$L$60,D2494,Setup!$M$6:$M$60,C2494)=0,"⚠ หมวดไม่ตรงประเภท","✓"))))</f>
        <v/>
      </c>
    </row>
    <row r="2495">
      <c r="B2495" s="113" t="n"/>
      <c r="C2495" s="114" t="n"/>
      <c r="D2495" s="115" t="n"/>
      <c r="E2495" s="116" t="n"/>
      <c r="F2495" s="115" t="n"/>
      <c r="G2495" s="117">
        <f>IF(COUNTA(B2495:E2495)=0,"",IF(COUNTA(B2495:E2495)&lt;4,"⚠ กรอกไม่ครบ",IF(NOT(ISNUMBER(B2495)),"⚠ วันที่ไม่ถูกต้อง",IF(COUNTIFS(Setup!$L$6:$L$60,D2495,Setup!$M$6:$M$60,C2495)=0,"⚠ หมวดไม่ตรงประเภท","✓"))))</f>
        <v/>
      </c>
    </row>
    <row r="2496">
      <c r="B2496" s="113" t="n"/>
      <c r="C2496" s="114" t="n"/>
      <c r="D2496" s="115" t="n"/>
      <c r="E2496" s="116" t="n"/>
      <c r="F2496" s="115" t="n"/>
      <c r="G2496" s="117">
        <f>IF(COUNTA(B2496:E2496)=0,"",IF(COUNTA(B2496:E2496)&lt;4,"⚠ กรอกไม่ครบ",IF(NOT(ISNUMBER(B2496)),"⚠ วันที่ไม่ถูกต้อง",IF(COUNTIFS(Setup!$L$6:$L$60,D2496,Setup!$M$6:$M$60,C2496)=0,"⚠ หมวดไม่ตรงประเภท","✓"))))</f>
        <v/>
      </c>
    </row>
    <row r="2497">
      <c r="B2497" s="113" t="n"/>
      <c r="C2497" s="114" t="n"/>
      <c r="D2497" s="115" t="n"/>
      <c r="E2497" s="116" t="n"/>
      <c r="F2497" s="115" t="n"/>
      <c r="G2497" s="117">
        <f>IF(COUNTA(B2497:E2497)=0,"",IF(COUNTA(B2497:E2497)&lt;4,"⚠ กรอกไม่ครบ",IF(NOT(ISNUMBER(B2497)),"⚠ วันที่ไม่ถูกต้อง",IF(COUNTIFS(Setup!$L$6:$L$60,D2497,Setup!$M$6:$M$60,C2497)=0,"⚠ หมวดไม่ตรงประเภท","✓"))))</f>
        <v/>
      </c>
    </row>
    <row r="2498">
      <c r="B2498" s="113" t="n"/>
      <c r="C2498" s="114" t="n"/>
      <c r="D2498" s="115" t="n"/>
      <c r="E2498" s="116" t="n"/>
      <c r="F2498" s="115" t="n"/>
      <c r="G2498" s="117">
        <f>IF(COUNTA(B2498:E2498)=0,"",IF(COUNTA(B2498:E2498)&lt;4,"⚠ กรอกไม่ครบ",IF(NOT(ISNUMBER(B2498)),"⚠ วันที่ไม่ถูกต้อง",IF(COUNTIFS(Setup!$L$6:$L$60,D2498,Setup!$M$6:$M$60,C2498)=0,"⚠ หมวดไม่ตรงประเภท","✓"))))</f>
        <v/>
      </c>
    </row>
    <row r="2499">
      <c r="B2499" s="113" t="n"/>
      <c r="C2499" s="114" t="n"/>
      <c r="D2499" s="115" t="n"/>
      <c r="E2499" s="116" t="n"/>
      <c r="F2499" s="115" t="n"/>
      <c r="G2499" s="117">
        <f>IF(COUNTA(B2499:E2499)=0,"",IF(COUNTA(B2499:E2499)&lt;4,"⚠ กรอกไม่ครบ",IF(NOT(ISNUMBER(B2499)),"⚠ วันที่ไม่ถูกต้อง",IF(COUNTIFS(Setup!$L$6:$L$60,D2499,Setup!$M$6:$M$60,C2499)=0,"⚠ หมวดไม่ตรงประเภท","✓"))))</f>
        <v/>
      </c>
    </row>
    <row r="2500">
      <c r="B2500" s="113" t="n"/>
      <c r="C2500" s="114" t="n"/>
      <c r="D2500" s="115" t="n"/>
      <c r="E2500" s="116" t="n"/>
      <c r="F2500" s="115" t="n"/>
      <c r="G2500" s="117">
        <f>IF(COUNTA(B2500:E2500)=0,"",IF(COUNTA(B2500:E2500)&lt;4,"⚠ กรอกไม่ครบ",IF(NOT(ISNUMBER(B2500)),"⚠ วันที่ไม่ถูกต้อง",IF(COUNTIFS(Setup!$L$6:$L$60,D2500,Setup!$M$6:$M$60,C2500)=0,"⚠ หมวดไม่ตรงประเภท","✓"))))</f>
        <v/>
      </c>
    </row>
    <row r="2501">
      <c r="B2501" s="113" t="n"/>
      <c r="C2501" s="114" t="n"/>
      <c r="D2501" s="115" t="n"/>
      <c r="E2501" s="116" t="n"/>
      <c r="F2501" s="115" t="n"/>
      <c r="G2501" s="117">
        <f>IF(COUNTA(B2501:E2501)=0,"",IF(COUNTA(B2501:E2501)&lt;4,"⚠ กรอกไม่ครบ",IF(NOT(ISNUMBER(B2501)),"⚠ วันที่ไม่ถูกต้อง",IF(COUNTIFS(Setup!$L$6:$L$60,D2501,Setup!$M$6:$M$60,C2501)=0,"⚠ หมวดไม่ตรงประเภท","✓"))))</f>
        <v/>
      </c>
    </row>
    <row r="2502">
      <c r="B2502" s="113" t="n"/>
      <c r="C2502" s="114" t="n"/>
      <c r="D2502" s="115" t="n"/>
      <c r="E2502" s="116" t="n"/>
      <c r="F2502" s="115" t="n"/>
      <c r="G2502" s="117">
        <f>IF(COUNTA(B2502:E2502)=0,"",IF(COUNTA(B2502:E2502)&lt;4,"⚠ กรอกไม่ครบ",IF(NOT(ISNUMBER(B2502)),"⚠ วันที่ไม่ถูกต้อง",IF(COUNTIFS(Setup!$L$6:$L$60,D2502,Setup!$M$6:$M$60,C2502)=0,"⚠ หมวดไม่ตรงประเภท","✓"))))</f>
        <v/>
      </c>
    </row>
    <row r="2503">
      <c r="B2503" s="113" t="n"/>
      <c r="C2503" s="114" t="n"/>
      <c r="D2503" s="115" t="n"/>
      <c r="E2503" s="116" t="n"/>
      <c r="F2503" s="115" t="n"/>
      <c r="G2503" s="117">
        <f>IF(COUNTA(B2503:E2503)=0,"",IF(COUNTA(B2503:E2503)&lt;4,"⚠ กรอกไม่ครบ",IF(NOT(ISNUMBER(B2503)),"⚠ วันที่ไม่ถูกต้อง",IF(COUNTIFS(Setup!$L$6:$L$60,D2503,Setup!$M$6:$M$60,C2503)=0,"⚠ หมวดไม่ตรงประเภท","✓"))))</f>
        <v/>
      </c>
    </row>
    <row r="2504">
      <c r="B2504" s="113" t="n"/>
      <c r="C2504" s="114" t="n"/>
      <c r="D2504" s="115" t="n"/>
      <c r="E2504" s="116" t="n"/>
      <c r="F2504" s="115" t="n"/>
      <c r="G2504" s="117">
        <f>IF(COUNTA(B2504:E2504)=0,"",IF(COUNTA(B2504:E2504)&lt;4,"⚠ กรอกไม่ครบ",IF(NOT(ISNUMBER(B2504)),"⚠ วันที่ไม่ถูกต้อง",IF(COUNTIFS(Setup!$L$6:$L$60,D2504,Setup!$M$6:$M$60,C2504)=0,"⚠ หมวดไม่ตรงประเภท","✓"))))</f>
        <v/>
      </c>
    </row>
    <row r="2505">
      <c r="B2505" s="113" t="n"/>
      <c r="C2505" s="114" t="n"/>
      <c r="D2505" s="115" t="n"/>
      <c r="E2505" s="116" t="n"/>
      <c r="F2505" s="115" t="n"/>
      <c r="G2505" s="117">
        <f>IF(COUNTA(B2505:E2505)=0,"",IF(COUNTA(B2505:E2505)&lt;4,"⚠ กรอกไม่ครบ",IF(NOT(ISNUMBER(B2505)),"⚠ วันที่ไม่ถูกต้อง",IF(COUNTIFS(Setup!$L$6:$L$60,D2505,Setup!$M$6:$M$60,C2505)=0,"⚠ หมวดไม่ตรงประเภท","✓"))))</f>
        <v/>
      </c>
    </row>
    <row r="2506">
      <c r="B2506" s="113" t="n"/>
      <c r="C2506" s="114" t="n"/>
      <c r="D2506" s="115" t="n"/>
      <c r="E2506" s="116" t="n"/>
      <c r="F2506" s="115" t="n"/>
      <c r="G2506" s="117">
        <f>IF(COUNTA(B2506:E2506)=0,"",IF(COUNTA(B2506:E2506)&lt;4,"⚠ กรอกไม่ครบ",IF(NOT(ISNUMBER(B2506)),"⚠ วันที่ไม่ถูกต้อง",IF(COUNTIFS(Setup!$L$6:$L$60,D2506,Setup!$M$6:$M$60,C2506)=0,"⚠ หมวดไม่ตรงประเภท","✓"))))</f>
        <v/>
      </c>
    </row>
    <row r="2507">
      <c r="B2507" s="113" t="n"/>
      <c r="C2507" s="114" t="n"/>
      <c r="D2507" s="115" t="n"/>
      <c r="E2507" s="116" t="n"/>
      <c r="F2507" s="115" t="n"/>
      <c r="G2507" s="117">
        <f>IF(COUNTA(B2507:E2507)=0,"",IF(COUNTA(B2507:E2507)&lt;4,"⚠ กรอกไม่ครบ",IF(NOT(ISNUMBER(B2507)),"⚠ วันที่ไม่ถูกต้อง",IF(COUNTIFS(Setup!$L$6:$L$60,D2507,Setup!$M$6:$M$60,C2507)=0,"⚠ หมวดไม่ตรงประเภท","✓"))))</f>
        <v/>
      </c>
    </row>
    <row r="2508">
      <c r="B2508" s="113" t="n"/>
      <c r="C2508" s="114" t="n"/>
      <c r="D2508" s="115" t="n"/>
      <c r="E2508" s="116" t="n"/>
      <c r="F2508" s="115" t="n"/>
      <c r="G2508" s="117">
        <f>IF(COUNTA(B2508:E2508)=0,"",IF(COUNTA(B2508:E2508)&lt;4,"⚠ กรอกไม่ครบ",IF(NOT(ISNUMBER(B2508)),"⚠ วันที่ไม่ถูกต้อง",IF(COUNTIFS(Setup!$L$6:$L$60,D2508,Setup!$M$6:$M$60,C2508)=0,"⚠ หมวดไม่ตรงประเภท","✓"))))</f>
        <v/>
      </c>
    </row>
    <row r="2509">
      <c r="B2509" s="113" t="n"/>
      <c r="C2509" s="114" t="n"/>
      <c r="D2509" s="115" t="n"/>
      <c r="E2509" s="116" t="n"/>
      <c r="F2509" s="115" t="n"/>
      <c r="G2509" s="117">
        <f>IF(COUNTA(B2509:E2509)=0,"",IF(COUNTA(B2509:E2509)&lt;4,"⚠ กรอกไม่ครบ",IF(NOT(ISNUMBER(B2509)),"⚠ วันที่ไม่ถูกต้อง",IF(COUNTIFS(Setup!$L$6:$L$60,D2509,Setup!$M$6:$M$60,C2509)=0,"⚠ หมวดไม่ตรงประเภท","✓"))))</f>
        <v/>
      </c>
    </row>
    <row r="2510">
      <c r="B2510" s="113" t="n"/>
      <c r="C2510" s="114" t="n"/>
      <c r="D2510" s="115" t="n"/>
      <c r="E2510" s="116" t="n"/>
      <c r="F2510" s="115" t="n"/>
      <c r="G2510" s="117">
        <f>IF(COUNTA(B2510:E2510)=0,"",IF(COUNTA(B2510:E2510)&lt;4,"⚠ กรอกไม่ครบ",IF(NOT(ISNUMBER(B2510)),"⚠ วันที่ไม่ถูกต้อง",IF(COUNTIFS(Setup!$L$6:$L$60,D2510,Setup!$M$6:$M$60,C2510)=0,"⚠ หมวดไม่ตรงประเภท","✓"))))</f>
        <v/>
      </c>
    </row>
    <row r="2511">
      <c r="B2511" s="113" t="n"/>
      <c r="C2511" s="114" t="n"/>
      <c r="D2511" s="115" t="n"/>
      <c r="E2511" s="116" t="n"/>
      <c r="F2511" s="115" t="n"/>
      <c r="G2511" s="117">
        <f>IF(COUNTA(B2511:E2511)=0,"",IF(COUNTA(B2511:E2511)&lt;4,"⚠ กรอกไม่ครบ",IF(NOT(ISNUMBER(B2511)),"⚠ วันที่ไม่ถูกต้อง",IF(COUNTIFS(Setup!$L$6:$L$60,D2511,Setup!$M$6:$M$60,C2511)=0,"⚠ หมวดไม่ตรงประเภท","✓"))))</f>
        <v/>
      </c>
    </row>
    <row r="2512">
      <c r="B2512" s="113" t="n"/>
      <c r="C2512" s="114" t="n"/>
      <c r="D2512" s="115" t="n"/>
      <c r="E2512" s="116" t="n"/>
      <c r="F2512" s="115" t="n"/>
      <c r="G2512" s="117">
        <f>IF(COUNTA(B2512:E2512)=0,"",IF(COUNTA(B2512:E2512)&lt;4,"⚠ กรอกไม่ครบ",IF(NOT(ISNUMBER(B2512)),"⚠ วันที่ไม่ถูกต้อง",IF(COUNTIFS(Setup!$L$6:$L$60,D2512,Setup!$M$6:$M$60,C2512)=0,"⚠ หมวดไม่ตรงประเภท","✓"))))</f>
        <v/>
      </c>
    </row>
    <row r="2513">
      <c r="B2513" s="113" t="n"/>
      <c r="C2513" s="114" t="n"/>
      <c r="D2513" s="115" t="n"/>
      <c r="E2513" s="116" t="n"/>
      <c r="F2513" s="115" t="n"/>
      <c r="G2513" s="117">
        <f>IF(COUNTA(B2513:E2513)=0,"",IF(COUNTA(B2513:E2513)&lt;4,"⚠ กรอกไม่ครบ",IF(NOT(ISNUMBER(B2513)),"⚠ วันที่ไม่ถูกต้อง",IF(COUNTIFS(Setup!$L$6:$L$60,D2513,Setup!$M$6:$M$60,C2513)=0,"⚠ หมวดไม่ตรงประเภท","✓"))))</f>
        <v/>
      </c>
    </row>
    <row r="2514">
      <c r="B2514" s="113" t="n"/>
      <c r="C2514" s="114" t="n"/>
      <c r="D2514" s="115" t="n"/>
      <c r="E2514" s="116" t="n"/>
      <c r="F2514" s="115" t="n"/>
      <c r="G2514" s="117">
        <f>IF(COUNTA(B2514:E2514)=0,"",IF(COUNTA(B2514:E2514)&lt;4,"⚠ กรอกไม่ครบ",IF(NOT(ISNUMBER(B2514)),"⚠ วันที่ไม่ถูกต้อง",IF(COUNTIFS(Setup!$L$6:$L$60,D2514,Setup!$M$6:$M$60,C2514)=0,"⚠ หมวดไม่ตรงประเภท","✓"))))</f>
        <v/>
      </c>
    </row>
    <row r="2515">
      <c r="B2515" s="113" t="n"/>
      <c r="C2515" s="114" t="n"/>
      <c r="D2515" s="115" t="n"/>
      <c r="E2515" s="116" t="n"/>
      <c r="F2515" s="115" t="n"/>
      <c r="G2515" s="117">
        <f>IF(COUNTA(B2515:E2515)=0,"",IF(COUNTA(B2515:E2515)&lt;4,"⚠ กรอกไม่ครบ",IF(NOT(ISNUMBER(B2515)),"⚠ วันที่ไม่ถูกต้อง",IF(COUNTIFS(Setup!$L$6:$L$60,D2515,Setup!$M$6:$M$60,C2515)=0,"⚠ หมวดไม่ตรงประเภท","✓"))))</f>
        <v/>
      </c>
    </row>
    <row r="2516">
      <c r="B2516" s="113" t="n"/>
      <c r="C2516" s="114" t="n"/>
      <c r="D2516" s="115" t="n"/>
      <c r="E2516" s="116" t="n"/>
      <c r="F2516" s="115" t="n"/>
      <c r="G2516" s="117">
        <f>IF(COUNTA(B2516:E2516)=0,"",IF(COUNTA(B2516:E2516)&lt;4,"⚠ กรอกไม่ครบ",IF(NOT(ISNUMBER(B2516)),"⚠ วันที่ไม่ถูกต้อง",IF(COUNTIFS(Setup!$L$6:$L$60,D2516,Setup!$M$6:$M$60,C2516)=0,"⚠ หมวดไม่ตรงประเภท","✓"))))</f>
        <v/>
      </c>
    </row>
    <row r="2517">
      <c r="B2517" s="113" t="n"/>
      <c r="C2517" s="114" t="n"/>
      <c r="D2517" s="115" t="n"/>
      <c r="E2517" s="116" t="n"/>
      <c r="F2517" s="115" t="n"/>
      <c r="G2517" s="117">
        <f>IF(COUNTA(B2517:E2517)=0,"",IF(COUNTA(B2517:E2517)&lt;4,"⚠ กรอกไม่ครบ",IF(NOT(ISNUMBER(B2517)),"⚠ วันที่ไม่ถูกต้อง",IF(COUNTIFS(Setup!$L$6:$L$60,D2517,Setup!$M$6:$M$60,C2517)=0,"⚠ หมวดไม่ตรงประเภท","✓"))))</f>
        <v/>
      </c>
    </row>
    <row r="2518">
      <c r="B2518" s="113" t="n"/>
      <c r="C2518" s="114" t="n"/>
      <c r="D2518" s="115" t="n"/>
      <c r="E2518" s="116" t="n"/>
      <c r="F2518" s="115" t="n"/>
      <c r="G2518" s="117">
        <f>IF(COUNTA(B2518:E2518)=0,"",IF(COUNTA(B2518:E2518)&lt;4,"⚠ กรอกไม่ครบ",IF(NOT(ISNUMBER(B2518)),"⚠ วันที่ไม่ถูกต้อง",IF(COUNTIFS(Setup!$L$6:$L$60,D2518,Setup!$M$6:$M$60,C2518)=0,"⚠ หมวดไม่ตรงประเภท","✓"))))</f>
        <v/>
      </c>
    </row>
    <row r="2519">
      <c r="B2519" s="113" t="n"/>
      <c r="C2519" s="114" t="n"/>
      <c r="D2519" s="115" t="n"/>
      <c r="E2519" s="116" t="n"/>
      <c r="F2519" s="115" t="n"/>
      <c r="G2519" s="117">
        <f>IF(COUNTA(B2519:E2519)=0,"",IF(COUNTA(B2519:E2519)&lt;4,"⚠ กรอกไม่ครบ",IF(NOT(ISNUMBER(B2519)),"⚠ วันที่ไม่ถูกต้อง",IF(COUNTIFS(Setup!$L$6:$L$60,D2519,Setup!$M$6:$M$60,C2519)=0,"⚠ หมวดไม่ตรงประเภท","✓"))))</f>
        <v/>
      </c>
    </row>
    <row r="2520">
      <c r="B2520" s="113" t="n"/>
      <c r="C2520" s="114" t="n"/>
      <c r="D2520" s="115" t="n"/>
      <c r="E2520" s="116" t="n"/>
      <c r="F2520" s="115" t="n"/>
      <c r="G2520" s="117">
        <f>IF(COUNTA(B2520:E2520)=0,"",IF(COUNTA(B2520:E2520)&lt;4,"⚠ กรอกไม่ครบ",IF(NOT(ISNUMBER(B2520)),"⚠ วันที่ไม่ถูกต้อง",IF(COUNTIFS(Setup!$L$6:$L$60,D2520,Setup!$M$6:$M$60,C2520)=0,"⚠ หมวดไม่ตรงประเภท","✓"))))</f>
        <v/>
      </c>
    </row>
    <row r="2521">
      <c r="B2521" s="113" t="n"/>
      <c r="C2521" s="114" t="n"/>
      <c r="D2521" s="115" t="n"/>
      <c r="E2521" s="116" t="n"/>
      <c r="F2521" s="115" t="n"/>
      <c r="G2521" s="117">
        <f>IF(COUNTA(B2521:E2521)=0,"",IF(COUNTA(B2521:E2521)&lt;4,"⚠ กรอกไม่ครบ",IF(NOT(ISNUMBER(B2521)),"⚠ วันที่ไม่ถูกต้อง",IF(COUNTIFS(Setup!$L$6:$L$60,D2521,Setup!$M$6:$M$60,C2521)=0,"⚠ หมวดไม่ตรงประเภท","✓"))))</f>
        <v/>
      </c>
    </row>
    <row r="2522">
      <c r="B2522" s="113" t="n"/>
      <c r="C2522" s="114" t="n"/>
      <c r="D2522" s="115" t="n"/>
      <c r="E2522" s="116" t="n"/>
      <c r="F2522" s="115" t="n"/>
      <c r="G2522" s="117">
        <f>IF(COUNTA(B2522:E2522)=0,"",IF(COUNTA(B2522:E2522)&lt;4,"⚠ กรอกไม่ครบ",IF(NOT(ISNUMBER(B2522)),"⚠ วันที่ไม่ถูกต้อง",IF(COUNTIFS(Setup!$L$6:$L$60,D2522,Setup!$M$6:$M$60,C2522)=0,"⚠ หมวดไม่ตรงประเภท","✓"))))</f>
        <v/>
      </c>
    </row>
    <row r="2523">
      <c r="B2523" s="113" t="n"/>
      <c r="C2523" s="114" t="n"/>
      <c r="D2523" s="115" t="n"/>
      <c r="E2523" s="116" t="n"/>
      <c r="F2523" s="115" t="n"/>
      <c r="G2523" s="117">
        <f>IF(COUNTA(B2523:E2523)=0,"",IF(COUNTA(B2523:E2523)&lt;4,"⚠ กรอกไม่ครบ",IF(NOT(ISNUMBER(B2523)),"⚠ วันที่ไม่ถูกต้อง",IF(COUNTIFS(Setup!$L$6:$L$60,D2523,Setup!$M$6:$M$60,C2523)=0,"⚠ หมวดไม่ตรงประเภท","✓"))))</f>
        <v/>
      </c>
    </row>
    <row r="2524">
      <c r="B2524" s="113" t="n"/>
      <c r="C2524" s="114" t="n"/>
      <c r="D2524" s="115" t="n"/>
      <c r="E2524" s="116" t="n"/>
      <c r="F2524" s="115" t="n"/>
      <c r="G2524" s="117">
        <f>IF(COUNTA(B2524:E2524)=0,"",IF(COUNTA(B2524:E2524)&lt;4,"⚠ กรอกไม่ครบ",IF(NOT(ISNUMBER(B2524)),"⚠ วันที่ไม่ถูกต้อง",IF(COUNTIFS(Setup!$L$6:$L$60,D2524,Setup!$M$6:$M$60,C2524)=0,"⚠ หมวดไม่ตรงประเภท","✓"))))</f>
        <v/>
      </c>
    </row>
    <row r="2525">
      <c r="B2525" s="113" t="n"/>
      <c r="C2525" s="114" t="n"/>
      <c r="D2525" s="115" t="n"/>
      <c r="E2525" s="116" t="n"/>
      <c r="F2525" s="115" t="n"/>
      <c r="G2525" s="117">
        <f>IF(COUNTA(B2525:E2525)=0,"",IF(COUNTA(B2525:E2525)&lt;4,"⚠ กรอกไม่ครบ",IF(NOT(ISNUMBER(B2525)),"⚠ วันที่ไม่ถูกต้อง",IF(COUNTIFS(Setup!$L$6:$L$60,D2525,Setup!$M$6:$M$60,C2525)=0,"⚠ หมวดไม่ตรงประเภท","✓"))))</f>
        <v/>
      </c>
    </row>
    <row r="2526">
      <c r="B2526" s="113" t="n"/>
      <c r="C2526" s="114" t="n"/>
      <c r="D2526" s="115" t="n"/>
      <c r="E2526" s="116" t="n"/>
      <c r="F2526" s="115" t="n"/>
      <c r="G2526" s="117">
        <f>IF(COUNTA(B2526:E2526)=0,"",IF(COUNTA(B2526:E2526)&lt;4,"⚠ กรอกไม่ครบ",IF(NOT(ISNUMBER(B2526)),"⚠ วันที่ไม่ถูกต้อง",IF(COUNTIFS(Setup!$L$6:$L$60,D2526,Setup!$M$6:$M$60,C2526)=0,"⚠ หมวดไม่ตรงประเภท","✓"))))</f>
        <v/>
      </c>
    </row>
    <row r="2527">
      <c r="B2527" s="113" t="n"/>
      <c r="C2527" s="114" t="n"/>
      <c r="D2527" s="115" t="n"/>
      <c r="E2527" s="116" t="n"/>
      <c r="F2527" s="115" t="n"/>
      <c r="G2527" s="117">
        <f>IF(COUNTA(B2527:E2527)=0,"",IF(COUNTA(B2527:E2527)&lt;4,"⚠ กรอกไม่ครบ",IF(NOT(ISNUMBER(B2527)),"⚠ วันที่ไม่ถูกต้อง",IF(COUNTIFS(Setup!$L$6:$L$60,D2527,Setup!$M$6:$M$60,C2527)=0,"⚠ หมวดไม่ตรงประเภท","✓"))))</f>
        <v/>
      </c>
    </row>
    <row r="2528">
      <c r="B2528" s="113" t="n"/>
      <c r="C2528" s="114" t="n"/>
      <c r="D2528" s="115" t="n"/>
      <c r="E2528" s="116" t="n"/>
      <c r="F2528" s="115" t="n"/>
      <c r="G2528" s="117">
        <f>IF(COUNTA(B2528:E2528)=0,"",IF(COUNTA(B2528:E2528)&lt;4,"⚠ กรอกไม่ครบ",IF(NOT(ISNUMBER(B2528)),"⚠ วันที่ไม่ถูกต้อง",IF(COUNTIFS(Setup!$L$6:$L$60,D2528,Setup!$M$6:$M$60,C2528)=0,"⚠ หมวดไม่ตรงประเภท","✓"))))</f>
        <v/>
      </c>
    </row>
    <row r="2529">
      <c r="B2529" s="113" t="n"/>
      <c r="C2529" s="114" t="n"/>
      <c r="D2529" s="115" t="n"/>
      <c r="E2529" s="116" t="n"/>
      <c r="F2529" s="115" t="n"/>
      <c r="G2529" s="117">
        <f>IF(COUNTA(B2529:E2529)=0,"",IF(COUNTA(B2529:E2529)&lt;4,"⚠ กรอกไม่ครบ",IF(NOT(ISNUMBER(B2529)),"⚠ วันที่ไม่ถูกต้อง",IF(COUNTIFS(Setup!$L$6:$L$60,D2529,Setup!$M$6:$M$60,C2529)=0,"⚠ หมวดไม่ตรงประเภท","✓"))))</f>
        <v/>
      </c>
    </row>
    <row r="2530">
      <c r="B2530" s="113" t="n"/>
      <c r="C2530" s="114" t="n"/>
      <c r="D2530" s="115" t="n"/>
      <c r="E2530" s="116" t="n"/>
      <c r="F2530" s="115" t="n"/>
      <c r="G2530" s="117">
        <f>IF(COUNTA(B2530:E2530)=0,"",IF(COUNTA(B2530:E2530)&lt;4,"⚠ กรอกไม่ครบ",IF(NOT(ISNUMBER(B2530)),"⚠ วันที่ไม่ถูกต้อง",IF(COUNTIFS(Setup!$L$6:$L$60,D2530,Setup!$M$6:$M$60,C2530)=0,"⚠ หมวดไม่ตรงประเภท","✓"))))</f>
        <v/>
      </c>
    </row>
    <row r="2531">
      <c r="B2531" s="113" t="n"/>
      <c r="C2531" s="114" t="n"/>
      <c r="D2531" s="115" t="n"/>
      <c r="E2531" s="116" t="n"/>
      <c r="F2531" s="115" t="n"/>
      <c r="G2531" s="117">
        <f>IF(COUNTA(B2531:E2531)=0,"",IF(COUNTA(B2531:E2531)&lt;4,"⚠ กรอกไม่ครบ",IF(NOT(ISNUMBER(B2531)),"⚠ วันที่ไม่ถูกต้อง",IF(COUNTIFS(Setup!$L$6:$L$60,D2531,Setup!$M$6:$M$60,C2531)=0,"⚠ หมวดไม่ตรงประเภท","✓"))))</f>
        <v/>
      </c>
    </row>
    <row r="2532">
      <c r="B2532" s="113" t="n"/>
      <c r="C2532" s="114" t="n"/>
      <c r="D2532" s="115" t="n"/>
      <c r="E2532" s="116" t="n"/>
      <c r="F2532" s="115" t="n"/>
      <c r="G2532" s="117">
        <f>IF(COUNTA(B2532:E2532)=0,"",IF(COUNTA(B2532:E2532)&lt;4,"⚠ กรอกไม่ครบ",IF(NOT(ISNUMBER(B2532)),"⚠ วันที่ไม่ถูกต้อง",IF(COUNTIFS(Setup!$L$6:$L$60,D2532,Setup!$M$6:$M$60,C2532)=0,"⚠ หมวดไม่ตรงประเภท","✓"))))</f>
        <v/>
      </c>
    </row>
    <row r="2533">
      <c r="B2533" s="113" t="n"/>
      <c r="C2533" s="114" t="n"/>
      <c r="D2533" s="115" t="n"/>
      <c r="E2533" s="116" t="n"/>
      <c r="F2533" s="115" t="n"/>
      <c r="G2533" s="117">
        <f>IF(COUNTA(B2533:E2533)=0,"",IF(COUNTA(B2533:E2533)&lt;4,"⚠ กรอกไม่ครบ",IF(NOT(ISNUMBER(B2533)),"⚠ วันที่ไม่ถูกต้อง",IF(COUNTIFS(Setup!$L$6:$L$60,D2533,Setup!$M$6:$M$60,C2533)=0,"⚠ หมวดไม่ตรงประเภท","✓"))))</f>
        <v/>
      </c>
    </row>
    <row r="2534">
      <c r="B2534" s="113" t="n"/>
      <c r="C2534" s="114" t="n"/>
      <c r="D2534" s="115" t="n"/>
      <c r="E2534" s="116" t="n"/>
      <c r="F2534" s="115" t="n"/>
      <c r="G2534" s="117">
        <f>IF(COUNTA(B2534:E2534)=0,"",IF(COUNTA(B2534:E2534)&lt;4,"⚠ กรอกไม่ครบ",IF(NOT(ISNUMBER(B2534)),"⚠ วันที่ไม่ถูกต้อง",IF(COUNTIFS(Setup!$L$6:$L$60,D2534,Setup!$M$6:$M$60,C2534)=0,"⚠ หมวดไม่ตรงประเภท","✓"))))</f>
        <v/>
      </c>
    </row>
    <row r="2535">
      <c r="B2535" s="113" t="n"/>
      <c r="C2535" s="114" t="n"/>
      <c r="D2535" s="115" t="n"/>
      <c r="E2535" s="116" t="n"/>
      <c r="F2535" s="115" t="n"/>
      <c r="G2535" s="117">
        <f>IF(COUNTA(B2535:E2535)=0,"",IF(COUNTA(B2535:E2535)&lt;4,"⚠ กรอกไม่ครบ",IF(NOT(ISNUMBER(B2535)),"⚠ วันที่ไม่ถูกต้อง",IF(COUNTIFS(Setup!$L$6:$L$60,D2535,Setup!$M$6:$M$60,C2535)=0,"⚠ หมวดไม่ตรงประเภท","✓"))))</f>
        <v/>
      </c>
    </row>
    <row r="2536">
      <c r="B2536" s="113" t="n"/>
      <c r="C2536" s="114" t="n"/>
      <c r="D2536" s="115" t="n"/>
      <c r="E2536" s="116" t="n"/>
      <c r="F2536" s="115" t="n"/>
      <c r="G2536" s="117">
        <f>IF(COUNTA(B2536:E2536)=0,"",IF(COUNTA(B2536:E2536)&lt;4,"⚠ กรอกไม่ครบ",IF(NOT(ISNUMBER(B2536)),"⚠ วันที่ไม่ถูกต้อง",IF(COUNTIFS(Setup!$L$6:$L$60,D2536,Setup!$M$6:$M$60,C2536)=0,"⚠ หมวดไม่ตรงประเภท","✓"))))</f>
        <v/>
      </c>
    </row>
    <row r="2537">
      <c r="B2537" s="113" t="n"/>
      <c r="C2537" s="114" t="n"/>
      <c r="D2537" s="115" t="n"/>
      <c r="E2537" s="116" t="n"/>
      <c r="F2537" s="115" t="n"/>
      <c r="G2537" s="117">
        <f>IF(COUNTA(B2537:E2537)=0,"",IF(COUNTA(B2537:E2537)&lt;4,"⚠ กรอกไม่ครบ",IF(NOT(ISNUMBER(B2537)),"⚠ วันที่ไม่ถูกต้อง",IF(COUNTIFS(Setup!$L$6:$L$60,D2537,Setup!$M$6:$M$60,C2537)=0,"⚠ หมวดไม่ตรงประเภท","✓"))))</f>
        <v/>
      </c>
    </row>
    <row r="2538">
      <c r="B2538" s="113" t="n"/>
      <c r="C2538" s="114" t="n"/>
      <c r="D2538" s="115" t="n"/>
      <c r="E2538" s="116" t="n"/>
      <c r="F2538" s="115" t="n"/>
      <c r="G2538" s="117">
        <f>IF(COUNTA(B2538:E2538)=0,"",IF(COUNTA(B2538:E2538)&lt;4,"⚠ กรอกไม่ครบ",IF(NOT(ISNUMBER(B2538)),"⚠ วันที่ไม่ถูกต้อง",IF(COUNTIFS(Setup!$L$6:$L$60,D2538,Setup!$M$6:$M$60,C2538)=0,"⚠ หมวดไม่ตรงประเภท","✓"))))</f>
        <v/>
      </c>
    </row>
    <row r="2539">
      <c r="B2539" s="113" t="n"/>
      <c r="C2539" s="114" t="n"/>
      <c r="D2539" s="115" t="n"/>
      <c r="E2539" s="116" t="n"/>
      <c r="F2539" s="115" t="n"/>
      <c r="G2539" s="117">
        <f>IF(COUNTA(B2539:E2539)=0,"",IF(COUNTA(B2539:E2539)&lt;4,"⚠ กรอกไม่ครบ",IF(NOT(ISNUMBER(B2539)),"⚠ วันที่ไม่ถูกต้อง",IF(COUNTIFS(Setup!$L$6:$L$60,D2539,Setup!$M$6:$M$60,C2539)=0,"⚠ หมวดไม่ตรงประเภท","✓"))))</f>
        <v/>
      </c>
    </row>
    <row r="2540">
      <c r="B2540" s="113" t="n"/>
      <c r="C2540" s="114" t="n"/>
      <c r="D2540" s="115" t="n"/>
      <c r="E2540" s="116" t="n"/>
      <c r="F2540" s="115" t="n"/>
      <c r="G2540" s="117">
        <f>IF(COUNTA(B2540:E2540)=0,"",IF(COUNTA(B2540:E2540)&lt;4,"⚠ กรอกไม่ครบ",IF(NOT(ISNUMBER(B2540)),"⚠ วันที่ไม่ถูกต้อง",IF(COUNTIFS(Setup!$L$6:$L$60,D2540,Setup!$M$6:$M$60,C2540)=0,"⚠ หมวดไม่ตรงประเภท","✓"))))</f>
        <v/>
      </c>
    </row>
    <row r="2541">
      <c r="B2541" s="113" t="n"/>
      <c r="C2541" s="114" t="n"/>
      <c r="D2541" s="115" t="n"/>
      <c r="E2541" s="116" t="n"/>
      <c r="F2541" s="115" t="n"/>
      <c r="G2541" s="117">
        <f>IF(COUNTA(B2541:E2541)=0,"",IF(COUNTA(B2541:E2541)&lt;4,"⚠ กรอกไม่ครบ",IF(NOT(ISNUMBER(B2541)),"⚠ วันที่ไม่ถูกต้อง",IF(COUNTIFS(Setup!$L$6:$L$60,D2541,Setup!$M$6:$M$60,C2541)=0,"⚠ หมวดไม่ตรงประเภท","✓"))))</f>
        <v/>
      </c>
    </row>
    <row r="2542">
      <c r="B2542" s="113" t="n"/>
      <c r="C2542" s="114" t="n"/>
      <c r="D2542" s="115" t="n"/>
      <c r="E2542" s="116" t="n"/>
      <c r="F2542" s="115" t="n"/>
      <c r="G2542" s="117">
        <f>IF(COUNTA(B2542:E2542)=0,"",IF(COUNTA(B2542:E2542)&lt;4,"⚠ กรอกไม่ครบ",IF(NOT(ISNUMBER(B2542)),"⚠ วันที่ไม่ถูกต้อง",IF(COUNTIFS(Setup!$L$6:$L$60,D2542,Setup!$M$6:$M$60,C2542)=0,"⚠ หมวดไม่ตรงประเภท","✓"))))</f>
        <v/>
      </c>
    </row>
    <row r="2543">
      <c r="B2543" s="113" t="n"/>
      <c r="C2543" s="114" t="n"/>
      <c r="D2543" s="115" t="n"/>
      <c r="E2543" s="116" t="n"/>
      <c r="F2543" s="115" t="n"/>
      <c r="G2543" s="117">
        <f>IF(COUNTA(B2543:E2543)=0,"",IF(COUNTA(B2543:E2543)&lt;4,"⚠ กรอกไม่ครบ",IF(NOT(ISNUMBER(B2543)),"⚠ วันที่ไม่ถูกต้อง",IF(COUNTIFS(Setup!$L$6:$L$60,D2543,Setup!$M$6:$M$60,C2543)=0,"⚠ หมวดไม่ตรงประเภท","✓"))))</f>
        <v/>
      </c>
    </row>
    <row r="2544">
      <c r="B2544" s="113" t="n"/>
      <c r="C2544" s="114" t="n"/>
      <c r="D2544" s="115" t="n"/>
      <c r="E2544" s="116" t="n"/>
      <c r="F2544" s="115" t="n"/>
      <c r="G2544" s="117">
        <f>IF(COUNTA(B2544:E2544)=0,"",IF(COUNTA(B2544:E2544)&lt;4,"⚠ กรอกไม่ครบ",IF(NOT(ISNUMBER(B2544)),"⚠ วันที่ไม่ถูกต้อง",IF(COUNTIFS(Setup!$L$6:$L$60,D2544,Setup!$M$6:$M$60,C2544)=0,"⚠ หมวดไม่ตรงประเภท","✓"))))</f>
        <v/>
      </c>
    </row>
    <row r="2545">
      <c r="B2545" s="113" t="n"/>
      <c r="C2545" s="114" t="n"/>
      <c r="D2545" s="115" t="n"/>
      <c r="E2545" s="116" t="n"/>
      <c r="F2545" s="115" t="n"/>
      <c r="G2545" s="117">
        <f>IF(COUNTA(B2545:E2545)=0,"",IF(COUNTA(B2545:E2545)&lt;4,"⚠ กรอกไม่ครบ",IF(NOT(ISNUMBER(B2545)),"⚠ วันที่ไม่ถูกต้อง",IF(COUNTIFS(Setup!$L$6:$L$60,D2545,Setup!$M$6:$M$60,C2545)=0,"⚠ หมวดไม่ตรงประเภท","✓"))))</f>
        <v/>
      </c>
    </row>
    <row r="2546">
      <c r="B2546" s="113" t="n"/>
      <c r="C2546" s="114" t="n"/>
      <c r="D2546" s="115" t="n"/>
      <c r="E2546" s="116" t="n"/>
      <c r="F2546" s="115" t="n"/>
      <c r="G2546" s="117">
        <f>IF(COUNTA(B2546:E2546)=0,"",IF(COUNTA(B2546:E2546)&lt;4,"⚠ กรอกไม่ครบ",IF(NOT(ISNUMBER(B2546)),"⚠ วันที่ไม่ถูกต้อง",IF(COUNTIFS(Setup!$L$6:$L$60,D2546,Setup!$M$6:$M$60,C2546)=0,"⚠ หมวดไม่ตรงประเภท","✓"))))</f>
        <v/>
      </c>
    </row>
    <row r="2547">
      <c r="B2547" s="113" t="n"/>
      <c r="C2547" s="114" t="n"/>
      <c r="D2547" s="115" t="n"/>
      <c r="E2547" s="116" t="n"/>
      <c r="F2547" s="115" t="n"/>
      <c r="G2547" s="117">
        <f>IF(COUNTA(B2547:E2547)=0,"",IF(COUNTA(B2547:E2547)&lt;4,"⚠ กรอกไม่ครบ",IF(NOT(ISNUMBER(B2547)),"⚠ วันที่ไม่ถูกต้อง",IF(COUNTIFS(Setup!$L$6:$L$60,D2547,Setup!$M$6:$M$60,C2547)=0,"⚠ หมวดไม่ตรงประเภท","✓"))))</f>
        <v/>
      </c>
    </row>
    <row r="2548">
      <c r="B2548" s="113" t="n"/>
      <c r="C2548" s="114" t="n"/>
      <c r="D2548" s="115" t="n"/>
      <c r="E2548" s="116" t="n"/>
      <c r="F2548" s="115" t="n"/>
      <c r="G2548" s="117">
        <f>IF(COUNTA(B2548:E2548)=0,"",IF(COUNTA(B2548:E2548)&lt;4,"⚠ กรอกไม่ครบ",IF(NOT(ISNUMBER(B2548)),"⚠ วันที่ไม่ถูกต้อง",IF(COUNTIFS(Setup!$L$6:$L$60,D2548,Setup!$M$6:$M$60,C2548)=0,"⚠ หมวดไม่ตรงประเภท","✓"))))</f>
        <v/>
      </c>
    </row>
    <row r="2549">
      <c r="B2549" s="113" t="n"/>
      <c r="C2549" s="114" t="n"/>
      <c r="D2549" s="115" t="n"/>
      <c r="E2549" s="116" t="n"/>
      <c r="F2549" s="115" t="n"/>
      <c r="G2549" s="117">
        <f>IF(COUNTA(B2549:E2549)=0,"",IF(COUNTA(B2549:E2549)&lt;4,"⚠ กรอกไม่ครบ",IF(NOT(ISNUMBER(B2549)),"⚠ วันที่ไม่ถูกต้อง",IF(COUNTIFS(Setup!$L$6:$L$60,D2549,Setup!$M$6:$M$60,C2549)=0,"⚠ หมวดไม่ตรงประเภท","✓"))))</f>
        <v/>
      </c>
    </row>
    <row r="2550">
      <c r="B2550" s="113" t="n"/>
      <c r="C2550" s="114" t="n"/>
      <c r="D2550" s="115" t="n"/>
      <c r="E2550" s="116" t="n"/>
      <c r="F2550" s="115" t="n"/>
      <c r="G2550" s="117">
        <f>IF(COUNTA(B2550:E2550)=0,"",IF(COUNTA(B2550:E2550)&lt;4,"⚠ กรอกไม่ครบ",IF(NOT(ISNUMBER(B2550)),"⚠ วันที่ไม่ถูกต้อง",IF(COUNTIFS(Setup!$L$6:$L$60,D2550,Setup!$M$6:$M$60,C2550)=0,"⚠ หมวดไม่ตรงประเภท","✓"))))</f>
        <v/>
      </c>
    </row>
    <row r="2551">
      <c r="B2551" s="113" t="n"/>
      <c r="C2551" s="114" t="n"/>
      <c r="D2551" s="115" t="n"/>
      <c r="E2551" s="116" t="n"/>
      <c r="F2551" s="115" t="n"/>
      <c r="G2551" s="117">
        <f>IF(COUNTA(B2551:E2551)=0,"",IF(COUNTA(B2551:E2551)&lt;4,"⚠ กรอกไม่ครบ",IF(NOT(ISNUMBER(B2551)),"⚠ วันที่ไม่ถูกต้อง",IF(COUNTIFS(Setup!$L$6:$L$60,D2551,Setup!$M$6:$M$60,C2551)=0,"⚠ หมวดไม่ตรงประเภท","✓"))))</f>
        <v/>
      </c>
    </row>
    <row r="2552">
      <c r="B2552" s="113" t="n"/>
      <c r="C2552" s="114" t="n"/>
      <c r="D2552" s="115" t="n"/>
      <c r="E2552" s="116" t="n"/>
      <c r="F2552" s="115" t="n"/>
      <c r="G2552" s="117">
        <f>IF(COUNTA(B2552:E2552)=0,"",IF(COUNTA(B2552:E2552)&lt;4,"⚠ กรอกไม่ครบ",IF(NOT(ISNUMBER(B2552)),"⚠ วันที่ไม่ถูกต้อง",IF(COUNTIFS(Setup!$L$6:$L$60,D2552,Setup!$M$6:$M$60,C2552)=0,"⚠ หมวดไม่ตรงประเภท","✓"))))</f>
        <v/>
      </c>
    </row>
    <row r="2553">
      <c r="B2553" s="113" t="n"/>
      <c r="C2553" s="114" t="n"/>
      <c r="D2553" s="115" t="n"/>
      <c r="E2553" s="116" t="n"/>
      <c r="F2553" s="115" t="n"/>
      <c r="G2553" s="117">
        <f>IF(COUNTA(B2553:E2553)=0,"",IF(COUNTA(B2553:E2553)&lt;4,"⚠ กรอกไม่ครบ",IF(NOT(ISNUMBER(B2553)),"⚠ วันที่ไม่ถูกต้อง",IF(COUNTIFS(Setup!$L$6:$L$60,D2553,Setup!$M$6:$M$60,C2553)=0,"⚠ หมวดไม่ตรงประเภท","✓"))))</f>
        <v/>
      </c>
    </row>
    <row r="2554">
      <c r="B2554" s="113" t="n"/>
      <c r="C2554" s="114" t="n"/>
      <c r="D2554" s="115" t="n"/>
      <c r="E2554" s="116" t="n"/>
      <c r="F2554" s="115" t="n"/>
      <c r="G2554" s="117">
        <f>IF(COUNTA(B2554:E2554)=0,"",IF(COUNTA(B2554:E2554)&lt;4,"⚠ กรอกไม่ครบ",IF(NOT(ISNUMBER(B2554)),"⚠ วันที่ไม่ถูกต้อง",IF(COUNTIFS(Setup!$L$6:$L$60,D2554,Setup!$M$6:$M$60,C2554)=0,"⚠ หมวดไม่ตรงประเภท","✓"))))</f>
        <v/>
      </c>
    </row>
    <row r="2555">
      <c r="B2555" s="113" t="n"/>
      <c r="C2555" s="114" t="n"/>
      <c r="D2555" s="115" t="n"/>
      <c r="E2555" s="116" t="n"/>
      <c r="F2555" s="115" t="n"/>
      <c r="G2555" s="117">
        <f>IF(COUNTA(B2555:E2555)=0,"",IF(COUNTA(B2555:E2555)&lt;4,"⚠ กรอกไม่ครบ",IF(NOT(ISNUMBER(B2555)),"⚠ วันที่ไม่ถูกต้อง",IF(COUNTIFS(Setup!$L$6:$L$60,D2555,Setup!$M$6:$M$60,C2555)=0,"⚠ หมวดไม่ตรงประเภท","✓"))))</f>
        <v/>
      </c>
    </row>
    <row r="2556">
      <c r="B2556" s="113" t="n"/>
      <c r="C2556" s="114" t="n"/>
      <c r="D2556" s="115" t="n"/>
      <c r="E2556" s="116" t="n"/>
      <c r="F2556" s="115" t="n"/>
      <c r="G2556" s="117">
        <f>IF(COUNTA(B2556:E2556)=0,"",IF(COUNTA(B2556:E2556)&lt;4,"⚠ กรอกไม่ครบ",IF(NOT(ISNUMBER(B2556)),"⚠ วันที่ไม่ถูกต้อง",IF(COUNTIFS(Setup!$L$6:$L$60,D2556,Setup!$M$6:$M$60,C2556)=0,"⚠ หมวดไม่ตรงประเภท","✓"))))</f>
        <v/>
      </c>
    </row>
    <row r="2557">
      <c r="B2557" s="113" t="n"/>
      <c r="C2557" s="114" t="n"/>
      <c r="D2557" s="115" t="n"/>
      <c r="E2557" s="116" t="n"/>
      <c r="F2557" s="115" t="n"/>
      <c r="G2557" s="117">
        <f>IF(COUNTA(B2557:E2557)=0,"",IF(COUNTA(B2557:E2557)&lt;4,"⚠ กรอกไม่ครบ",IF(NOT(ISNUMBER(B2557)),"⚠ วันที่ไม่ถูกต้อง",IF(COUNTIFS(Setup!$L$6:$L$60,D2557,Setup!$M$6:$M$60,C2557)=0,"⚠ หมวดไม่ตรงประเภท","✓"))))</f>
        <v/>
      </c>
    </row>
    <row r="2558">
      <c r="B2558" s="113" t="n"/>
      <c r="C2558" s="114" t="n"/>
      <c r="D2558" s="115" t="n"/>
      <c r="E2558" s="116" t="n"/>
      <c r="F2558" s="115" t="n"/>
      <c r="G2558" s="117">
        <f>IF(COUNTA(B2558:E2558)=0,"",IF(COUNTA(B2558:E2558)&lt;4,"⚠ กรอกไม่ครบ",IF(NOT(ISNUMBER(B2558)),"⚠ วันที่ไม่ถูกต้อง",IF(COUNTIFS(Setup!$L$6:$L$60,D2558,Setup!$M$6:$M$60,C2558)=0,"⚠ หมวดไม่ตรงประเภท","✓"))))</f>
        <v/>
      </c>
    </row>
    <row r="2559">
      <c r="B2559" s="113" t="n"/>
      <c r="C2559" s="114" t="n"/>
      <c r="D2559" s="115" t="n"/>
      <c r="E2559" s="116" t="n"/>
      <c r="F2559" s="115" t="n"/>
      <c r="G2559" s="117">
        <f>IF(COUNTA(B2559:E2559)=0,"",IF(COUNTA(B2559:E2559)&lt;4,"⚠ กรอกไม่ครบ",IF(NOT(ISNUMBER(B2559)),"⚠ วันที่ไม่ถูกต้อง",IF(COUNTIFS(Setup!$L$6:$L$60,D2559,Setup!$M$6:$M$60,C2559)=0,"⚠ หมวดไม่ตรงประเภท","✓"))))</f>
        <v/>
      </c>
    </row>
    <row r="2560">
      <c r="B2560" s="113" t="n"/>
      <c r="C2560" s="114" t="n"/>
      <c r="D2560" s="115" t="n"/>
      <c r="E2560" s="116" t="n"/>
      <c r="F2560" s="115" t="n"/>
      <c r="G2560" s="117">
        <f>IF(COUNTA(B2560:E2560)=0,"",IF(COUNTA(B2560:E2560)&lt;4,"⚠ กรอกไม่ครบ",IF(NOT(ISNUMBER(B2560)),"⚠ วันที่ไม่ถูกต้อง",IF(COUNTIFS(Setup!$L$6:$L$60,D2560,Setup!$M$6:$M$60,C2560)=0,"⚠ หมวดไม่ตรงประเภท","✓"))))</f>
        <v/>
      </c>
    </row>
    <row r="2561">
      <c r="B2561" s="113" t="n"/>
      <c r="C2561" s="114" t="n"/>
      <c r="D2561" s="115" t="n"/>
      <c r="E2561" s="116" t="n"/>
      <c r="F2561" s="115" t="n"/>
      <c r="G2561" s="117">
        <f>IF(COUNTA(B2561:E2561)=0,"",IF(COUNTA(B2561:E2561)&lt;4,"⚠ กรอกไม่ครบ",IF(NOT(ISNUMBER(B2561)),"⚠ วันที่ไม่ถูกต้อง",IF(COUNTIFS(Setup!$L$6:$L$60,D2561,Setup!$M$6:$M$60,C2561)=0,"⚠ หมวดไม่ตรงประเภท","✓"))))</f>
        <v/>
      </c>
    </row>
    <row r="2562">
      <c r="B2562" s="113" t="n"/>
      <c r="C2562" s="114" t="n"/>
      <c r="D2562" s="115" t="n"/>
      <c r="E2562" s="116" t="n"/>
      <c r="F2562" s="115" t="n"/>
      <c r="G2562" s="117">
        <f>IF(COUNTA(B2562:E2562)=0,"",IF(COUNTA(B2562:E2562)&lt;4,"⚠ กรอกไม่ครบ",IF(NOT(ISNUMBER(B2562)),"⚠ วันที่ไม่ถูกต้อง",IF(COUNTIFS(Setup!$L$6:$L$60,D2562,Setup!$M$6:$M$60,C2562)=0,"⚠ หมวดไม่ตรงประเภท","✓"))))</f>
        <v/>
      </c>
    </row>
    <row r="2563">
      <c r="B2563" s="113" t="n"/>
      <c r="C2563" s="114" t="n"/>
      <c r="D2563" s="115" t="n"/>
      <c r="E2563" s="116" t="n"/>
      <c r="F2563" s="115" t="n"/>
      <c r="G2563" s="117">
        <f>IF(COUNTA(B2563:E2563)=0,"",IF(COUNTA(B2563:E2563)&lt;4,"⚠ กรอกไม่ครบ",IF(NOT(ISNUMBER(B2563)),"⚠ วันที่ไม่ถูกต้อง",IF(COUNTIFS(Setup!$L$6:$L$60,D2563,Setup!$M$6:$M$60,C2563)=0,"⚠ หมวดไม่ตรงประเภท","✓"))))</f>
        <v/>
      </c>
    </row>
    <row r="2564">
      <c r="B2564" s="113" t="n"/>
      <c r="C2564" s="114" t="n"/>
      <c r="D2564" s="115" t="n"/>
      <c r="E2564" s="116" t="n"/>
      <c r="F2564" s="115" t="n"/>
      <c r="G2564" s="117">
        <f>IF(COUNTA(B2564:E2564)=0,"",IF(COUNTA(B2564:E2564)&lt;4,"⚠ กรอกไม่ครบ",IF(NOT(ISNUMBER(B2564)),"⚠ วันที่ไม่ถูกต้อง",IF(COUNTIFS(Setup!$L$6:$L$60,D2564,Setup!$M$6:$M$60,C2564)=0,"⚠ หมวดไม่ตรงประเภท","✓"))))</f>
        <v/>
      </c>
    </row>
    <row r="2565">
      <c r="B2565" s="113" t="n"/>
      <c r="C2565" s="114" t="n"/>
      <c r="D2565" s="115" t="n"/>
      <c r="E2565" s="116" t="n"/>
      <c r="F2565" s="115" t="n"/>
      <c r="G2565" s="117">
        <f>IF(COUNTA(B2565:E2565)=0,"",IF(COUNTA(B2565:E2565)&lt;4,"⚠ กรอกไม่ครบ",IF(NOT(ISNUMBER(B2565)),"⚠ วันที่ไม่ถูกต้อง",IF(COUNTIFS(Setup!$L$6:$L$60,D2565,Setup!$M$6:$M$60,C2565)=0,"⚠ หมวดไม่ตรงประเภท","✓"))))</f>
        <v/>
      </c>
    </row>
    <row r="2566">
      <c r="B2566" s="113" t="n"/>
      <c r="C2566" s="114" t="n"/>
      <c r="D2566" s="115" t="n"/>
      <c r="E2566" s="116" t="n"/>
      <c r="F2566" s="115" t="n"/>
      <c r="G2566" s="117">
        <f>IF(COUNTA(B2566:E2566)=0,"",IF(COUNTA(B2566:E2566)&lt;4,"⚠ กรอกไม่ครบ",IF(NOT(ISNUMBER(B2566)),"⚠ วันที่ไม่ถูกต้อง",IF(COUNTIFS(Setup!$L$6:$L$60,D2566,Setup!$M$6:$M$60,C2566)=0,"⚠ หมวดไม่ตรงประเภท","✓"))))</f>
        <v/>
      </c>
    </row>
    <row r="2567">
      <c r="B2567" s="113" t="n"/>
      <c r="C2567" s="114" t="n"/>
      <c r="D2567" s="115" t="n"/>
      <c r="E2567" s="116" t="n"/>
      <c r="F2567" s="115" t="n"/>
      <c r="G2567" s="117">
        <f>IF(COUNTA(B2567:E2567)=0,"",IF(COUNTA(B2567:E2567)&lt;4,"⚠ กรอกไม่ครบ",IF(NOT(ISNUMBER(B2567)),"⚠ วันที่ไม่ถูกต้อง",IF(COUNTIFS(Setup!$L$6:$L$60,D2567,Setup!$M$6:$M$60,C2567)=0,"⚠ หมวดไม่ตรงประเภท","✓"))))</f>
        <v/>
      </c>
    </row>
    <row r="2568">
      <c r="B2568" s="113" t="n"/>
      <c r="C2568" s="114" t="n"/>
      <c r="D2568" s="115" t="n"/>
      <c r="E2568" s="116" t="n"/>
      <c r="F2568" s="115" t="n"/>
      <c r="G2568" s="117">
        <f>IF(COUNTA(B2568:E2568)=0,"",IF(COUNTA(B2568:E2568)&lt;4,"⚠ กรอกไม่ครบ",IF(NOT(ISNUMBER(B2568)),"⚠ วันที่ไม่ถูกต้อง",IF(COUNTIFS(Setup!$L$6:$L$60,D2568,Setup!$M$6:$M$60,C2568)=0,"⚠ หมวดไม่ตรงประเภท","✓"))))</f>
        <v/>
      </c>
    </row>
    <row r="2569">
      <c r="B2569" s="113" t="n"/>
      <c r="C2569" s="114" t="n"/>
      <c r="D2569" s="115" t="n"/>
      <c r="E2569" s="116" t="n"/>
      <c r="F2569" s="115" t="n"/>
      <c r="G2569" s="117">
        <f>IF(COUNTA(B2569:E2569)=0,"",IF(COUNTA(B2569:E2569)&lt;4,"⚠ กรอกไม่ครบ",IF(NOT(ISNUMBER(B2569)),"⚠ วันที่ไม่ถูกต้อง",IF(COUNTIFS(Setup!$L$6:$L$60,D2569,Setup!$M$6:$M$60,C2569)=0,"⚠ หมวดไม่ตรงประเภท","✓"))))</f>
        <v/>
      </c>
    </row>
    <row r="2570">
      <c r="B2570" s="113" t="n"/>
      <c r="C2570" s="114" t="n"/>
      <c r="D2570" s="115" t="n"/>
      <c r="E2570" s="116" t="n"/>
      <c r="F2570" s="115" t="n"/>
      <c r="G2570" s="117">
        <f>IF(COUNTA(B2570:E2570)=0,"",IF(COUNTA(B2570:E2570)&lt;4,"⚠ กรอกไม่ครบ",IF(NOT(ISNUMBER(B2570)),"⚠ วันที่ไม่ถูกต้อง",IF(COUNTIFS(Setup!$L$6:$L$60,D2570,Setup!$M$6:$M$60,C2570)=0,"⚠ หมวดไม่ตรงประเภท","✓"))))</f>
        <v/>
      </c>
    </row>
    <row r="2571">
      <c r="B2571" s="113" t="n"/>
      <c r="C2571" s="114" t="n"/>
      <c r="D2571" s="115" t="n"/>
      <c r="E2571" s="116" t="n"/>
      <c r="F2571" s="115" t="n"/>
      <c r="G2571" s="117">
        <f>IF(COUNTA(B2571:E2571)=0,"",IF(COUNTA(B2571:E2571)&lt;4,"⚠ กรอกไม่ครบ",IF(NOT(ISNUMBER(B2571)),"⚠ วันที่ไม่ถูกต้อง",IF(COUNTIFS(Setup!$L$6:$L$60,D2571,Setup!$M$6:$M$60,C2571)=0,"⚠ หมวดไม่ตรงประเภท","✓"))))</f>
        <v/>
      </c>
    </row>
    <row r="2572">
      <c r="B2572" s="113" t="n"/>
      <c r="C2572" s="114" t="n"/>
      <c r="D2572" s="115" t="n"/>
      <c r="E2572" s="116" t="n"/>
      <c r="F2572" s="115" t="n"/>
      <c r="G2572" s="117">
        <f>IF(COUNTA(B2572:E2572)=0,"",IF(COUNTA(B2572:E2572)&lt;4,"⚠ กรอกไม่ครบ",IF(NOT(ISNUMBER(B2572)),"⚠ วันที่ไม่ถูกต้อง",IF(COUNTIFS(Setup!$L$6:$L$60,D2572,Setup!$M$6:$M$60,C2572)=0,"⚠ หมวดไม่ตรงประเภท","✓"))))</f>
        <v/>
      </c>
    </row>
    <row r="2573">
      <c r="B2573" s="113" t="n"/>
      <c r="C2573" s="114" t="n"/>
      <c r="D2573" s="115" t="n"/>
      <c r="E2573" s="116" t="n"/>
      <c r="F2573" s="115" t="n"/>
      <c r="G2573" s="117">
        <f>IF(COUNTA(B2573:E2573)=0,"",IF(COUNTA(B2573:E2573)&lt;4,"⚠ กรอกไม่ครบ",IF(NOT(ISNUMBER(B2573)),"⚠ วันที่ไม่ถูกต้อง",IF(COUNTIFS(Setup!$L$6:$L$60,D2573,Setup!$M$6:$M$60,C2573)=0,"⚠ หมวดไม่ตรงประเภท","✓"))))</f>
        <v/>
      </c>
    </row>
    <row r="2574">
      <c r="B2574" s="113" t="n"/>
      <c r="C2574" s="114" t="n"/>
      <c r="D2574" s="115" t="n"/>
      <c r="E2574" s="116" t="n"/>
      <c r="F2574" s="115" t="n"/>
      <c r="G2574" s="117">
        <f>IF(COUNTA(B2574:E2574)=0,"",IF(COUNTA(B2574:E2574)&lt;4,"⚠ กรอกไม่ครบ",IF(NOT(ISNUMBER(B2574)),"⚠ วันที่ไม่ถูกต้อง",IF(COUNTIFS(Setup!$L$6:$L$60,D2574,Setup!$M$6:$M$60,C2574)=0,"⚠ หมวดไม่ตรงประเภท","✓"))))</f>
        <v/>
      </c>
    </row>
    <row r="2575">
      <c r="B2575" s="113" t="n"/>
      <c r="C2575" s="114" t="n"/>
      <c r="D2575" s="115" t="n"/>
      <c r="E2575" s="116" t="n"/>
      <c r="F2575" s="115" t="n"/>
      <c r="G2575" s="117">
        <f>IF(COUNTA(B2575:E2575)=0,"",IF(COUNTA(B2575:E2575)&lt;4,"⚠ กรอกไม่ครบ",IF(NOT(ISNUMBER(B2575)),"⚠ วันที่ไม่ถูกต้อง",IF(COUNTIFS(Setup!$L$6:$L$60,D2575,Setup!$M$6:$M$60,C2575)=0,"⚠ หมวดไม่ตรงประเภท","✓"))))</f>
        <v/>
      </c>
    </row>
    <row r="2576">
      <c r="B2576" s="113" t="n"/>
      <c r="C2576" s="114" t="n"/>
      <c r="D2576" s="115" t="n"/>
      <c r="E2576" s="116" t="n"/>
      <c r="F2576" s="115" t="n"/>
      <c r="G2576" s="117">
        <f>IF(COUNTA(B2576:E2576)=0,"",IF(COUNTA(B2576:E2576)&lt;4,"⚠ กรอกไม่ครบ",IF(NOT(ISNUMBER(B2576)),"⚠ วันที่ไม่ถูกต้อง",IF(COUNTIFS(Setup!$L$6:$L$60,D2576,Setup!$M$6:$M$60,C2576)=0,"⚠ หมวดไม่ตรงประเภท","✓"))))</f>
        <v/>
      </c>
    </row>
    <row r="2577">
      <c r="B2577" s="113" t="n"/>
      <c r="C2577" s="114" t="n"/>
      <c r="D2577" s="115" t="n"/>
      <c r="E2577" s="116" t="n"/>
      <c r="F2577" s="115" t="n"/>
      <c r="G2577" s="117">
        <f>IF(COUNTA(B2577:E2577)=0,"",IF(COUNTA(B2577:E2577)&lt;4,"⚠ กรอกไม่ครบ",IF(NOT(ISNUMBER(B2577)),"⚠ วันที่ไม่ถูกต้อง",IF(COUNTIFS(Setup!$L$6:$L$60,D2577,Setup!$M$6:$M$60,C2577)=0,"⚠ หมวดไม่ตรงประเภท","✓"))))</f>
        <v/>
      </c>
    </row>
    <row r="2578">
      <c r="B2578" s="113" t="n"/>
      <c r="C2578" s="114" t="n"/>
      <c r="D2578" s="115" t="n"/>
      <c r="E2578" s="116" t="n"/>
      <c r="F2578" s="115" t="n"/>
      <c r="G2578" s="117">
        <f>IF(COUNTA(B2578:E2578)=0,"",IF(COUNTA(B2578:E2578)&lt;4,"⚠ กรอกไม่ครบ",IF(NOT(ISNUMBER(B2578)),"⚠ วันที่ไม่ถูกต้อง",IF(COUNTIFS(Setup!$L$6:$L$60,D2578,Setup!$M$6:$M$60,C2578)=0,"⚠ หมวดไม่ตรงประเภท","✓"))))</f>
        <v/>
      </c>
    </row>
    <row r="2579">
      <c r="B2579" s="113" t="n"/>
      <c r="C2579" s="114" t="n"/>
      <c r="D2579" s="115" t="n"/>
      <c r="E2579" s="116" t="n"/>
      <c r="F2579" s="115" t="n"/>
      <c r="G2579" s="117">
        <f>IF(COUNTA(B2579:E2579)=0,"",IF(COUNTA(B2579:E2579)&lt;4,"⚠ กรอกไม่ครบ",IF(NOT(ISNUMBER(B2579)),"⚠ วันที่ไม่ถูกต้อง",IF(COUNTIFS(Setup!$L$6:$L$60,D2579,Setup!$M$6:$M$60,C2579)=0,"⚠ หมวดไม่ตรงประเภท","✓"))))</f>
        <v/>
      </c>
    </row>
    <row r="2580">
      <c r="B2580" s="113" t="n"/>
      <c r="C2580" s="114" t="n"/>
      <c r="D2580" s="115" t="n"/>
      <c r="E2580" s="116" t="n"/>
      <c r="F2580" s="115" t="n"/>
      <c r="G2580" s="117">
        <f>IF(COUNTA(B2580:E2580)=0,"",IF(COUNTA(B2580:E2580)&lt;4,"⚠ กรอกไม่ครบ",IF(NOT(ISNUMBER(B2580)),"⚠ วันที่ไม่ถูกต้อง",IF(COUNTIFS(Setup!$L$6:$L$60,D2580,Setup!$M$6:$M$60,C2580)=0,"⚠ หมวดไม่ตรงประเภท","✓"))))</f>
        <v/>
      </c>
    </row>
    <row r="2581">
      <c r="B2581" s="113" t="n"/>
      <c r="C2581" s="114" t="n"/>
      <c r="D2581" s="115" t="n"/>
      <c r="E2581" s="116" t="n"/>
      <c r="F2581" s="115" t="n"/>
      <c r="G2581" s="117">
        <f>IF(COUNTA(B2581:E2581)=0,"",IF(COUNTA(B2581:E2581)&lt;4,"⚠ กรอกไม่ครบ",IF(NOT(ISNUMBER(B2581)),"⚠ วันที่ไม่ถูกต้อง",IF(COUNTIFS(Setup!$L$6:$L$60,D2581,Setup!$M$6:$M$60,C2581)=0,"⚠ หมวดไม่ตรงประเภท","✓"))))</f>
        <v/>
      </c>
    </row>
    <row r="2582">
      <c r="B2582" s="113" t="n"/>
      <c r="C2582" s="114" t="n"/>
      <c r="D2582" s="115" t="n"/>
      <c r="E2582" s="116" t="n"/>
      <c r="F2582" s="115" t="n"/>
      <c r="G2582" s="117">
        <f>IF(COUNTA(B2582:E2582)=0,"",IF(COUNTA(B2582:E2582)&lt;4,"⚠ กรอกไม่ครบ",IF(NOT(ISNUMBER(B2582)),"⚠ วันที่ไม่ถูกต้อง",IF(COUNTIFS(Setup!$L$6:$L$60,D2582,Setup!$M$6:$M$60,C2582)=0,"⚠ หมวดไม่ตรงประเภท","✓"))))</f>
        <v/>
      </c>
    </row>
    <row r="2583">
      <c r="B2583" s="113" t="n"/>
      <c r="C2583" s="114" t="n"/>
      <c r="D2583" s="115" t="n"/>
      <c r="E2583" s="116" t="n"/>
      <c r="F2583" s="115" t="n"/>
      <c r="G2583" s="117">
        <f>IF(COUNTA(B2583:E2583)=0,"",IF(COUNTA(B2583:E2583)&lt;4,"⚠ กรอกไม่ครบ",IF(NOT(ISNUMBER(B2583)),"⚠ วันที่ไม่ถูกต้อง",IF(COUNTIFS(Setup!$L$6:$L$60,D2583,Setup!$M$6:$M$60,C2583)=0,"⚠ หมวดไม่ตรงประเภท","✓"))))</f>
        <v/>
      </c>
    </row>
    <row r="2584">
      <c r="B2584" s="113" t="n"/>
      <c r="C2584" s="114" t="n"/>
      <c r="D2584" s="115" t="n"/>
      <c r="E2584" s="116" t="n"/>
      <c r="F2584" s="115" t="n"/>
      <c r="G2584" s="117">
        <f>IF(COUNTA(B2584:E2584)=0,"",IF(COUNTA(B2584:E2584)&lt;4,"⚠ กรอกไม่ครบ",IF(NOT(ISNUMBER(B2584)),"⚠ วันที่ไม่ถูกต้อง",IF(COUNTIFS(Setup!$L$6:$L$60,D2584,Setup!$M$6:$M$60,C2584)=0,"⚠ หมวดไม่ตรงประเภท","✓"))))</f>
        <v/>
      </c>
    </row>
    <row r="2585">
      <c r="B2585" s="113" t="n"/>
      <c r="C2585" s="114" t="n"/>
      <c r="D2585" s="115" t="n"/>
      <c r="E2585" s="116" t="n"/>
      <c r="F2585" s="115" t="n"/>
      <c r="G2585" s="117">
        <f>IF(COUNTA(B2585:E2585)=0,"",IF(COUNTA(B2585:E2585)&lt;4,"⚠ กรอกไม่ครบ",IF(NOT(ISNUMBER(B2585)),"⚠ วันที่ไม่ถูกต้อง",IF(COUNTIFS(Setup!$L$6:$L$60,D2585,Setup!$M$6:$M$60,C2585)=0,"⚠ หมวดไม่ตรงประเภท","✓"))))</f>
        <v/>
      </c>
    </row>
    <row r="2586">
      <c r="B2586" s="113" t="n"/>
      <c r="C2586" s="114" t="n"/>
      <c r="D2586" s="115" t="n"/>
      <c r="E2586" s="116" t="n"/>
      <c r="F2586" s="115" t="n"/>
      <c r="G2586" s="117">
        <f>IF(COUNTA(B2586:E2586)=0,"",IF(COUNTA(B2586:E2586)&lt;4,"⚠ กรอกไม่ครบ",IF(NOT(ISNUMBER(B2586)),"⚠ วันที่ไม่ถูกต้อง",IF(COUNTIFS(Setup!$L$6:$L$60,D2586,Setup!$M$6:$M$60,C2586)=0,"⚠ หมวดไม่ตรงประเภท","✓"))))</f>
        <v/>
      </c>
    </row>
    <row r="2587">
      <c r="B2587" s="113" t="n"/>
      <c r="C2587" s="114" t="n"/>
      <c r="D2587" s="115" t="n"/>
      <c r="E2587" s="116" t="n"/>
      <c r="F2587" s="115" t="n"/>
      <c r="G2587" s="117">
        <f>IF(COUNTA(B2587:E2587)=0,"",IF(COUNTA(B2587:E2587)&lt;4,"⚠ กรอกไม่ครบ",IF(NOT(ISNUMBER(B2587)),"⚠ วันที่ไม่ถูกต้อง",IF(COUNTIFS(Setup!$L$6:$L$60,D2587,Setup!$M$6:$M$60,C2587)=0,"⚠ หมวดไม่ตรงประเภท","✓"))))</f>
        <v/>
      </c>
    </row>
    <row r="2588">
      <c r="B2588" s="113" t="n"/>
      <c r="C2588" s="114" t="n"/>
      <c r="D2588" s="115" t="n"/>
      <c r="E2588" s="116" t="n"/>
      <c r="F2588" s="115" t="n"/>
      <c r="G2588" s="117">
        <f>IF(COUNTA(B2588:E2588)=0,"",IF(COUNTA(B2588:E2588)&lt;4,"⚠ กรอกไม่ครบ",IF(NOT(ISNUMBER(B2588)),"⚠ วันที่ไม่ถูกต้อง",IF(COUNTIFS(Setup!$L$6:$L$60,D2588,Setup!$M$6:$M$60,C2588)=0,"⚠ หมวดไม่ตรงประเภท","✓"))))</f>
        <v/>
      </c>
    </row>
    <row r="2589">
      <c r="B2589" s="113" t="n"/>
      <c r="C2589" s="114" t="n"/>
      <c r="D2589" s="115" t="n"/>
      <c r="E2589" s="116" t="n"/>
      <c r="F2589" s="115" t="n"/>
      <c r="G2589" s="117">
        <f>IF(COUNTA(B2589:E2589)=0,"",IF(COUNTA(B2589:E2589)&lt;4,"⚠ กรอกไม่ครบ",IF(NOT(ISNUMBER(B2589)),"⚠ วันที่ไม่ถูกต้อง",IF(COUNTIFS(Setup!$L$6:$L$60,D2589,Setup!$M$6:$M$60,C2589)=0,"⚠ หมวดไม่ตรงประเภท","✓"))))</f>
        <v/>
      </c>
    </row>
    <row r="2590">
      <c r="B2590" s="113" t="n"/>
      <c r="C2590" s="114" t="n"/>
      <c r="D2590" s="115" t="n"/>
      <c r="E2590" s="116" t="n"/>
      <c r="F2590" s="115" t="n"/>
      <c r="G2590" s="117">
        <f>IF(COUNTA(B2590:E2590)=0,"",IF(COUNTA(B2590:E2590)&lt;4,"⚠ กรอกไม่ครบ",IF(NOT(ISNUMBER(B2590)),"⚠ วันที่ไม่ถูกต้อง",IF(COUNTIFS(Setup!$L$6:$L$60,D2590,Setup!$M$6:$M$60,C2590)=0,"⚠ หมวดไม่ตรงประเภท","✓"))))</f>
        <v/>
      </c>
    </row>
    <row r="2591">
      <c r="B2591" s="113" t="n"/>
      <c r="C2591" s="114" t="n"/>
      <c r="D2591" s="115" t="n"/>
      <c r="E2591" s="116" t="n"/>
      <c r="F2591" s="115" t="n"/>
      <c r="G2591" s="117">
        <f>IF(COUNTA(B2591:E2591)=0,"",IF(COUNTA(B2591:E2591)&lt;4,"⚠ กรอกไม่ครบ",IF(NOT(ISNUMBER(B2591)),"⚠ วันที่ไม่ถูกต้อง",IF(COUNTIFS(Setup!$L$6:$L$60,D2591,Setup!$M$6:$M$60,C2591)=0,"⚠ หมวดไม่ตรงประเภท","✓"))))</f>
        <v/>
      </c>
    </row>
    <row r="2592">
      <c r="B2592" s="113" t="n"/>
      <c r="C2592" s="114" t="n"/>
      <c r="D2592" s="115" t="n"/>
      <c r="E2592" s="116" t="n"/>
      <c r="F2592" s="115" t="n"/>
      <c r="G2592" s="117">
        <f>IF(COUNTA(B2592:E2592)=0,"",IF(COUNTA(B2592:E2592)&lt;4,"⚠ กรอกไม่ครบ",IF(NOT(ISNUMBER(B2592)),"⚠ วันที่ไม่ถูกต้อง",IF(COUNTIFS(Setup!$L$6:$L$60,D2592,Setup!$M$6:$M$60,C2592)=0,"⚠ หมวดไม่ตรงประเภท","✓"))))</f>
        <v/>
      </c>
    </row>
    <row r="2593">
      <c r="B2593" s="113" t="n"/>
      <c r="C2593" s="114" t="n"/>
      <c r="D2593" s="115" t="n"/>
      <c r="E2593" s="116" t="n"/>
      <c r="F2593" s="115" t="n"/>
      <c r="G2593" s="117">
        <f>IF(COUNTA(B2593:E2593)=0,"",IF(COUNTA(B2593:E2593)&lt;4,"⚠ กรอกไม่ครบ",IF(NOT(ISNUMBER(B2593)),"⚠ วันที่ไม่ถูกต้อง",IF(COUNTIFS(Setup!$L$6:$L$60,D2593,Setup!$M$6:$M$60,C2593)=0,"⚠ หมวดไม่ตรงประเภท","✓"))))</f>
        <v/>
      </c>
    </row>
    <row r="2594">
      <c r="B2594" s="113" t="n"/>
      <c r="C2594" s="114" t="n"/>
      <c r="D2594" s="115" t="n"/>
      <c r="E2594" s="116" t="n"/>
      <c r="F2594" s="115" t="n"/>
      <c r="G2594" s="117">
        <f>IF(COUNTA(B2594:E2594)=0,"",IF(COUNTA(B2594:E2594)&lt;4,"⚠ กรอกไม่ครบ",IF(NOT(ISNUMBER(B2594)),"⚠ วันที่ไม่ถูกต้อง",IF(COUNTIFS(Setup!$L$6:$L$60,D2594,Setup!$M$6:$M$60,C2594)=0,"⚠ หมวดไม่ตรงประเภท","✓"))))</f>
        <v/>
      </c>
    </row>
    <row r="2595">
      <c r="B2595" s="113" t="n"/>
      <c r="C2595" s="114" t="n"/>
      <c r="D2595" s="115" t="n"/>
      <c r="E2595" s="116" t="n"/>
      <c r="F2595" s="115" t="n"/>
      <c r="G2595" s="117">
        <f>IF(COUNTA(B2595:E2595)=0,"",IF(COUNTA(B2595:E2595)&lt;4,"⚠ กรอกไม่ครบ",IF(NOT(ISNUMBER(B2595)),"⚠ วันที่ไม่ถูกต้อง",IF(COUNTIFS(Setup!$L$6:$L$60,D2595,Setup!$M$6:$M$60,C2595)=0,"⚠ หมวดไม่ตรงประเภท","✓"))))</f>
        <v/>
      </c>
    </row>
    <row r="2596">
      <c r="B2596" s="113" t="n"/>
      <c r="C2596" s="114" t="n"/>
      <c r="D2596" s="115" t="n"/>
      <c r="E2596" s="116" t="n"/>
      <c r="F2596" s="115" t="n"/>
      <c r="G2596" s="117">
        <f>IF(COUNTA(B2596:E2596)=0,"",IF(COUNTA(B2596:E2596)&lt;4,"⚠ กรอกไม่ครบ",IF(NOT(ISNUMBER(B2596)),"⚠ วันที่ไม่ถูกต้อง",IF(COUNTIFS(Setup!$L$6:$L$60,D2596,Setup!$M$6:$M$60,C2596)=0,"⚠ หมวดไม่ตรงประเภท","✓"))))</f>
        <v/>
      </c>
    </row>
    <row r="2597">
      <c r="B2597" s="113" t="n"/>
      <c r="C2597" s="114" t="n"/>
      <c r="D2597" s="115" t="n"/>
      <c r="E2597" s="116" t="n"/>
      <c r="F2597" s="115" t="n"/>
      <c r="G2597" s="117">
        <f>IF(COUNTA(B2597:E2597)=0,"",IF(COUNTA(B2597:E2597)&lt;4,"⚠ กรอกไม่ครบ",IF(NOT(ISNUMBER(B2597)),"⚠ วันที่ไม่ถูกต้อง",IF(COUNTIFS(Setup!$L$6:$L$60,D2597,Setup!$M$6:$M$60,C2597)=0,"⚠ หมวดไม่ตรงประเภท","✓"))))</f>
        <v/>
      </c>
    </row>
    <row r="2598">
      <c r="B2598" s="113" t="n"/>
      <c r="C2598" s="114" t="n"/>
      <c r="D2598" s="115" t="n"/>
      <c r="E2598" s="116" t="n"/>
      <c r="F2598" s="115" t="n"/>
      <c r="G2598" s="117">
        <f>IF(COUNTA(B2598:E2598)=0,"",IF(COUNTA(B2598:E2598)&lt;4,"⚠ กรอกไม่ครบ",IF(NOT(ISNUMBER(B2598)),"⚠ วันที่ไม่ถูกต้อง",IF(COUNTIFS(Setup!$L$6:$L$60,D2598,Setup!$M$6:$M$60,C2598)=0,"⚠ หมวดไม่ตรงประเภท","✓"))))</f>
        <v/>
      </c>
    </row>
    <row r="2599">
      <c r="B2599" s="113" t="n"/>
      <c r="C2599" s="114" t="n"/>
      <c r="D2599" s="115" t="n"/>
      <c r="E2599" s="116" t="n"/>
      <c r="F2599" s="115" t="n"/>
      <c r="G2599" s="117">
        <f>IF(COUNTA(B2599:E2599)=0,"",IF(COUNTA(B2599:E2599)&lt;4,"⚠ กรอกไม่ครบ",IF(NOT(ISNUMBER(B2599)),"⚠ วันที่ไม่ถูกต้อง",IF(COUNTIFS(Setup!$L$6:$L$60,D2599,Setup!$M$6:$M$60,C2599)=0,"⚠ หมวดไม่ตรงประเภท","✓"))))</f>
        <v/>
      </c>
    </row>
    <row r="2600">
      <c r="B2600" s="113" t="n"/>
      <c r="C2600" s="114" t="n"/>
      <c r="D2600" s="115" t="n"/>
      <c r="E2600" s="116" t="n"/>
      <c r="F2600" s="115" t="n"/>
      <c r="G2600" s="117">
        <f>IF(COUNTA(B2600:E2600)=0,"",IF(COUNTA(B2600:E2600)&lt;4,"⚠ กรอกไม่ครบ",IF(NOT(ISNUMBER(B2600)),"⚠ วันที่ไม่ถูกต้อง",IF(COUNTIFS(Setup!$L$6:$L$60,D2600,Setup!$M$6:$M$60,C2600)=0,"⚠ หมวดไม่ตรงประเภท","✓"))))</f>
        <v/>
      </c>
    </row>
    <row r="2601">
      <c r="B2601" s="113" t="n"/>
      <c r="C2601" s="114" t="n"/>
      <c r="D2601" s="115" t="n"/>
      <c r="E2601" s="116" t="n"/>
      <c r="F2601" s="115" t="n"/>
      <c r="G2601" s="117">
        <f>IF(COUNTA(B2601:E2601)=0,"",IF(COUNTA(B2601:E2601)&lt;4,"⚠ กรอกไม่ครบ",IF(NOT(ISNUMBER(B2601)),"⚠ วันที่ไม่ถูกต้อง",IF(COUNTIFS(Setup!$L$6:$L$60,D2601,Setup!$M$6:$M$60,C2601)=0,"⚠ หมวดไม่ตรงประเภท","✓"))))</f>
        <v/>
      </c>
    </row>
    <row r="2602">
      <c r="B2602" s="113" t="n"/>
      <c r="C2602" s="114" t="n"/>
      <c r="D2602" s="115" t="n"/>
      <c r="E2602" s="116" t="n"/>
      <c r="F2602" s="115" t="n"/>
      <c r="G2602" s="117">
        <f>IF(COUNTA(B2602:E2602)=0,"",IF(COUNTA(B2602:E2602)&lt;4,"⚠ กรอกไม่ครบ",IF(NOT(ISNUMBER(B2602)),"⚠ วันที่ไม่ถูกต้อง",IF(COUNTIFS(Setup!$L$6:$L$60,D2602,Setup!$M$6:$M$60,C2602)=0,"⚠ หมวดไม่ตรงประเภท","✓"))))</f>
        <v/>
      </c>
    </row>
    <row r="2603">
      <c r="B2603" s="113" t="n"/>
      <c r="C2603" s="114" t="n"/>
      <c r="D2603" s="115" t="n"/>
      <c r="E2603" s="116" t="n"/>
      <c r="F2603" s="115" t="n"/>
      <c r="G2603" s="117">
        <f>IF(COUNTA(B2603:E2603)=0,"",IF(COUNTA(B2603:E2603)&lt;4,"⚠ กรอกไม่ครบ",IF(NOT(ISNUMBER(B2603)),"⚠ วันที่ไม่ถูกต้อง",IF(COUNTIFS(Setup!$L$6:$L$60,D2603,Setup!$M$6:$M$60,C2603)=0,"⚠ หมวดไม่ตรงประเภท","✓"))))</f>
        <v/>
      </c>
    </row>
    <row r="2604">
      <c r="B2604" s="113" t="n"/>
      <c r="C2604" s="114" t="n"/>
      <c r="D2604" s="115" t="n"/>
      <c r="E2604" s="116" t="n"/>
      <c r="F2604" s="115" t="n"/>
      <c r="G2604" s="117">
        <f>IF(COUNTA(B2604:E2604)=0,"",IF(COUNTA(B2604:E2604)&lt;4,"⚠ กรอกไม่ครบ",IF(NOT(ISNUMBER(B2604)),"⚠ วันที่ไม่ถูกต้อง",IF(COUNTIFS(Setup!$L$6:$L$60,D2604,Setup!$M$6:$M$60,C2604)=0,"⚠ หมวดไม่ตรงประเภท","✓"))))</f>
        <v/>
      </c>
    </row>
    <row r="2605">
      <c r="B2605" s="113" t="n"/>
      <c r="C2605" s="114" t="n"/>
      <c r="D2605" s="115" t="n"/>
      <c r="E2605" s="116" t="n"/>
      <c r="F2605" s="115" t="n"/>
      <c r="G2605" s="117">
        <f>IF(COUNTA(B2605:E2605)=0,"",IF(COUNTA(B2605:E2605)&lt;4,"⚠ กรอกไม่ครบ",IF(NOT(ISNUMBER(B2605)),"⚠ วันที่ไม่ถูกต้อง",IF(COUNTIFS(Setup!$L$6:$L$60,D2605,Setup!$M$6:$M$60,C2605)=0,"⚠ หมวดไม่ตรงประเภท","✓"))))</f>
        <v/>
      </c>
    </row>
    <row r="2606">
      <c r="B2606" s="113" t="n"/>
      <c r="C2606" s="114" t="n"/>
      <c r="D2606" s="115" t="n"/>
      <c r="E2606" s="116" t="n"/>
      <c r="F2606" s="115" t="n"/>
      <c r="G2606" s="117">
        <f>IF(COUNTA(B2606:E2606)=0,"",IF(COUNTA(B2606:E2606)&lt;4,"⚠ กรอกไม่ครบ",IF(NOT(ISNUMBER(B2606)),"⚠ วันที่ไม่ถูกต้อง",IF(COUNTIFS(Setup!$L$6:$L$60,D2606,Setup!$M$6:$M$60,C2606)=0,"⚠ หมวดไม่ตรงประเภท","✓"))))</f>
        <v/>
      </c>
    </row>
    <row r="2607">
      <c r="B2607" s="113" t="n"/>
      <c r="C2607" s="114" t="n"/>
      <c r="D2607" s="115" t="n"/>
      <c r="E2607" s="116" t="n"/>
      <c r="F2607" s="115" t="n"/>
      <c r="G2607" s="117">
        <f>IF(COUNTA(B2607:E2607)=0,"",IF(COUNTA(B2607:E2607)&lt;4,"⚠ กรอกไม่ครบ",IF(NOT(ISNUMBER(B2607)),"⚠ วันที่ไม่ถูกต้อง",IF(COUNTIFS(Setup!$L$6:$L$60,D2607,Setup!$M$6:$M$60,C2607)=0,"⚠ หมวดไม่ตรงประเภท","✓"))))</f>
        <v/>
      </c>
    </row>
    <row r="2608">
      <c r="B2608" s="113" t="n"/>
      <c r="C2608" s="114" t="n"/>
      <c r="D2608" s="115" t="n"/>
      <c r="E2608" s="116" t="n"/>
      <c r="F2608" s="115" t="n"/>
      <c r="G2608" s="117">
        <f>IF(COUNTA(B2608:E2608)=0,"",IF(COUNTA(B2608:E2608)&lt;4,"⚠ กรอกไม่ครบ",IF(NOT(ISNUMBER(B2608)),"⚠ วันที่ไม่ถูกต้อง",IF(COUNTIFS(Setup!$L$6:$L$60,D2608,Setup!$M$6:$M$60,C2608)=0,"⚠ หมวดไม่ตรงประเภท","✓"))))</f>
        <v/>
      </c>
    </row>
    <row r="2609">
      <c r="B2609" s="113" t="n"/>
      <c r="C2609" s="114" t="n"/>
      <c r="D2609" s="115" t="n"/>
      <c r="E2609" s="116" t="n"/>
      <c r="F2609" s="115" t="n"/>
      <c r="G2609" s="117">
        <f>IF(COUNTA(B2609:E2609)=0,"",IF(COUNTA(B2609:E2609)&lt;4,"⚠ กรอกไม่ครบ",IF(NOT(ISNUMBER(B2609)),"⚠ วันที่ไม่ถูกต้อง",IF(COUNTIFS(Setup!$L$6:$L$60,D2609,Setup!$M$6:$M$60,C2609)=0,"⚠ หมวดไม่ตรงประเภท","✓"))))</f>
        <v/>
      </c>
    </row>
    <row r="2610">
      <c r="B2610" s="113" t="n"/>
      <c r="C2610" s="114" t="n"/>
      <c r="D2610" s="115" t="n"/>
      <c r="E2610" s="116" t="n"/>
      <c r="F2610" s="115" t="n"/>
      <c r="G2610" s="117">
        <f>IF(COUNTA(B2610:E2610)=0,"",IF(COUNTA(B2610:E2610)&lt;4,"⚠ กรอกไม่ครบ",IF(NOT(ISNUMBER(B2610)),"⚠ วันที่ไม่ถูกต้อง",IF(COUNTIFS(Setup!$L$6:$L$60,D2610,Setup!$M$6:$M$60,C2610)=0,"⚠ หมวดไม่ตรงประเภท","✓"))))</f>
        <v/>
      </c>
    </row>
    <row r="2611">
      <c r="B2611" s="113" t="n"/>
      <c r="C2611" s="114" t="n"/>
      <c r="D2611" s="115" t="n"/>
      <c r="E2611" s="116" t="n"/>
      <c r="F2611" s="115" t="n"/>
      <c r="G2611" s="117">
        <f>IF(COUNTA(B2611:E2611)=0,"",IF(COUNTA(B2611:E2611)&lt;4,"⚠ กรอกไม่ครบ",IF(NOT(ISNUMBER(B2611)),"⚠ วันที่ไม่ถูกต้อง",IF(COUNTIFS(Setup!$L$6:$L$60,D2611,Setup!$M$6:$M$60,C2611)=0,"⚠ หมวดไม่ตรงประเภท","✓"))))</f>
        <v/>
      </c>
    </row>
    <row r="2612">
      <c r="B2612" s="113" t="n"/>
      <c r="C2612" s="114" t="n"/>
      <c r="D2612" s="115" t="n"/>
      <c r="E2612" s="116" t="n"/>
      <c r="F2612" s="115" t="n"/>
      <c r="G2612" s="117">
        <f>IF(COUNTA(B2612:E2612)=0,"",IF(COUNTA(B2612:E2612)&lt;4,"⚠ กรอกไม่ครบ",IF(NOT(ISNUMBER(B2612)),"⚠ วันที่ไม่ถูกต้อง",IF(COUNTIFS(Setup!$L$6:$L$60,D2612,Setup!$M$6:$M$60,C2612)=0,"⚠ หมวดไม่ตรงประเภท","✓"))))</f>
        <v/>
      </c>
    </row>
    <row r="2613">
      <c r="B2613" s="113" t="n"/>
      <c r="C2613" s="114" t="n"/>
      <c r="D2613" s="115" t="n"/>
      <c r="E2613" s="116" t="n"/>
      <c r="F2613" s="115" t="n"/>
      <c r="G2613" s="117">
        <f>IF(COUNTA(B2613:E2613)=0,"",IF(COUNTA(B2613:E2613)&lt;4,"⚠ กรอกไม่ครบ",IF(NOT(ISNUMBER(B2613)),"⚠ วันที่ไม่ถูกต้อง",IF(COUNTIFS(Setup!$L$6:$L$60,D2613,Setup!$M$6:$M$60,C2613)=0,"⚠ หมวดไม่ตรงประเภท","✓"))))</f>
        <v/>
      </c>
    </row>
    <row r="2614">
      <c r="B2614" s="113" t="n"/>
      <c r="C2614" s="114" t="n"/>
      <c r="D2614" s="115" t="n"/>
      <c r="E2614" s="116" t="n"/>
      <c r="F2614" s="115" t="n"/>
      <c r="G2614" s="117">
        <f>IF(COUNTA(B2614:E2614)=0,"",IF(COUNTA(B2614:E2614)&lt;4,"⚠ กรอกไม่ครบ",IF(NOT(ISNUMBER(B2614)),"⚠ วันที่ไม่ถูกต้อง",IF(COUNTIFS(Setup!$L$6:$L$60,D2614,Setup!$M$6:$M$60,C2614)=0,"⚠ หมวดไม่ตรงประเภท","✓"))))</f>
        <v/>
      </c>
    </row>
    <row r="2615">
      <c r="B2615" s="113" t="n"/>
      <c r="C2615" s="114" t="n"/>
      <c r="D2615" s="115" t="n"/>
      <c r="E2615" s="116" t="n"/>
      <c r="F2615" s="115" t="n"/>
      <c r="G2615" s="117">
        <f>IF(COUNTA(B2615:E2615)=0,"",IF(COUNTA(B2615:E2615)&lt;4,"⚠ กรอกไม่ครบ",IF(NOT(ISNUMBER(B2615)),"⚠ วันที่ไม่ถูกต้อง",IF(COUNTIFS(Setup!$L$6:$L$60,D2615,Setup!$M$6:$M$60,C2615)=0,"⚠ หมวดไม่ตรงประเภท","✓"))))</f>
        <v/>
      </c>
    </row>
    <row r="2616">
      <c r="B2616" s="113" t="n"/>
      <c r="C2616" s="114" t="n"/>
      <c r="D2616" s="115" t="n"/>
      <c r="E2616" s="116" t="n"/>
      <c r="F2616" s="115" t="n"/>
      <c r="G2616" s="117">
        <f>IF(COUNTA(B2616:E2616)=0,"",IF(COUNTA(B2616:E2616)&lt;4,"⚠ กรอกไม่ครบ",IF(NOT(ISNUMBER(B2616)),"⚠ วันที่ไม่ถูกต้อง",IF(COUNTIFS(Setup!$L$6:$L$60,D2616,Setup!$M$6:$M$60,C2616)=0,"⚠ หมวดไม่ตรงประเภท","✓"))))</f>
        <v/>
      </c>
    </row>
    <row r="2617">
      <c r="B2617" s="113" t="n"/>
      <c r="C2617" s="114" t="n"/>
      <c r="D2617" s="115" t="n"/>
      <c r="E2617" s="116" t="n"/>
      <c r="F2617" s="115" t="n"/>
      <c r="G2617" s="117">
        <f>IF(COUNTA(B2617:E2617)=0,"",IF(COUNTA(B2617:E2617)&lt;4,"⚠ กรอกไม่ครบ",IF(NOT(ISNUMBER(B2617)),"⚠ วันที่ไม่ถูกต้อง",IF(COUNTIFS(Setup!$L$6:$L$60,D2617,Setup!$M$6:$M$60,C2617)=0,"⚠ หมวดไม่ตรงประเภท","✓"))))</f>
        <v/>
      </c>
    </row>
    <row r="2618">
      <c r="B2618" s="113" t="n"/>
      <c r="C2618" s="114" t="n"/>
      <c r="D2618" s="115" t="n"/>
      <c r="E2618" s="116" t="n"/>
      <c r="F2618" s="115" t="n"/>
      <c r="G2618" s="117">
        <f>IF(COUNTA(B2618:E2618)=0,"",IF(COUNTA(B2618:E2618)&lt;4,"⚠ กรอกไม่ครบ",IF(NOT(ISNUMBER(B2618)),"⚠ วันที่ไม่ถูกต้อง",IF(COUNTIFS(Setup!$L$6:$L$60,D2618,Setup!$M$6:$M$60,C2618)=0,"⚠ หมวดไม่ตรงประเภท","✓"))))</f>
        <v/>
      </c>
    </row>
    <row r="2619">
      <c r="B2619" s="113" t="n"/>
      <c r="C2619" s="114" t="n"/>
      <c r="D2619" s="115" t="n"/>
      <c r="E2619" s="116" t="n"/>
      <c r="F2619" s="115" t="n"/>
      <c r="G2619" s="117">
        <f>IF(COUNTA(B2619:E2619)=0,"",IF(COUNTA(B2619:E2619)&lt;4,"⚠ กรอกไม่ครบ",IF(NOT(ISNUMBER(B2619)),"⚠ วันที่ไม่ถูกต้อง",IF(COUNTIFS(Setup!$L$6:$L$60,D2619,Setup!$M$6:$M$60,C2619)=0,"⚠ หมวดไม่ตรงประเภท","✓"))))</f>
        <v/>
      </c>
    </row>
    <row r="2620">
      <c r="B2620" s="113" t="n"/>
      <c r="C2620" s="114" t="n"/>
      <c r="D2620" s="115" t="n"/>
      <c r="E2620" s="116" t="n"/>
      <c r="F2620" s="115" t="n"/>
      <c r="G2620" s="117">
        <f>IF(COUNTA(B2620:E2620)=0,"",IF(COUNTA(B2620:E2620)&lt;4,"⚠ กรอกไม่ครบ",IF(NOT(ISNUMBER(B2620)),"⚠ วันที่ไม่ถูกต้อง",IF(COUNTIFS(Setup!$L$6:$L$60,D2620,Setup!$M$6:$M$60,C2620)=0,"⚠ หมวดไม่ตรงประเภท","✓"))))</f>
        <v/>
      </c>
    </row>
    <row r="2621">
      <c r="B2621" s="113" t="n"/>
      <c r="C2621" s="114" t="n"/>
      <c r="D2621" s="115" t="n"/>
      <c r="E2621" s="116" t="n"/>
      <c r="F2621" s="115" t="n"/>
      <c r="G2621" s="117">
        <f>IF(COUNTA(B2621:E2621)=0,"",IF(COUNTA(B2621:E2621)&lt;4,"⚠ กรอกไม่ครบ",IF(NOT(ISNUMBER(B2621)),"⚠ วันที่ไม่ถูกต้อง",IF(COUNTIFS(Setup!$L$6:$L$60,D2621,Setup!$M$6:$M$60,C2621)=0,"⚠ หมวดไม่ตรงประเภท","✓"))))</f>
        <v/>
      </c>
    </row>
    <row r="2622">
      <c r="B2622" s="113" t="n"/>
      <c r="C2622" s="114" t="n"/>
      <c r="D2622" s="115" t="n"/>
      <c r="E2622" s="116" t="n"/>
      <c r="F2622" s="115" t="n"/>
      <c r="G2622" s="117">
        <f>IF(COUNTA(B2622:E2622)=0,"",IF(COUNTA(B2622:E2622)&lt;4,"⚠ กรอกไม่ครบ",IF(NOT(ISNUMBER(B2622)),"⚠ วันที่ไม่ถูกต้อง",IF(COUNTIFS(Setup!$L$6:$L$60,D2622,Setup!$M$6:$M$60,C2622)=0,"⚠ หมวดไม่ตรงประเภท","✓"))))</f>
        <v/>
      </c>
    </row>
    <row r="2623">
      <c r="B2623" s="113" t="n"/>
      <c r="C2623" s="114" t="n"/>
      <c r="D2623" s="115" t="n"/>
      <c r="E2623" s="116" t="n"/>
      <c r="F2623" s="115" t="n"/>
      <c r="G2623" s="117">
        <f>IF(COUNTA(B2623:E2623)=0,"",IF(COUNTA(B2623:E2623)&lt;4,"⚠ กรอกไม่ครบ",IF(NOT(ISNUMBER(B2623)),"⚠ วันที่ไม่ถูกต้อง",IF(COUNTIFS(Setup!$L$6:$L$60,D2623,Setup!$M$6:$M$60,C2623)=0,"⚠ หมวดไม่ตรงประเภท","✓"))))</f>
        <v/>
      </c>
    </row>
    <row r="2624">
      <c r="B2624" s="113" t="n"/>
      <c r="C2624" s="114" t="n"/>
      <c r="D2624" s="115" t="n"/>
      <c r="E2624" s="116" t="n"/>
      <c r="F2624" s="115" t="n"/>
      <c r="G2624" s="117">
        <f>IF(COUNTA(B2624:E2624)=0,"",IF(COUNTA(B2624:E2624)&lt;4,"⚠ กรอกไม่ครบ",IF(NOT(ISNUMBER(B2624)),"⚠ วันที่ไม่ถูกต้อง",IF(COUNTIFS(Setup!$L$6:$L$60,D2624,Setup!$M$6:$M$60,C2624)=0,"⚠ หมวดไม่ตรงประเภท","✓"))))</f>
        <v/>
      </c>
    </row>
    <row r="2625">
      <c r="B2625" s="113" t="n"/>
      <c r="C2625" s="114" t="n"/>
      <c r="D2625" s="115" t="n"/>
      <c r="E2625" s="116" t="n"/>
      <c r="F2625" s="115" t="n"/>
      <c r="G2625" s="117">
        <f>IF(COUNTA(B2625:E2625)=0,"",IF(COUNTA(B2625:E2625)&lt;4,"⚠ กรอกไม่ครบ",IF(NOT(ISNUMBER(B2625)),"⚠ วันที่ไม่ถูกต้อง",IF(COUNTIFS(Setup!$L$6:$L$60,D2625,Setup!$M$6:$M$60,C2625)=0,"⚠ หมวดไม่ตรงประเภท","✓"))))</f>
        <v/>
      </c>
    </row>
    <row r="2626">
      <c r="B2626" s="113" t="n"/>
      <c r="C2626" s="114" t="n"/>
      <c r="D2626" s="115" t="n"/>
      <c r="E2626" s="116" t="n"/>
      <c r="F2626" s="115" t="n"/>
      <c r="G2626" s="117">
        <f>IF(COUNTA(B2626:E2626)=0,"",IF(COUNTA(B2626:E2626)&lt;4,"⚠ กรอกไม่ครบ",IF(NOT(ISNUMBER(B2626)),"⚠ วันที่ไม่ถูกต้อง",IF(COUNTIFS(Setup!$L$6:$L$60,D2626,Setup!$M$6:$M$60,C2626)=0,"⚠ หมวดไม่ตรงประเภท","✓"))))</f>
        <v/>
      </c>
    </row>
    <row r="2627">
      <c r="B2627" s="113" t="n"/>
      <c r="C2627" s="114" t="n"/>
      <c r="D2627" s="115" t="n"/>
      <c r="E2627" s="116" t="n"/>
      <c r="F2627" s="115" t="n"/>
      <c r="G2627" s="117">
        <f>IF(COUNTA(B2627:E2627)=0,"",IF(COUNTA(B2627:E2627)&lt;4,"⚠ กรอกไม่ครบ",IF(NOT(ISNUMBER(B2627)),"⚠ วันที่ไม่ถูกต้อง",IF(COUNTIFS(Setup!$L$6:$L$60,D2627,Setup!$M$6:$M$60,C2627)=0,"⚠ หมวดไม่ตรงประเภท","✓"))))</f>
        <v/>
      </c>
    </row>
    <row r="2628">
      <c r="B2628" s="113" t="n"/>
      <c r="C2628" s="114" t="n"/>
      <c r="D2628" s="115" t="n"/>
      <c r="E2628" s="116" t="n"/>
      <c r="F2628" s="115" t="n"/>
      <c r="G2628" s="117">
        <f>IF(COUNTA(B2628:E2628)=0,"",IF(COUNTA(B2628:E2628)&lt;4,"⚠ กรอกไม่ครบ",IF(NOT(ISNUMBER(B2628)),"⚠ วันที่ไม่ถูกต้อง",IF(COUNTIFS(Setup!$L$6:$L$60,D2628,Setup!$M$6:$M$60,C2628)=0,"⚠ หมวดไม่ตรงประเภท","✓"))))</f>
        <v/>
      </c>
    </row>
    <row r="2629">
      <c r="B2629" s="113" t="n"/>
      <c r="C2629" s="114" t="n"/>
      <c r="D2629" s="115" t="n"/>
      <c r="E2629" s="116" t="n"/>
      <c r="F2629" s="115" t="n"/>
      <c r="G2629" s="117">
        <f>IF(COUNTA(B2629:E2629)=0,"",IF(COUNTA(B2629:E2629)&lt;4,"⚠ กรอกไม่ครบ",IF(NOT(ISNUMBER(B2629)),"⚠ วันที่ไม่ถูกต้อง",IF(COUNTIFS(Setup!$L$6:$L$60,D2629,Setup!$M$6:$M$60,C2629)=0,"⚠ หมวดไม่ตรงประเภท","✓"))))</f>
        <v/>
      </c>
    </row>
    <row r="2630">
      <c r="B2630" s="113" t="n"/>
      <c r="C2630" s="114" t="n"/>
      <c r="D2630" s="115" t="n"/>
      <c r="E2630" s="116" t="n"/>
      <c r="F2630" s="115" t="n"/>
      <c r="G2630" s="117">
        <f>IF(COUNTA(B2630:E2630)=0,"",IF(COUNTA(B2630:E2630)&lt;4,"⚠ กรอกไม่ครบ",IF(NOT(ISNUMBER(B2630)),"⚠ วันที่ไม่ถูกต้อง",IF(COUNTIFS(Setup!$L$6:$L$60,D2630,Setup!$M$6:$M$60,C2630)=0,"⚠ หมวดไม่ตรงประเภท","✓"))))</f>
        <v/>
      </c>
    </row>
    <row r="2631">
      <c r="B2631" s="113" t="n"/>
      <c r="C2631" s="114" t="n"/>
      <c r="D2631" s="115" t="n"/>
      <c r="E2631" s="116" t="n"/>
      <c r="F2631" s="115" t="n"/>
      <c r="G2631" s="117">
        <f>IF(COUNTA(B2631:E2631)=0,"",IF(COUNTA(B2631:E2631)&lt;4,"⚠ กรอกไม่ครบ",IF(NOT(ISNUMBER(B2631)),"⚠ วันที่ไม่ถูกต้อง",IF(COUNTIFS(Setup!$L$6:$L$60,D2631,Setup!$M$6:$M$60,C2631)=0,"⚠ หมวดไม่ตรงประเภท","✓"))))</f>
        <v/>
      </c>
    </row>
    <row r="2632">
      <c r="B2632" s="113" t="n"/>
      <c r="C2632" s="114" t="n"/>
      <c r="D2632" s="115" t="n"/>
      <c r="E2632" s="116" t="n"/>
      <c r="F2632" s="115" t="n"/>
      <c r="G2632" s="117">
        <f>IF(COUNTA(B2632:E2632)=0,"",IF(COUNTA(B2632:E2632)&lt;4,"⚠ กรอกไม่ครบ",IF(NOT(ISNUMBER(B2632)),"⚠ วันที่ไม่ถูกต้อง",IF(COUNTIFS(Setup!$L$6:$L$60,D2632,Setup!$M$6:$M$60,C2632)=0,"⚠ หมวดไม่ตรงประเภท","✓"))))</f>
        <v/>
      </c>
    </row>
    <row r="2633">
      <c r="B2633" s="113" t="n"/>
      <c r="C2633" s="114" t="n"/>
      <c r="D2633" s="115" t="n"/>
      <c r="E2633" s="116" t="n"/>
      <c r="F2633" s="115" t="n"/>
      <c r="G2633" s="117">
        <f>IF(COUNTA(B2633:E2633)=0,"",IF(COUNTA(B2633:E2633)&lt;4,"⚠ กรอกไม่ครบ",IF(NOT(ISNUMBER(B2633)),"⚠ วันที่ไม่ถูกต้อง",IF(COUNTIFS(Setup!$L$6:$L$60,D2633,Setup!$M$6:$M$60,C2633)=0,"⚠ หมวดไม่ตรงประเภท","✓"))))</f>
        <v/>
      </c>
    </row>
    <row r="2634">
      <c r="B2634" s="113" t="n"/>
      <c r="C2634" s="114" t="n"/>
      <c r="D2634" s="115" t="n"/>
      <c r="E2634" s="116" t="n"/>
      <c r="F2634" s="115" t="n"/>
      <c r="G2634" s="117">
        <f>IF(COUNTA(B2634:E2634)=0,"",IF(COUNTA(B2634:E2634)&lt;4,"⚠ กรอกไม่ครบ",IF(NOT(ISNUMBER(B2634)),"⚠ วันที่ไม่ถูกต้อง",IF(COUNTIFS(Setup!$L$6:$L$60,D2634,Setup!$M$6:$M$60,C2634)=0,"⚠ หมวดไม่ตรงประเภท","✓"))))</f>
        <v/>
      </c>
    </row>
    <row r="2635">
      <c r="B2635" s="113" t="n"/>
      <c r="C2635" s="114" t="n"/>
      <c r="D2635" s="115" t="n"/>
      <c r="E2635" s="116" t="n"/>
      <c r="F2635" s="115" t="n"/>
      <c r="G2635" s="117">
        <f>IF(COUNTA(B2635:E2635)=0,"",IF(COUNTA(B2635:E2635)&lt;4,"⚠ กรอกไม่ครบ",IF(NOT(ISNUMBER(B2635)),"⚠ วันที่ไม่ถูกต้อง",IF(COUNTIFS(Setup!$L$6:$L$60,D2635,Setup!$M$6:$M$60,C2635)=0,"⚠ หมวดไม่ตรงประเภท","✓"))))</f>
        <v/>
      </c>
    </row>
    <row r="2636">
      <c r="B2636" s="113" t="n"/>
      <c r="C2636" s="114" t="n"/>
      <c r="D2636" s="115" t="n"/>
      <c r="E2636" s="116" t="n"/>
      <c r="F2636" s="115" t="n"/>
      <c r="G2636" s="117">
        <f>IF(COUNTA(B2636:E2636)=0,"",IF(COUNTA(B2636:E2636)&lt;4,"⚠ กรอกไม่ครบ",IF(NOT(ISNUMBER(B2636)),"⚠ วันที่ไม่ถูกต้อง",IF(COUNTIFS(Setup!$L$6:$L$60,D2636,Setup!$M$6:$M$60,C2636)=0,"⚠ หมวดไม่ตรงประเภท","✓"))))</f>
        <v/>
      </c>
    </row>
    <row r="2637">
      <c r="B2637" s="113" t="n"/>
      <c r="C2637" s="114" t="n"/>
      <c r="D2637" s="115" t="n"/>
      <c r="E2637" s="116" t="n"/>
      <c r="F2637" s="115" t="n"/>
      <c r="G2637" s="117">
        <f>IF(COUNTA(B2637:E2637)=0,"",IF(COUNTA(B2637:E2637)&lt;4,"⚠ กรอกไม่ครบ",IF(NOT(ISNUMBER(B2637)),"⚠ วันที่ไม่ถูกต้อง",IF(COUNTIFS(Setup!$L$6:$L$60,D2637,Setup!$M$6:$M$60,C2637)=0,"⚠ หมวดไม่ตรงประเภท","✓"))))</f>
        <v/>
      </c>
    </row>
    <row r="2638">
      <c r="B2638" s="113" t="n"/>
      <c r="C2638" s="114" t="n"/>
      <c r="D2638" s="115" t="n"/>
      <c r="E2638" s="116" t="n"/>
      <c r="F2638" s="115" t="n"/>
      <c r="G2638" s="117">
        <f>IF(COUNTA(B2638:E2638)=0,"",IF(COUNTA(B2638:E2638)&lt;4,"⚠ กรอกไม่ครบ",IF(NOT(ISNUMBER(B2638)),"⚠ วันที่ไม่ถูกต้อง",IF(COUNTIFS(Setup!$L$6:$L$60,D2638,Setup!$M$6:$M$60,C2638)=0,"⚠ หมวดไม่ตรงประเภท","✓"))))</f>
        <v/>
      </c>
    </row>
    <row r="2639">
      <c r="B2639" s="113" t="n"/>
      <c r="C2639" s="114" t="n"/>
      <c r="D2639" s="115" t="n"/>
      <c r="E2639" s="116" t="n"/>
      <c r="F2639" s="115" t="n"/>
      <c r="G2639" s="117">
        <f>IF(COUNTA(B2639:E2639)=0,"",IF(COUNTA(B2639:E2639)&lt;4,"⚠ กรอกไม่ครบ",IF(NOT(ISNUMBER(B2639)),"⚠ วันที่ไม่ถูกต้อง",IF(COUNTIFS(Setup!$L$6:$L$60,D2639,Setup!$M$6:$M$60,C2639)=0,"⚠ หมวดไม่ตรงประเภท","✓"))))</f>
        <v/>
      </c>
    </row>
    <row r="2640">
      <c r="B2640" s="113" t="n"/>
      <c r="C2640" s="114" t="n"/>
      <c r="D2640" s="115" t="n"/>
      <c r="E2640" s="116" t="n"/>
      <c r="F2640" s="115" t="n"/>
      <c r="G2640" s="117">
        <f>IF(COUNTA(B2640:E2640)=0,"",IF(COUNTA(B2640:E2640)&lt;4,"⚠ กรอกไม่ครบ",IF(NOT(ISNUMBER(B2640)),"⚠ วันที่ไม่ถูกต้อง",IF(COUNTIFS(Setup!$L$6:$L$60,D2640,Setup!$M$6:$M$60,C2640)=0,"⚠ หมวดไม่ตรงประเภท","✓"))))</f>
        <v/>
      </c>
    </row>
    <row r="2641">
      <c r="B2641" s="113" t="n"/>
      <c r="C2641" s="114" t="n"/>
      <c r="D2641" s="115" t="n"/>
      <c r="E2641" s="116" t="n"/>
      <c r="F2641" s="115" t="n"/>
      <c r="G2641" s="117">
        <f>IF(COUNTA(B2641:E2641)=0,"",IF(COUNTA(B2641:E2641)&lt;4,"⚠ กรอกไม่ครบ",IF(NOT(ISNUMBER(B2641)),"⚠ วันที่ไม่ถูกต้อง",IF(COUNTIFS(Setup!$L$6:$L$60,D2641,Setup!$M$6:$M$60,C2641)=0,"⚠ หมวดไม่ตรงประเภท","✓"))))</f>
        <v/>
      </c>
    </row>
    <row r="2642">
      <c r="B2642" s="113" t="n"/>
      <c r="C2642" s="114" t="n"/>
      <c r="D2642" s="115" t="n"/>
      <c r="E2642" s="116" t="n"/>
      <c r="F2642" s="115" t="n"/>
      <c r="G2642" s="117">
        <f>IF(COUNTA(B2642:E2642)=0,"",IF(COUNTA(B2642:E2642)&lt;4,"⚠ กรอกไม่ครบ",IF(NOT(ISNUMBER(B2642)),"⚠ วันที่ไม่ถูกต้อง",IF(COUNTIFS(Setup!$L$6:$L$60,D2642,Setup!$M$6:$M$60,C2642)=0,"⚠ หมวดไม่ตรงประเภท","✓"))))</f>
        <v/>
      </c>
    </row>
    <row r="2643">
      <c r="B2643" s="113" t="n"/>
      <c r="C2643" s="114" t="n"/>
      <c r="D2643" s="115" t="n"/>
      <c r="E2643" s="116" t="n"/>
      <c r="F2643" s="115" t="n"/>
      <c r="G2643" s="117">
        <f>IF(COUNTA(B2643:E2643)=0,"",IF(COUNTA(B2643:E2643)&lt;4,"⚠ กรอกไม่ครบ",IF(NOT(ISNUMBER(B2643)),"⚠ วันที่ไม่ถูกต้อง",IF(COUNTIFS(Setup!$L$6:$L$60,D2643,Setup!$M$6:$M$60,C2643)=0,"⚠ หมวดไม่ตรงประเภท","✓"))))</f>
        <v/>
      </c>
    </row>
    <row r="2644">
      <c r="B2644" s="113" t="n"/>
      <c r="C2644" s="114" t="n"/>
      <c r="D2644" s="115" t="n"/>
      <c r="E2644" s="116" t="n"/>
      <c r="F2644" s="115" t="n"/>
      <c r="G2644" s="117">
        <f>IF(COUNTA(B2644:E2644)=0,"",IF(COUNTA(B2644:E2644)&lt;4,"⚠ กรอกไม่ครบ",IF(NOT(ISNUMBER(B2644)),"⚠ วันที่ไม่ถูกต้อง",IF(COUNTIFS(Setup!$L$6:$L$60,D2644,Setup!$M$6:$M$60,C2644)=0,"⚠ หมวดไม่ตรงประเภท","✓"))))</f>
        <v/>
      </c>
    </row>
    <row r="2645">
      <c r="B2645" s="113" t="n"/>
      <c r="C2645" s="114" t="n"/>
      <c r="D2645" s="115" t="n"/>
      <c r="E2645" s="116" t="n"/>
      <c r="F2645" s="115" t="n"/>
      <c r="G2645" s="117">
        <f>IF(COUNTA(B2645:E2645)=0,"",IF(COUNTA(B2645:E2645)&lt;4,"⚠ กรอกไม่ครบ",IF(NOT(ISNUMBER(B2645)),"⚠ วันที่ไม่ถูกต้อง",IF(COUNTIFS(Setup!$L$6:$L$60,D2645,Setup!$M$6:$M$60,C2645)=0,"⚠ หมวดไม่ตรงประเภท","✓"))))</f>
        <v/>
      </c>
    </row>
    <row r="2646">
      <c r="B2646" s="113" t="n"/>
      <c r="C2646" s="114" t="n"/>
      <c r="D2646" s="115" t="n"/>
      <c r="E2646" s="116" t="n"/>
      <c r="F2646" s="115" t="n"/>
      <c r="G2646" s="117">
        <f>IF(COUNTA(B2646:E2646)=0,"",IF(COUNTA(B2646:E2646)&lt;4,"⚠ กรอกไม่ครบ",IF(NOT(ISNUMBER(B2646)),"⚠ วันที่ไม่ถูกต้อง",IF(COUNTIFS(Setup!$L$6:$L$60,D2646,Setup!$M$6:$M$60,C2646)=0,"⚠ หมวดไม่ตรงประเภท","✓"))))</f>
        <v/>
      </c>
    </row>
    <row r="2647">
      <c r="B2647" s="113" t="n"/>
      <c r="C2647" s="114" t="n"/>
      <c r="D2647" s="115" t="n"/>
      <c r="E2647" s="116" t="n"/>
      <c r="F2647" s="115" t="n"/>
      <c r="G2647" s="117">
        <f>IF(COUNTA(B2647:E2647)=0,"",IF(COUNTA(B2647:E2647)&lt;4,"⚠ กรอกไม่ครบ",IF(NOT(ISNUMBER(B2647)),"⚠ วันที่ไม่ถูกต้อง",IF(COUNTIFS(Setup!$L$6:$L$60,D2647,Setup!$M$6:$M$60,C2647)=0,"⚠ หมวดไม่ตรงประเภท","✓"))))</f>
        <v/>
      </c>
    </row>
    <row r="2648">
      <c r="B2648" s="113" t="n"/>
      <c r="C2648" s="114" t="n"/>
      <c r="D2648" s="115" t="n"/>
      <c r="E2648" s="116" t="n"/>
      <c r="F2648" s="115" t="n"/>
      <c r="G2648" s="117">
        <f>IF(COUNTA(B2648:E2648)=0,"",IF(COUNTA(B2648:E2648)&lt;4,"⚠ กรอกไม่ครบ",IF(NOT(ISNUMBER(B2648)),"⚠ วันที่ไม่ถูกต้อง",IF(COUNTIFS(Setup!$L$6:$L$60,D2648,Setup!$M$6:$M$60,C2648)=0,"⚠ หมวดไม่ตรงประเภท","✓"))))</f>
        <v/>
      </c>
    </row>
    <row r="2649">
      <c r="B2649" s="113" t="n"/>
      <c r="C2649" s="114" t="n"/>
      <c r="D2649" s="115" t="n"/>
      <c r="E2649" s="116" t="n"/>
      <c r="F2649" s="115" t="n"/>
      <c r="G2649" s="117">
        <f>IF(COUNTA(B2649:E2649)=0,"",IF(COUNTA(B2649:E2649)&lt;4,"⚠ กรอกไม่ครบ",IF(NOT(ISNUMBER(B2649)),"⚠ วันที่ไม่ถูกต้อง",IF(COUNTIFS(Setup!$L$6:$L$60,D2649,Setup!$M$6:$M$60,C2649)=0,"⚠ หมวดไม่ตรงประเภท","✓"))))</f>
        <v/>
      </c>
    </row>
    <row r="2650">
      <c r="B2650" s="113" t="n"/>
      <c r="C2650" s="114" t="n"/>
      <c r="D2650" s="115" t="n"/>
      <c r="E2650" s="116" t="n"/>
      <c r="F2650" s="115" t="n"/>
      <c r="G2650" s="117">
        <f>IF(COUNTA(B2650:E2650)=0,"",IF(COUNTA(B2650:E2650)&lt;4,"⚠ กรอกไม่ครบ",IF(NOT(ISNUMBER(B2650)),"⚠ วันที่ไม่ถูกต้อง",IF(COUNTIFS(Setup!$L$6:$L$60,D2650,Setup!$M$6:$M$60,C2650)=0,"⚠ หมวดไม่ตรงประเภท","✓"))))</f>
        <v/>
      </c>
    </row>
    <row r="2651">
      <c r="B2651" s="113" t="n"/>
      <c r="C2651" s="114" t="n"/>
      <c r="D2651" s="115" t="n"/>
      <c r="E2651" s="116" t="n"/>
      <c r="F2651" s="115" t="n"/>
      <c r="G2651" s="117">
        <f>IF(COUNTA(B2651:E2651)=0,"",IF(COUNTA(B2651:E2651)&lt;4,"⚠ กรอกไม่ครบ",IF(NOT(ISNUMBER(B2651)),"⚠ วันที่ไม่ถูกต้อง",IF(COUNTIFS(Setup!$L$6:$L$60,D2651,Setup!$M$6:$M$60,C2651)=0,"⚠ หมวดไม่ตรงประเภท","✓"))))</f>
        <v/>
      </c>
    </row>
    <row r="2652">
      <c r="B2652" s="113" t="n"/>
      <c r="C2652" s="114" t="n"/>
      <c r="D2652" s="115" t="n"/>
      <c r="E2652" s="116" t="n"/>
      <c r="F2652" s="115" t="n"/>
      <c r="G2652" s="117">
        <f>IF(COUNTA(B2652:E2652)=0,"",IF(COUNTA(B2652:E2652)&lt;4,"⚠ กรอกไม่ครบ",IF(NOT(ISNUMBER(B2652)),"⚠ วันที่ไม่ถูกต้อง",IF(COUNTIFS(Setup!$L$6:$L$60,D2652,Setup!$M$6:$M$60,C2652)=0,"⚠ หมวดไม่ตรงประเภท","✓"))))</f>
        <v/>
      </c>
    </row>
    <row r="2653">
      <c r="B2653" s="113" t="n"/>
      <c r="C2653" s="114" t="n"/>
      <c r="D2653" s="115" t="n"/>
      <c r="E2653" s="116" t="n"/>
      <c r="F2653" s="115" t="n"/>
      <c r="G2653" s="117">
        <f>IF(COUNTA(B2653:E2653)=0,"",IF(COUNTA(B2653:E2653)&lt;4,"⚠ กรอกไม่ครบ",IF(NOT(ISNUMBER(B2653)),"⚠ วันที่ไม่ถูกต้อง",IF(COUNTIFS(Setup!$L$6:$L$60,D2653,Setup!$M$6:$M$60,C2653)=0,"⚠ หมวดไม่ตรงประเภท","✓"))))</f>
        <v/>
      </c>
    </row>
    <row r="2654">
      <c r="B2654" s="113" t="n"/>
      <c r="C2654" s="114" t="n"/>
      <c r="D2654" s="115" t="n"/>
      <c r="E2654" s="116" t="n"/>
      <c r="F2654" s="115" t="n"/>
      <c r="G2654" s="117">
        <f>IF(COUNTA(B2654:E2654)=0,"",IF(COUNTA(B2654:E2654)&lt;4,"⚠ กรอกไม่ครบ",IF(NOT(ISNUMBER(B2654)),"⚠ วันที่ไม่ถูกต้อง",IF(COUNTIFS(Setup!$L$6:$L$60,D2654,Setup!$M$6:$M$60,C2654)=0,"⚠ หมวดไม่ตรงประเภท","✓"))))</f>
        <v/>
      </c>
    </row>
    <row r="2655">
      <c r="B2655" s="113" t="n"/>
      <c r="C2655" s="114" t="n"/>
      <c r="D2655" s="115" t="n"/>
      <c r="E2655" s="116" t="n"/>
      <c r="F2655" s="115" t="n"/>
      <c r="G2655" s="117">
        <f>IF(COUNTA(B2655:E2655)=0,"",IF(COUNTA(B2655:E2655)&lt;4,"⚠ กรอกไม่ครบ",IF(NOT(ISNUMBER(B2655)),"⚠ วันที่ไม่ถูกต้อง",IF(COUNTIFS(Setup!$L$6:$L$60,D2655,Setup!$M$6:$M$60,C2655)=0,"⚠ หมวดไม่ตรงประเภท","✓"))))</f>
        <v/>
      </c>
    </row>
    <row r="2656">
      <c r="B2656" s="113" t="n"/>
      <c r="C2656" s="114" t="n"/>
      <c r="D2656" s="115" t="n"/>
      <c r="E2656" s="116" t="n"/>
      <c r="F2656" s="115" t="n"/>
      <c r="G2656" s="117">
        <f>IF(COUNTA(B2656:E2656)=0,"",IF(COUNTA(B2656:E2656)&lt;4,"⚠ กรอกไม่ครบ",IF(NOT(ISNUMBER(B2656)),"⚠ วันที่ไม่ถูกต้อง",IF(COUNTIFS(Setup!$L$6:$L$60,D2656,Setup!$M$6:$M$60,C2656)=0,"⚠ หมวดไม่ตรงประเภท","✓"))))</f>
        <v/>
      </c>
    </row>
    <row r="2657">
      <c r="B2657" s="113" t="n"/>
      <c r="C2657" s="114" t="n"/>
      <c r="D2657" s="115" t="n"/>
      <c r="E2657" s="116" t="n"/>
      <c r="F2657" s="115" t="n"/>
      <c r="G2657" s="117">
        <f>IF(COUNTA(B2657:E2657)=0,"",IF(COUNTA(B2657:E2657)&lt;4,"⚠ กรอกไม่ครบ",IF(NOT(ISNUMBER(B2657)),"⚠ วันที่ไม่ถูกต้อง",IF(COUNTIFS(Setup!$L$6:$L$60,D2657,Setup!$M$6:$M$60,C2657)=0,"⚠ หมวดไม่ตรงประเภท","✓"))))</f>
        <v/>
      </c>
    </row>
    <row r="2658">
      <c r="B2658" s="113" t="n"/>
      <c r="C2658" s="114" t="n"/>
      <c r="D2658" s="115" t="n"/>
      <c r="E2658" s="116" t="n"/>
      <c r="F2658" s="115" t="n"/>
      <c r="G2658" s="117">
        <f>IF(COUNTA(B2658:E2658)=0,"",IF(COUNTA(B2658:E2658)&lt;4,"⚠ กรอกไม่ครบ",IF(NOT(ISNUMBER(B2658)),"⚠ วันที่ไม่ถูกต้อง",IF(COUNTIFS(Setup!$L$6:$L$60,D2658,Setup!$M$6:$M$60,C2658)=0,"⚠ หมวดไม่ตรงประเภท","✓"))))</f>
        <v/>
      </c>
    </row>
    <row r="2659">
      <c r="B2659" s="113" t="n"/>
      <c r="C2659" s="114" t="n"/>
      <c r="D2659" s="115" t="n"/>
      <c r="E2659" s="116" t="n"/>
      <c r="F2659" s="115" t="n"/>
      <c r="G2659" s="117">
        <f>IF(COUNTA(B2659:E2659)=0,"",IF(COUNTA(B2659:E2659)&lt;4,"⚠ กรอกไม่ครบ",IF(NOT(ISNUMBER(B2659)),"⚠ วันที่ไม่ถูกต้อง",IF(COUNTIFS(Setup!$L$6:$L$60,D2659,Setup!$M$6:$M$60,C2659)=0,"⚠ หมวดไม่ตรงประเภท","✓"))))</f>
        <v/>
      </c>
    </row>
    <row r="2660">
      <c r="B2660" s="113" t="n"/>
      <c r="C2660" s="114" t="n"/>
      <c r="D2660" s="115" t="n"/>
      <c r="E2660" s="116" t="n"/>
      <c r="F2660" s="115" t="n"/>
      <c r="G2660" s="117">
        <f>IF(COUNTA(B2660:E2660)=0,"",IF(COUNTA(B2660:E2660)&lt;4,"⚠ กรอกไม่ครบ",IF(NOT(ISNUMBER(B2660)),"⚠ วันที่ไม่ถูกต้อง",IF(COUNTIFS(Setup!$L$6:$L$60,D2660,Setup!$M$6:$M$60,C2660)=0,"⚠ หมวดไม่ตรงประเภท","✓"))))</f>
        <v/>
      </c>
    </row>
    <row r="2661">
      <c r="B2661" s="113" t="n"/>
      <c r="C2661" s="114" t="n"/>
      <c r="D2661" s="115" t="n"/>
      <c r="E2661" s="116" t="n"/>
      <c r="F2661" s="115" t="n"/>
      <c r="G2661" s="117">
        <f>IF(COUNTA(B2661:E2661)=0,"",IF(COUNTA(B2661:E2661)&lt;4,"⚠ กรอกไม่ครบ",IF(NOT(ISNUMBER(B2661)),"⚠ วันที่ไม่ถูกต้อง",IF(COUNTIFS(Setup!$L$6:$L$60,D2661,Setup!$M$6:$M$60,C2661)=0,"⚠ หมวดไม่ตรงประเภท","✓"))))</f>
        <v/>
      </c>
    </row>
    <row r="2662">
      <c r="B2662" s="113" t="n"/>
      <c r="C2662" s="114" t="n"/>
      <c r="D2662" s="115" t="n"/>
      <c r="E2662" s="116" t="n"/>
      <c r="F2662" s="115" t="n"/>
      <c r="G2662" s="117">
        <f>IF(COUNTA(B2662:E2662)=0,"",IF(COUNTA(B2662:E2662)&lt;4,"⚠ กรอกไม่ครบ",IF(NOT(ISNUMBER(B2662)),"⚠ วันที่ไม่ถูกต้อง",IF(COUNTIFS(Setup!$L$6:$L$60,D2662,Setup!$M$6:$M$60,C2662)=0,"⚠ หมวดไม่ตรงประเภท","✓"))))</f>
        <v/>
      </c>
    </row>
    <row r="2663">
      <c r="B2663" s="113" t="n"/>
      <c r="C2663" s="114" t="n"/>
      <c r="D2663" s="115" t="n"/>
      <c r="E2663" s="116" t="n"/>
      <c r="F2663" s="115" t="n"/>
      <c r="G2663" s="117">
        <f>IF(COUNTA(B2663:E2663)=0,"",IF(COUNTA(B2663:E2663)&lt;4,"⚠ กรอกไม่ครบ",IF(NOT(ISNUMBER(B2663)),"⚠ วันที่ไม่ถูกต้อง",IF(COUNTIFS(Setup!$L$6:$L$60,D2663,Setup!$M$6:$M$60,C2663)=0,"⚠ หมวดไม่ตรงประเภท","✓"))))</f>
        <v/>
      </c>
    </row>
    <row r="2664">
      <c r="B2664" s="113" t="n"/>
      <c r="C2664" s="114" t="n"/>
      <c r="D2664" s="115" t="n"/>
      <c r="E2664" s="116" t="n"/>
      <c r="F2664" s="115" t="n"/>
      <c r="G2664" s="117">
        <f>IF(COUNTA(B2664:E2664)=0,"",IF(COUNTA(B2664:E2664)&lt;4,"⚠ กรอกไม่ครบ",IF(NOT(ISNUMBER(B2664)),"⚠ วันที่ไม่ถูกต้อง",IF(COUNTIFS(Setup!$L$6:$L$60,D2664,Setup!$M$6:$M$60,C2664)=0,"⚠ หมวดไม่ตรงประเภท","✓"))))</f>
        <v/>
      </c>
    </row>
    <row r="2665">
      <c r="B2665" s="113" t="n"/>
      <c r="C2665" s="114" t="n"/>
      <c r="D2665" s="115" t="n"/>
      <c r="E2665" s="116" t="n"/>
      <c r="F2665" s="115" t="n"/>
      <c r="G2665" s="117">
        <f>IF(COUNTA(B2665:E2665)=0,"",IF(COUNTA(B2665:E2665)&lt;4,"⚠ กรอกไม่ครบ",IF(NOT(ISNUMBER(B2665)),"⚠ วันที่ไม่ถูกต้อง",IF(COUNTIFS(Setup!$L$6:$L$60,D2665,Setup!$M$6:$M$60,C2665)=0,"⚠ หมวดไม่ตรงประเภท","✓"))))</f>
        <v/>
      </c>
    </row>
    <row r="2666">
      <c r="B2666" s="113" t="n"/>
      <c r="C2666" s="114" t="n"/>
      <c r="D2666" s="115" t="n"/>
      <c r="E2666" s="116" t="n"/>
      <c r="F2666" s="115" t="n"/>
      <c r="G2666" s="117">
        <f>IF(COUNTA(B2666:E2666)=0,"",IF(COUNTA(B2666:E2666)&lt;4,"⚠ กรอกไม่ครบ",IF(NOT(ISNUMBER(B2666)),"⚠ วันที่ไม่ถูกต้อง",IF(COUNTIFS(Setup!$L$6:$L$60,D2666,Setup!$M$6:$M$60,C2666)=0,"⚠ หมวดไม่ตรงประเภท","✓"))))</f>
        <v/>
      </c>
    </row>
    <row r="2667">
      <c r="B2667" s="113" t="n"/>
      <c r="C2667" s="114" t="n"/>
      <c r="D2667" s="115" t="n"/>
      <c r="E2667" s="116" t="n"/>
      <c r="F2667" s="115" t="n"/>
      <c r="G2667" s="117">
        <f>IF(COUNTA(B2667:E2667)=0,"",IF(COUNTA(B2667:E2667)&lt;4,"⚠ กรอกไม่ครบ",IF(NOT(ISNUMBER(B2667)),"⚠ วันที่ไม่ถูกต้อง",IF(COUNTIFS(Setup!$L$6:$L$60,D2667,Setup!$M$6:$M$60,C2667)=0,"⚠ หมวดไม่ตรงประเภท","✓"))))</f>
        <v/>
      </c>
    </row>
    <row r="2668">
      <c r="B2668" s="113" t="n"/>
      <c r="C2668" s="114" t="n"/>
      <c r="D2668" s="115" t="n"/>
      <c r="E2668" s="116" t="n"/>
      <c r="F2668" s="115" t="n"/>
      <c r="G2668" s="117">
        <f>IF(COUNTA(B2668:E2668)=0,"",IF(COUNTA(B2668:E2668)&lt;4,"⚠ กรอกไม่ครบ",IF(NOT(ISNUMBER(B2668)),"⚠ วันที่ไม่ถูกต้อง",IF(COUNTIFS(Setup!$L$6:$L$60,D2668,Setup!$M$6:$M$60,C2668)=0,"⚠ หมวดไม่ตรงประเภท","✓"))))</f>
        <v/>
      </c>
    </row>
    <row r="2669">
      <c r="B2669" s="113" t="n"/>
      <c r="C2669" s="114" t="n"/>
      <c r="D2669" s="115" t="n"/>
      <c r="E2669" s="116" t="n"/>
      <c r="F2669" s="115" t="n"/>
      <c r="G2669" s="117">
        <f>IF(COUNTA(B2669:E2669)=0,"",IF(COUNTA(B2669:E2669)&lt;4,"⚠ กรอกไม่ครบ",IF(NOT(ISNUMBER(B2669)),"⚠ วันที่ไม่ถูกต้อง",IF(COUNTIFS(Setup!$L$6:$L$60,D2669,Setup!$M$6:$M$60,C2669)=0,"⚠ หมวดไม่ตรงประเภท","✓"))))</f>
        <v/>
      </c>
    </row>
    <row r="2670">
      <c r="B2670" s="113" t="n"/>
      <c r="C2670" s="114" t="n"/>
      <c r="D2670" s="115" t="n"/>
      <c r="E2670" s="116" t="n"/>
      <c r="F2670" s="115" t="n"/>
      <c r="G2670" s="117">
        <f>IF(COUNTA(B2670:E2670)=0,"",IF(COUNTA(B2670:E2670)&lt;4,"⚠ กรอกไม่ครบ",IF(NOT(ISNUMBER(B2670)),"⚠ วันที่ไม่ถูกต้อง",IF(COUNTIFS(Setup!$L$6:$L$60,D2670,Setup!$M$6:$M$60,C2670)=0,"⚠ หมวดไม่ตรงประเภท","✓"))))</f>
        <v/>
      </c>
    </row>
    <row r="2671">
      <c r="B2671" s="113" t="n"/>
      <c r="C2671" s="114" t="n"/>
      <c r="D2671" s="115" t="n"/>
      <c r="E2671" s="116" t="n"/>
      <c r="F2671" s="115" t="n"/>
      <c r="G2671" s="117">
        <f>IF(COUNTA(B2671:E2671)=0,"",IF(COUNTA(B2671:E2671)&lt;4,"⚠ กรอกไม่ครบ",IF(NOT(ISNUMBER(B2671)),"⚠ วันที่ไม่ถูกต้อง",IF(COUNTIFS(Setup!$L$6:$L$60,D2671,Setup!$M$6:$M$60,C2671)=0,"⚠ หมวดไม่ตรงประเภท","✓"))))</f>
        <v/>
      </c>
    </row>
    <row r="2672">
      <c r="B2672" s="113" t="n"/>
      <c r="C2672" s="114" t="n"/>
      <c r="D2672" s="115" t="n"/>
      <c r="E2672" s="116" t="n"/>
      <c r="F2672" s="115" t="n"/>
      <c r="G2672" s="117">
        <f>IF(COUNTA(B2672:E2672)=0,"",IF(COUNTA(B2672:E2672)&lt;4,"⚠ กรอกไม่ครบ",IF(NOT(ISNUMBER(B2672)),"⚠ วันที่ไม่ถูกต้อง",IF(COUNTIFS(Setup!$L$6:$L$60,D2672,Setup!$M$6:$M$60,C2672)=0,"⚠ หมวดไม่ตรงประเภท","✓"))))</f>
        <v/>
      </c>
    </row>
    <row r="2673">
      <c r="B2673" s="113" t="n"/>
      <c r="C2673" s="114" t="n"/>
      <c r="D2673" s="115" t="n"/>
      <c r="E2673" s="116" t="n"/>
      <c r="F2673" s="115" t="n"/>
      <c r="G2673" s="117">
        <f>IF(COUNTA(B2673:E2673)=0,"",IF(COUNTA(B2673:E2673)&lt;4,"⚠ กรอกไม่ครบ",IF(NOT(ISNUMBER(B2673)),"⚠ วันที่ไม่ถูกต้อง",IF(COUNTIFS(Setup!$L$6:$L$60,D2673,Setup!$M$6:$M$60,C2673)=0,"⚠ หมวดไม่ตรงประเภท","✓"))))</f>
        <v/>
      </c>
    </row>
    <row r="2674">
      <c r="B2674" s="113" t="n"/>
      <c r="C2674" s="114" t="n"/>
      <c r="D2674" s="115" t="n"/>
      <c r="E2674" s="116" t="n"/>
      <c r="F2674" s="115" t="n"/>
      <c r="G2674" s="117">
        <f>IF(COUNTA(B2674:E2674)=0,"",IF(COUNTA(B2674:E2674)&lt;4,"⚠ กรอกไม่ครบ",IF(NOT(ISNUMBER(B2674)),"⚠ วันที่ไม่ถูกต้อง",IF(COUNTIFS(Setup!$L$6:$L$60,D2674,Setup!$M$6:$M$60,C2674)=0,"⚠ หมวดไม่ตรงประเภท","✓"))))</f>
        <v/>
      </c>
    </row>
    <row r="2675">
      <c r="B2675" s="113" t="n"/>
      <c r="C2675" s="114" t="n"/>
      <c r="D2675" s="115" t="n"/>
      <c r="E2675" s="116" t="n"/>
      <c r="F2675" s="115" t="n"/>
      <c r="G2675" s="117">
        <f>IF(COUNTA(B2675:E2675)=0,"",IF(COUNTA(B2675:E2675)&lt;4,"⚠ กรอกไม่ครบ",IF(NOT(ISNUMBER(B2675)),"⚠ วันที่ไม่ถูกต้อง",IF(COUNTIFS(Setup!$L$6:$L$60,D2675,Setup!$M$6:$M$60,C2675)=0,"⚠ หมวดไม่ตรงประเภท","✓"))))</f>
        <v/>
      </c>
    </row>
    <row r="2676">
      <c r="B2676" s="113" t="n"/>
      <c r="C2676" s="114" t="n"/>
      <c r="D2676" s="115" t="n"/>
      <c r="E2676" s="116" t="n"/>
      <c r="F2676" s="115" t="n"/>
      <c r="G2676" s="117">
        <f>IF(COUNTA(B2676:E2676)=0,"",IF(COUNTA(B2676:E2676)&lt;4,"⚠ กรอกไม่ครบ",IF(NOT(ISNUMBER(B2676)),"⚠ วันที่ไม่ถูกต้อง",IF(COUNTIFS(Setup!$L$6:$L$60,D2676,Setup!$M$6:$M$60,C2676)=0,"⚠ หมวดไม่ตรงประเภท","✓"))))</f>
        <v/>
      </c>
    </row>
    <row r="2677">
      <c r="B2677" s="113" t="n"/>
      <c r="C2677" s="114" t="n"/>
      <c r="D2677" s="115" t="n"/>
      <c r="E2677" s="116" t="n"/>
      <c r="F2677" s="115" t="n"/>
      <c r="G2677" s="117">
        <f>IF(COUNTA(B2677:E2677)=0,"",IF(COUNTA(B2677:E2677)&lt;4,"⚠ กรอกไม่ครบ",IF(NOT(ISNUMBER(B2677)),"⚠ วันที่ไม่ถูกต้อง",IF(COUNTIFS(Setup!$L$6:$L$60,D2677,Setup!$M$6:$M$60,C2677)=0,"⚠ หมวดไม่ตรงประเภท","✓"))))</f>
        <v/>
      </c>
    </row>
    <row r="2678">
      <c r="B2678" s="113" t="n"/>
      <c r="C2678" s="114" t="n"/>
      <c r="D2678" s="115" t="n"/>
      <c r="E2678" s="116" t="n"/>
      <c r="F2678" s="115" t="n"/>
      <c r="G2678" s="117">
        <f>IF(COUNTA(B2678:E2678)=0,"",IF(COUNTA(B2678:E2678)&lt;4,"⚠ กรอกไม่ครบ",IF(NOT(ISNUMBER(B2678)),"⚠ วันที่ไม่ถูกต้อง",IF(COUNTIFS(Setup!$L$6:$L$60,D2678,Setup!$M$6:$M$60,C2678)=0,"⚠ หมวดไม่ตรงประเภท","✓"))))</f>
        <v/>
      </c>
    </row>
    <row r="2679">
      <c r="B2679" s="113" t="n"/>
      <c r="C2679" s="114" t="n"/>
      <c r="D2679" s="115" t="n"/>
      <c r="E2679" s="116" t="n"/>
      <c r="F2679" s="115" t="n"/>
      <c r="G2679" s="117">
        <f>IF(COUNTA(B2679:E2679)=0,"",IF(COUNTA(B2679:E2679)&lt;4,"⚠ กรอกไม่ครบ",IF(NOT(ISNUMBER(B2679)),"⚠ วันที่ไม่ถูกต้อง",IF(COUNTIFS(Setup!$L$6:$L$60,D2679,Setup!$M$6:$M$60,C2679)=0,"⚠ หมวดไม่ตรงประเภท","✓"))))</f>
        <v/>
      </c>
    </row>
    <row r="2680">
      <c r="B2680" s="113" t="n"/>
      <c r="C2680" s="114" t="n"/>
      <c r="D2680" s="115" t="n"/>
      <c r="E2680" s="116" t="n"/>
      <c r="F2680" s="115" t="n"/>
      <c r="G2680" s="117">
        <f>IF(COUNTA(B2680:E2680)=0,"",IF(COUNTA(B2680:E2680)&lt;4,"⚠ กรอกไม่ครบ",IF(NOT(ISNUMBER(B2680)),"⚠ วันที่ไม่ถูกต้อง",IF(COUNTIFS(Setup!$L$6:$L$60,D2680,Setup!$M$6:$M$60,C2680)=0,"⚠ หมวดไม่ตรงประเภท","✓"))))</f>
        <v/>
      </c>
    </row>
    <row r="2681">
      <c r="B2681" s="113" t="n"/>
      <c r="C2681" s="114" t="n"/>
      <c r="D2681" s="115" t="n"/>
      <c r="E2681" s="116" t="n"/>
      <c r="F2681" s="115" t="n"/>
      <c r="G2681" s="117">
        <f>IF(COUNTA(B2681:E2681)=0,"",IF(COUNTA(B2681:E2681)&lt;4,"⚠ กรอกไม่ครบ",IF(NOT(ISNUMBER(B2681)),"⚠ วันที่ไม่ถูกต้อง",IF(COUNTIFS(Setup!$L$6:$L$60,D2681,Setup!$M$6:$M$60,C2681)=0,"⚠ หมวดไม่ตรงประเภท","✓"))))</f>
        <v/>
      </c>
    </row>
    <row r="2682">
      <c r="B2682" s="113" t="n"/>
      <c r="C2682" s="114" t="n"/>
      <c r="D2682" s="115" t="n"/>
      <c r="E2682" s="116" t="n"/>
      <c r="F2682" s="115" t="n"/>
      <c r="G2682" s="117">
        <f>IF(COUNTA(B2682:E2682)=0,"",IF(COUNTA(B2682:E2682)&lt;4,"⚠ กรอกไม่ครบ",IF(NOT(ISNUMBER(B2682)),"⚠ วันที่ไม่ถูกต้อง",IF(COUNTIFS(Setup!$L$6:$L$60,D2682,Setup!$M$6:$M$60,C2682)=0,"⚠ หมวดไม่ตรงประเภท","✓"))))</f>
        <v/>
      </c>
    </row>
    <row r="2683">
      <c r="B2683" s="113" t="n"/>
      <c r="C2683" s="114" t="n"/>
      <c r="D2683" s="115" t="n"/>
      <c r="E2683" s="116" t="n"/>
      <c r="F2683" s="115" t="n"/>
      <c r="G2683" s="117">
        <f>IF(COUNTA(B2683:E2683)=0,"",IF(COUNTA(B2683:E2683)&lt;4,"⚠ กรอกไม่ครบ",IF(NOT(ISNUMBER(B2683)),"⚠ วันที่ไม่ถูกต้อง",IF(COUNTIFS(Setup!$L$6:$L$60,D2683,Setup!$M$6:$M$60,C2683)=0,"⚠ หมวดไม่ตรงประเภท","✓"))))</f>
        <v/>
      </c>
    </row>
    <row r="2684">
      <c r="B2684" s="113" t="n"/>
      <c r="C2684" s="114" t="n"/>
      <c r="D2684" s="115" t="n"/>
      <c r="E2684" s="116" t="n"/>
      <c r="F2684" s="115" t="n"/>
      <c r="G2684" s="117">
        <f>IF(COUNTA(B2684:E2684)=0,"",IF(COUNTA(B2684:E2684)&lt;4,"⚠ กรอกไม่ครบ",IF(NOT(ISNUMBER(B2684)),"⚠ วันที่ไม่ถูกต้อง",IF(COUNTIFS(Setup!$L$6:$L$60,D2684,Setup!$M$6:$M$60,C2684)=0,"⚠ หมวดไม่ตรงประเภท","✓"))))</f>
        <v/>
      </c>
    </row>
    <row r="2685">
      <c r="B2685" s="113" t="n"/>
      <c r="C2685" s="114" t="n"/>
      <c r="D2685" s="115" t="n"/>
      <c r="E2685" s="116" t="n"/>
      <c r="F2685" s="115" t="n"/>
      <c r="G2685" s="117">
        <f>IF(COUNTA(B2685:E2685)=0,"",IF(COUNTA(B2685:E2685)&lt;4,"⚠ กรอกไม่ครบ",IF(NOT(ISNUMBER(B2685)),"⚠ วันที่ไม่ถูกต้อง",IF(COUNTIFS(Setup!$L$6:$L$60,D2685,Setup!$M$6:$M$60,C2685)=0,"⚠ หมวดไม่ตรงประเภท","✓"))))</f>
        <v/>
      </c>
    </row>
    <row r="2686">
      <c r="B2686" s="113" t="n"/>
      <c r="C2686" s="114" t="n"/>
      <c r="D2686" s="115" t="n"/>
      <c r="E2686" s="116" t="n"/>
      <c r="F2686" s="115" t="n"/>
      <c r="G2686" s="117">
        <f>IF(COUNTA(B2686:E2686)=0,"",IF(COUNTA(B2686:E2686)&lt;4,"⚠ กรอกไม่ครบ",IF(NOT(ISNUMBER(B2686)),"⚠ วันที่ไม่ถูกต้อง",IF(COUNTIFS(Setup!$L$6:$L$60,D2686,Setup!$M$6:$M$60,C2686)=0,"⚠ หมวดไม่ตรงประเภท","✓"))))</f>
        <v/>
      </c>
    </row>
    <row r="2687">
      <c r="B2687" s="113" t="n"/>
      <c r="C2687" s="114" t="n"/>
      <c r="D2687" s="115" t="n"/>
      <c r="E2687" s="116" t="n"/>
      <c r="F2687" s="115" t="n"/>
      <c r="G2687" s="117">
        <f>IF(COUNTA(B2687:E2687)=0,"",IF(COUNTA(B2687:E2687)&lt;4,"⚠ กรอกไม่ครบ",IF(NOT(ISNUMBER(B2687)),"⚠ วันที่ไม่ถูกต้อง",IF(COUNTIFS(Setup!$L$6:$L$60,D2687,Setup!$M$6:$M$60,C2687)=0,"⚠ หมวดไม่ตรงประเภท","✓"))))</f>
        <v/>
      </c>
    </row>
    <row r="2688">
      <c r="B2688" s="113" t="n"/>
      <c r="C2688" s="114" t="n"/>
      <c r="D2688" s="115" t="n"/>
      <c r="E2688" s="116" t="n"/>
      <c r="F2688" s="115" t="n"/>
      <c r="G2688" s="117">
        <f>IF(COUNTA(B2688:E2688)=0,"",IF(COUNTA(B2688:E2688)&lt;4,"⚠ กรอกไม่ครบ",IF(NOT(ISNUMBER(B2688)),"⚠ วันที่ไม่ถูกต้อง",IF(COUNTIFS(Setup!$L$6:$L$60,D2688,Setup!$M$6:$M$60,C2688)=0,"⚠ หมวดไม่ตรงประเภท","✓"))))</f>
        <v/>
      </c>
    </row>
    <row r="2689">
      <c r="B2689" s="113" t="n"/>
      <c r="C2689" s="114" t="n"/>
      <c r="D2689" s="115" t="n"/>
      <c r="E2689" s="116" t="n"/>
      <c r="F2689" s="115" t="n"/>
      <c r="G2689" s="117">
        <f>IF(COUNTA(B2689:E2689)=0,"",IF(COUNTA(B2689:E2689)&lt;4,"⚠ กรอกไม่ครบ",IF(NOT(ISNUMBER(B2689)),"⚠ วันที่ไม่ถูกต้อง",IF(COUNTIFS(Setup!$L$6:$L$60,D2689,Setup!$M$6:$M$60,C2689)=0,"⚠ หมวดไม่ตรงประเภท","✓"))))</f>
        <v/>
      </c>
    </row>
    <row r="2690">
      <c r="B2690" s="113" t="n"/>
      <c r="C2690" s="114" t="n"/>
      <c r="D2690" s="115" t="n"/>
      <c r="E2690" s="116" t="n"/>
      <c r="F2690" s="115" t="n"/>
      <c r="G2690" s="117">
        <f>IF(COUNTA(B2690:E2690)=0,"",IF(COUNTA(B2690:E2690)&lt;4,"⚠ กรอกไม่ครบ",IF(NOT(ISNUMBER(B2690)),"⚠ วันที่ไม่ถูกต้อง",IF(COUNTIFS(Setup!$L$6:$L$60,D2690,Setup!$M$6:$M$60,C2690)=0,"⚠ หมวดไม่ตรงประเภท","✓"))))</f>
        <v/>
      </c>
    </row>
    <row r="2691">
      <c r="B2691" s="113" t="n"/>
      <c r="C2691" s="114" t="n"/>
      <c r="D2691" s="115" t="n"/>
      <c r="E2691" s="116" t="n"/>
      <c r="F2691" s="115" t="n"/>
      <c r="G2691" s="117">
        <f>IF(COUNTA(B2691:E2691)=0,"",IF(COUNTA(B2691:E2691)&lt;4,"⚠ กรอกไม่ครบ",IF(NOT(ISNUMBER(B2691)),"⚠ วันที่ไม่ถูกต้อง",IF(COUNTIFS(Setup!$L$6:$L$60,D2691,Setup!$M$6:$M$60,C2691)=0,"⚠ หมวดไม่ตรงประเภท","✓"))))</f>
        <v/>
      </c>
    </row>
    <row r="2692">
      <c r="B2692" s="113" t="n"/>
      <c r="C2692" s="114" t="n"/>
      <c r="D2692" s="115" t="n"/>
      <c r="E2692" s="116" t="n"/>
      <c r="F2692" s="115" t="n"/>
      <c r="G2692" s="117">
        <f>IF(COUNTA(B2692:E2692)=0,"",IF(COUNTA(B2692:E2692)&lt;4,"⚠ กรอกไม่ครบ",IF(NOT(ISNUMBER(B2692)),"⚠ วันที่ไม่ถูกต้อง",IF(COUNTIFS(Setup!$L$6:$L$60,D2692,Setup!$M$6:$M$60,C2692)=0,"⚠ หมวดไม่ตรงประเภท","✓"))))</f>
        <v/>
      </c>
    </row>
    <row r="2693">
      <c r="B2693" s="113" t="n"/>
      <c r="C2693" s="114" t="n"/>
      <c r="D2693" s="115" t="n"/>
      <c r="E2693" s="116" t="n"/>
      <c r="F2693" s="115" t="n"/>
      <c r="G2693" s="117">
        <f>IF(COUNTA(B2693:E2693)=0,"",IF(COUNTA(B2693:E2693)&lt;4,"⚠ กรอกไม่ครบ",IF(NOT(ISNUMBER(B2693)),"⚠ วันที่ไม่ถูกต้อง",IF(COUNTIFS(Setup!$L$6:$L$60,D2693,Setup!$M$6:$M$60,C2693)=0,"⚠ หมวดไม่ตรงประเภท","✓"))))</f>
        <v/>
      </c>
    </row>
    <row r="2694">
      <c r="B2694" s="113" t="n"/>
      <c r="C2694" s="114" t="n"/>
      <c r="D2694" s="115" t="n"/>
      <c r="E2694" s="116" t="n"/>
      <c r="F2694" s="115" t="n"/>
      <c r="G2694" s="117">
        <f>IF(COUNTA(B2694:E2694)=0,"",IF(COUNTA(B2694:E2694)&lt;4,"⚠ กรอกไม่ครบ",IF(NOT(ISNUMBER(B2694)),"⚠ วันที่ไม่ถูกต้อง",IF(COUNTIFS(Setup!$L$6:$L$60,D2694,Setup!$M$6:$M$60,C2694)=0,"⚠ หมวดไม่ตรงประเภท","✓"))))</f>
        <v/>
      </c>
    </row>
    <row r="2695">
      <c r="B2695" s="113" t="n"/>
      <c r="C2695" s="114" t="n"/>
      <c r="D2695" s="115" t="n"/>
      <c r="E2695" s="116" t="n"/>
      <c r="F2695" s="115" t="n"/>
      <c r="G2695" s="117">
        <f>IF(COUNTA(B2695:E2695)=0,"",IF(COUNTA(B2695:E2695)&lt;4,"⚠ กรอกไม่ครบ",IF(NOT(ISNUMBER(B2695)),"⚠ วันที่ไม่ถูกต้อง",IF(COUNTIFS(Setup!$L$6:$L$60,D2695,Setup!$M$6:$M$60,C2695)=0,"⚠ หมวดไม่ตรงประเภท","✓"))))</f>
        <v/>
      </c>
    </row>
    <row r="2696">
      <c r="B2696" s="113" t="n"/>
      <c r="C2696" s="114" t="n"/>
      <c r="D2696" s="115" t="n"/>
      <c r="E2696" s="116" t="n"/>
      <c r="F2696" s="115" t="n"/>
      <c r="G2696" s="117">
        <f>IF(COUNTA(B2696:E2696)=0,"",IF(COUNTA(B2696:E2696)&lt;4,"⚠ กรอกไม่ครบ",IF(NOT(ISNUMBER(B2696)),"⚠ วันที่ไม่ถูกต้อง",IF(COUNTIFS(Setup!$L$6:$L$60,D2696,Setup!$M$6:$M$60,C2696)=0,"⚠ หมวดไม่ตรงประเภท","✓"))))</f>
        <v/>
      </c>
    </row>
    <row r="2697">
      <c r="B2697" s="113" t="n"/>
      <c r="C2697" s="114" t="n"/>
      <c r="D2697" s="115" t="n"/>
      <c r="E2697" s="116" t="n"/>
      <c r="F2697" s="115" t="n"/>
      <c r="G2697" s="117">
        <f>IF(COUNTA(B2697:E2697)=0,"",IF(COUNTA(B2697:E2697)&lt;4,"⚠ กรอกไม่ครบ",IF(NOT(ISNUMBER(B2697)),"⚠ วันที่ไม่ถูกต้อง",IF(COUNTIFS(Setup!$L$6:$L$60,D2697,Setup!$M$6:$M$60,C2697)=0,"⚠ หมวดไม่ตรงประเภท","✓"))))</f>
        <v/>
      </c>
    </row>
    <row r="2698">
      <c r="B2698" s="113" t="n"/>
      <c r="C2698" s="114" t="n"/>
      <c r="D2698" s="115" t="n"/>
      <c r="E2698" s="116" t="n"/>
      <c r="F2698" s="115" t="n"/>
      <c r="G2698" s="117">
        <f>IF(COUNTA(B2698:E2698)=0,"",IF(COUNTA(B2698:E2698)&lt;4,"⚠ กรอกไม่ครบ",IF(NOT(ISNUMBER(B2698)),"⚠ วันที่ไม่ถูกต้อง",IF(COUNTIFS(Setup!$L$6:$L$60,D2698,Setup!$M$6:$M$60,C2698)=0,"⚠ หมวดไม่ตรงประเภท","✓"))))</f>
        <v/>
      </c>
    </row>
    <row r="2699">
      <c r="B2699" s="113" t="n"/>
      <c r="C2699" s="114" t="n"/>
      <c r="D2699" s="115" t="n"/>
      <c r="E2699" s="116" t="n"/>
      <c r="F2699" s="115" t="n"/>
      <c r="G2699" s="117">
        <f>IF(COUNTA(B2699:E2699)=0,"",IF(COUNTA(B2699:E2699)&lt;4,"⚠ กรอกไม่ครบ",IF(NOT(ISNUMBER(B2699)),"⚠ วันที่ไม่ถูกต้อง",IF(COUNTIFS(Setup!$L$6:$L$60,D2699,Setup!$M$6:$M$60,C2699)=0,"⚠ หมวดไม่ตรงประเภท","✓"))))</f>
        <v/>
      </c>
    </row>
    <row r="2700">
      <c r="B2700" s="113" t="n"/>
      <c r="C2700" s="114" t="n"/>
      <c r="D2700" s="115" t="n"/>
      <c r="E2700" s="116" t="n"/>
      <c r="F2700" s="115" t="n"/>
      <c r="G2700" s="117">
        <f>IF(COUNTA(B2700:E2700)=0,"",IF(COUNTA(B2700:E2700)&lt;4,"⚠ กรอกไม่ครบ",IF(NOT(ISNUMBER(B2700)),"⚠ วันที่ไม่ถูกต้อง",IF(COUNTIFS(Setup!$L$6:$L$60,D2700,Setup!$M$6:$M$60,C2700)=0,"⚠ หมวดไม่ตรงประเภท","✓"))))</f>
        <v/>
      </c>
    </row>
    <row r="2701">
      <c r="B2701" s="113" t="n"/>
      <c r="C2701" s="114" t="n"/>
      <c r="D2701" s="115" t="n"/>
      <c r="E2701" s="116" t="n"/>
      <c r="F2701" s="115" t="n"/>
      <c r="G2701" s="117">
        <f>IF(COUNTA(B2701:E2701)=0,"",IF(COUNTA(B2701:E2701)&lt;4,"⚠ กรอกไม่ครบ",IF(NOT(ISNUMBER(B2701)),"⚠ วันที่ไม่ถูกต้อง",IF(COUNTIFS(Setup!$L$6:$L$60,D2701,Setup!$M$6:$M$60,C2701)=0,"⚠ หมวดไม่ตรงประเภท","✓"))))</f>
        <v/>
      </c>
    </row>
    <row r="2702">
      <c r="B2702" s="113" t="n"/>
      <c r="C2702" s="114" t="n"/>
      <c r="D2702" s="115" t="n"/>
      <c r="E2702" s="116" t="n"/>
      <c r="F2702" s="115" t="n"/>
      <c r="G2702" s="117">
        <f>IF(COUNTA(B2702:E2702)=0,"",IF(COUNTA(B2702:E2702)&lt;4,"⚠ กรอกไม่ครบ",IF(NOT(ISNUMBER(B2702)),"⚠ วันที่ไม่ถูกต้อง",IF(COUNTIFS(Setup!$L$6:$L$60,D2702,Setup!$M$6:$M$60,C2702)=0,"⚠ หมวดไม่ตรงประเภท","✓"))))</f>
        <v/>
      </c>
    </row>
    <row r="2703">
      <c r="B2703" s="113" t="n"/>
      <c r="C2703" s="114" t="n"/>
      <c r="D2703" s="115" t="n"/>
      <c r="E2703" s="116" t="n"/>
      <c r="F2703" s="115" t="n"/>
      <c r="G2703" s="117">
        <f>IF(COUNTA(B2703:E2703)=0,"",IF(COUNTA(B2703:E2703)&lt;4,"⚠ กรอกไม่ครบ",IF(NOT(ISNUMBER(B2703)),"⚠ วันที่ไม่ถูกต้อง",IF(COUNTIFS(Setup!$L$6:$L$60,D2703,Setup!$M$6:$M$60,C2703)=0,"⚠ หมวดไม่ตรงประเภท","✓"))))</f>
        <v/>
      </c>
    </row>
    <row r="2704">
      <c r="B2704" s="113" t="n"/>
      <c r="C2704" s="114" t="n"/>
      <c r="D2704" s="115" t="n"/>
      <c r="E2704" s="116" t="n"/>
      <c r="F2704" s="115" t="n"/>
      <c r="G2704" s="117">
        <f>IF(COUNTA(B2704:E2704)=0,"",IF(COUNTA(B2704:E2704)&lt;4,"⚠ กรอกไม่ครบ",IF(NOT(ISNUMBER(B2704)),"⚠ วันที่ไม่ถูกต้อง",IF(COUNTIFS(Setup!$L$6:$L$60,D2704,Setup!$M$6:$M$60,C2704)=0,"⚠ หมวดไม่ตรงประเภท","✓"))))</f>
        <v/>
      </c>
    </row>
    <row r="2705">
      <c r="B2705" s="113" t="n"/>
      <c r="C2705" s="114" t="n"/>
      <c r="D2705" s="115" t="n"/>
      <c r="E2705" s="116" t="n"/>
      <c r="F2705" s="115" t="n"/>
      <c r="G2705" s="117">
        <f>IF(COUNTA(B2705:E2705)=0,"",IF(COUNTA(B2705:E2705)&lt;4,"⚠ กรอกไม่ครบ",IF(NOT(ISNUMBER(B2705)),"⚠ วันที่ไม่ถูกต้อง",IF(COUNTIFS(Setup!$L$6:$L$60,D2705,Setup!$M$6:$M$60,C2705)=0,"⚠ หมวดไม่ตรงประเภท","✓"))))</f>
        <v/>
      </c>
    </row>
    <row r="2706">
      <c r="B2706" s="113" t="n"/>
      <c r="C2706" s="114" t="n"/>
      <c r="D2706" s="115" t="n"/>
      <c r="E2706" s="116" t="n"/>
      <c r="F2706" s="115" t="n"/>
      <c r="G2706" s="117">
        <f>IF(COUNTA(B2706:E2706)=0,"",IF(COUNTA(B2706:E2706)&lt;4,"⚠ กรอกไม่ครบ",IF(NOT(ISNUMBER(B2706)),"⚠ วันที่ไม่ถูกต้อง",IF(COUNTIFS(Setup!$L$6:$L$60,D2706,Setup!$M$6:$M$60,C2706)=0,"⚠ หมวดไม่ตรงประเภท","✓"))))</f>
        <v/>
      </c>
    </row>
    <row r="2707">
      <c r="B2707" s="113" t="n"/>
      <c r="C2707" s="114" t="n"/>
      <c r="D2707" s="115" t="n"/>
      <c r="E2707" s="116" t="n"/>
      <c r="F2707" s="115" t="n"/>
      <c r="G2707" s="117">
        <f>IF(COUNTA(B2707:E2707)=0,"",IF(COUNTA(B2707:E2707)&lt;4,"⚠ กรอกไม่ครบ",IF(NOT(ISNUMBER(B2707)),"⚠ วันที่ไม่ถูกต้อง",IF(COUNTIFS(Setup!$L$6:$L$60,D2707,Setup!$M$6:$M$60,C2707)=0,"⚠ หมวดไม่ตรงประเภท","✓"))))</f>
        <v/>
      </c>
    </row>
    <row r="2708">
      <c r="B2708" s="113" t="n"/>
      <c r="C2708" s="114" t="n"/>
      <c r="D2708" s="115" t="n"/>
      <c r="E2708" s="116" t="n"/>
      <c r="F2708" s="115" t="n"/>
      <c r="G2708" s="117">
        <f>IF(COUNTA(B2708:E2708)=0,"",IF(COUNTA(B2708:E2708)&lt;4,"⚠ กรอกไม่ครบ",IF(NOT(ISNUMBER(B2708)),"⚠ วันที่ไม่ถูกต้อง",IF(COUNTIFS(Setup!$L$6:$L$60,D2708,Setup!$M$6:$M$60,C2708)=0,"⚠ หมวดไม่ตรงประเภท","✓"))))</f>
        <v/>
      </c>
    </row>
    <row r="2709">
      <c r="B2709" s="113" t="n"/>
      <c r="C2709" s="114" t="n"/>
      <c r="D2709" s="115" t="n"/>
      <c r="E2709" s="116" t="n"/>
      <c r="F2709" s="115" t="n"/>
      <c r="G2709" s="117">
        <f>IF(COUNTA(B2709:E2709)=0,"",IF(COUNTA(B2709:E2709)&lt;4,"⚠ กรอกไม่ครบ",IF(NOT(ISNUMBER(B2709)),"⚠ วันที่ไม่ถูกต้อง",IF(COUNTIFS(Setup!$L$6:$L$60,D2709,Setup!$M$6:$M$60,C2709)=0,"⚠ หมวดไม่ตรงประเภท","✓"))))</f>
        <v/>
      </c>
    </row>
    <row r="2710">
      <c r="B2710" s="113" t="n"/>
      <c r="C2710" s="114" t="n"/>
      <c r="D2710" s="115" t="n"/>
      <c r="E2710" s="116" t="n"/>
      <c r="F2710" s="115" t="n"/>
      <c r="G2710" s="117">
        <f>IF(COUNTA(B2710:E2710)=0,"",IF(COUNTA(B2710:E2710)&lt;4,"⚠ กรอกไม่ครบ",IF(NOT(ISNUMBER(B2710)),"⚠ วันที่ไม่ถูกต้อง",IF(COUNTIFS(Setup!$L$6:$L$60,D2710,Setup!$M$6:$M$60,C2710)=0,"⚠ หมวดไม่ตรงประเภท","✓"))))</f>
        <v/>
      </c>
    </row>
    <row r="2711">
      <c r="B2711" s="113" t="n"/>
      <c r="C2711" s="114" t="n"/>
      <c r="D2711" s="115" t="n"/>
      <c r="E2711" s="116" t="n"/>
      <c r="F2711" s="115" t="n"/>
      <c r="G2711" s="117">
        <f>IF(COUNTA(B2711:E2711)=0,"",IF(COUNTA(B2711:E2711)&lt;4,"⚠ กรอกไม่ครบ",IF(NOT(ISNUMBER(B2711)),"⚠ วันที่ไม่ถูกต้อง",IF(COUNTIFS(Setup!$L$6:$L$60,D2711,Setup!$M$6:$M$60,C2711)=0,"⚠ หมวดไม่ตรงประเภท","✓"))))</f>
        <v/>
      </c>
    </row>
    <row r="2712">
      <c r="B2712" s="113" t="n"/>
      <c r="C2712" s="114" t="n"/>
      <c r="D2712" s="115" t="n"/>
      <c r="E2712" s="116" t="n"/>
      <c r="F2712" s="115" t="n"/>
      <c r="G2712" s="117">
        <f>IF(COUNTA(B2712:E2712)=0,"",IF(COUNTA(B2712:E2712)&lt;4,"⚠ กรอกไม่ครบ",IF(NOT(ISNUMBER(B2712)),"⚠ วันที่ไม่ถูกต้อง",IF(COUNTIFS(Setup!$L$6:$L$60,D2712,Setup!$M$6:$M$60,C2712)=0,"⚠ หมวดไม่ตรงประเภท","✓"))))</f>
        <v/>
      </c>
    </row>
    <row r="2713">
      <c r="B2713" s="113" t="n"/>
      <c r="C2713" s="114" t="n"/>
      <c r="D2713" s="115" t="n"/>
      <c r="E2713" s="116" t="n"/>
      <c r="F2713" s="115" t="n"/>
      <c r="G2713" s="117">
        <f>IF(COUNTA(B2713:E2713)=0,"",IF(COUNTA(B2713:E2713)&lt;4,"⚠ กรอกไม่ครบ",IF(NOT(ISNUMBER(B2713)),"⚠ วันที่ไม่ถูกต้อง",IF(COUNTIFS(Setup!$L$6:$L$60,D2713,Setup!$M$6:$M$60,C2713)=0,"⚠ หมวดไม่ตรงประเภท","✓"))))</f>
        <v/>
      </c>
    </row>
    <row r="2714">
      <c r="B2714" s="113" t="n"/>
      <c r="C2714" s="114" t="n"/>
      <c r="D2714" s="115" t="n"/>
      <c r="E2714" s="116" t="n"/>
      <c r="F2714" s="115" t="n"/>
      <c r="G2714" s="117">
        <f>IF(COUNTA(B2714:E2714)=0,"",IF(COUNTA(B2714:E2714)&lt;4,"⚠ กรอกไม่ครบ",IF(NOT(ISNUMBER(B2714)),"⚠ วันที่ไม่ถูกต้อง",IF(COUNTIFS(Setup!$L$6:$L$60,D2714,Setup!$M$6:$M$60,C2714)=0,"⚠ หมวดไม่ตรงประเภท","✓"))))</f>
        <v/>
      </c>
    </row>
    <row r="2715">
      <c r="B2715" s="113" t="n"/>
      <c r="C2715" s="114" t="n"/>
      <c r="D2715" s="115" t="n"/>
      <c r="E2715" s="116" t="n"/>
      <c r="F2715" s="115" t="n"/>
      <c r="G2715" s="117">
        <f>IF(COUNTA(B2715:E2715)=0,"",IF(COUNTA(B2715:E2715)&lt;4,"⚠ กรอกไม่ครบ",IF(NOT(ISNUMBER(B2715)),"⚠ วันที่ไม่ถูกต้อง",IF(COUNTIFS(Setup!$L$6:$L$60,D2715,Setup!$M$6:$M$60,C2715)=0,"⚠ หมวดไม่ตรงประเภท","✓"))))</f>
        <v/>
      </c>
    </row>
    <row r="2716">
      <c r="B2716" s="113" t="n"/>
      <c r="C2716" s="114" t="n"/>
      <c r="D2716" s="115" t="n"/>
      <c r="E2716" s="116" t="n"/>
      <c r="F2716" s="115" t="n"/>
      <c r="G2716" s="117">
        <f>IF(COUNTA(B2716:E2716)=0,"",IF(COUNTA(B2716:E2716)&lt;4,"⚠ กรอกไม่ครบ",IF(NOT(ISNUMBER(B2716)),"⚠ วันที่ไม่ถูกต้อง",IF(COUNTIFS(Setup!$L$6:$L$60,D2716,Setup!$M$6:$M$60,C2716)=0,"⚠ หมวดไม่ตรงประเภท","✓"))))</f>
        <v/>
      </c>
    </row>
    <row r="2717">
      <c r="B2717" s="113" t="n"/>
      <c r="C2717" s="114" t="n"/>
      <c r="D2717" s="115" t="n"/>
      <c r="E2717" s="116" t="n"/>
      <c r="F2717" s="115" t="n"/>
      <c r="G2717" s="117">
        <f>IF(COUNTA(B2717:E2717)=0,"",IF(COUNTA(B2717:E2717)&lt;4,"⚠ กรอกไม่ครบ",IF(NOT(ISNUMBER(B2717)),"⚠ วันที่ไม่ถูกต้อง",IF(COUNTIFS(Setup!$L$6:$L$60,D2717,Setup!$M$6:$M$60,C2717)=0,"⚠ หมวดไม่ตรงประเภท","✓"))))</f>
        <v/>
      </c>
    </row>
    <row r="2718">
      <c r="B2718" s="113" t="n"/>
      <c r="C2718" s="114" t="n"/>
      <c r="D2718" s="115" t="n"/>
      <c r="E2718" s="116" t="n"/>
      <c r="F2718" s="115" t="n"/>
      <c r="G2718" s="117">
        <f>IF(COUNTA(B2718:E2718)=0,"",IF(COUNTA(B2718:E2718)&lt;4,"⚠ กรอกไม่ครบ",IF(NOT(ISNUMBER(B2718)),"⚠ วันที่ไม่ถูกต้อง",IF(COUNTIFS(Setup!$L$6:$L$60,D2718,Setup!$M$6:$M$60,C2718)=0,"⚠ หมวดไม่ตรงประเภท","✓"))))</f>
        <v/>
      </c>
    </row>
    <row r="2719">
      <c r="B2719" s="113" t="n"/>
      <c r="C2719" s="114" t="n"/>
      <c r="D2719" s="115" t="n"/>
      <c r="E2719" s="116" t="n"/>
      <c r="F2719" s="115" t="n"/>
      <c r="G2719" s="117">
        <f>IF(COUNTA(B2719:E2719)=0,"",IF(COUNTA(B2719:E2719)&lt;4,"⚠ กรอกไม่ครบ",IF(NOT(ISNUMBER(B2719)),"⚠ วันที่ไม่ถูกต้อง",IF(COUNTIFS(Setup!$L$6:$L$60,D2719,Setup!$M$6:$M$60,C2719)=0,"⚠ หมวดไม่ตรงประเภท","✓"))))</f>
        <v/>
      </c>
    </row>
    <row r="2720">
      <c r="B2720" s="113" t="n"/>
      <c r="C2720" s="114" t="n"/>
      <c r="D2720" s="115" t="n"/>
      <c r="E2720" s="116" t="n"/>
      <c r="F2720" s="115" t="n"/>
      <c r="G2720" s="117">
        <f>IF(COUNTA(B2720:E2720)=0,"",IF(COUNTA(B2720:E2720)&lt;4,"⚠ กรอกไม่ครบ",IF(NOT(ISNUMBER(B2720)),"⚠ วันที่ไม่ถูกต้อง",IF(COUNTIFS(Setup!$L$6:$L$60,D2720,Setup!$M$6:$M$60,C2720)=0,"⚠ หมวดไม่ตรงประเภท","✓"))))</f>
        <v/>
      </c>
    </row>
    <row r="2721">
      <c r="B2721" s="113" t="n"/>
      <c r="C2721" s="114" t="n"/>
      <c r="D2721" s="115" t="n"/>
      <c r="E2721" s="116" t="n"/>
      <c r="F2721" s="115" t="n"/>
      <c r="G2721" s="117">
        <f>IF(COUNTA(B2721:E2721)=0,"",IF(COUNTA(B2721:E2721)&lt;4,"⚠ กรอกไม่ครบ",IF(NOT(ISNUMBER(B2721)),"⚠ วันที่ไม่ถูกต้อง",IF(COUNTIFS(Setup!$L$6:$L$60,D2721,Setup!$M$6:$M$60,C2721)=0,"⚠ หมวดไม่ตรงประเภท","✓"))))</f>
        <v/>
      </c>
    </row>
    <row r="2722">
      <c r="B2722" s="113" t="n"/>
      <c r="C2722" s="114" t="n"/>
      <c r="D2722" s="115" t="n"/>
      <c r="E2722" s="116" t="n"/>
      <c r="F2722" s="115" t="n"/>
      <c r="G2722" s="117">
        <f>IF(COUNTA(B2722:E2722)=0,"",IF(COUNTA(B2722:E2722)&lt;4,"⚠ กรอกไม่ครบ",IF(NOT(ISNUMBER(B2722)),"⚠ วันที่ไม่ถูกต้อง",IF(COUNTIFS(Setup!$L$6:$L$60,D2722,Setup!$M$6:$M$60,C2722)=0,"⚠ หมวดไม่ตรงประเภท","✓"))))</f>
        <v/>
      </c>
    </row>
    <row r="2723">
      <c r="B2723" s="113" t="n"/>
      <c r="C2723" s="114" t="n"/>
      <c r="D2723" s="115" t="n"/>
      <c r="E2723" s="116" t="n"/>
      <c r="F2723" s="115" t="n"/>
      <c r="G2723" s="117">
        <f>IF(COUNTA(B2723:E2723)=0,"",IF(COUNTA(B2723:E2723)&lt;4,"⚠ กรอกไม่ครบ",IF(NOT(ISNUMBER(B2723)),"⚠ วันที่ไม่ถูกต้อง",IF(COUNTIFS(Setup!$L$6:$L$60,D2723,Setup!$M$6:$M$60,C2723)=0,"⚠ หมวดไม่ตรงประเภท","✓"))))</f>
        <v/>
      </c>
    </row>
    <row r="2724">
      <c r="B2724" s="113" t="n"/>
      <c r="C2724" s="114" t="n"/>
      <c r="D2724" s="115" t="n"/>
      <c r="E2724" s="116" t="n"/>
      <c r="F2724" s="115" t="n"/>
      <c r="G2724" s="117">
        <f>IF(COUNTA(B2724:E2724)=0,"",IF(COUNTA(B2724:E2724)&lt;4,"⚠ กรอกไม่ครบ",IF(NOT(ISNUMBER(B2724)),"⚠ วันที่ไม่ถูกต้อง",IF(COUNTIFS(Setup!$L$6:$L$60,D2724,Setup!$M$6:$M$60,C2724)=0,"⚠ หมวดไม่ตรงประเภท","✓"))))</f>
        <v/>
      </c>
    </row>
    <row r="2725">
      <c r="B2725" s="113" t="n"/>
      <c r="C2725" s="114" t="n"/>
      <c r="D2725" s="115" t="n"/>
      <c r="E2725" s="116" t="n"/>
      <c r="F2725" s="115" t="n"/>
      <c r="G2725" s="117">
        <f>IF(COUNTA(B2725:E2725)=0,"",IF(COUNTA(B2725:E2725)&lt;4,"⚠ กรอกไม่ครบ",IF(NOT(ISNUMBER(B2725)),"⚠ วันที่ไม่ถูกต้อง",IF(COUNTIFS(Setup!$L$6:$L$60,D2725,Setup!$M$6:$M$60,C2725)=0,"⚠ หมวดไม่ตรงประเภท","✓"))))</f>
        <v/>
      </c>
    </row>
    <row r="2726">
      <c r="B2726" s="113" t="n"/>
      <c r="C2726" s="114" t="n"/>
      <c r="D2726" s="115" t="n"/>
      <c r="E2726" s="116" t="n"/>
      <c r="F2726" s="115" t="n"/>
      <c r="G2726" s="117">
        <f>IF(COUNTA(B2726:E2726)=0,"",IF(COUNTA(B2726:E2726)&lt;4,"⚠ กรอกไม่ครบ",IF(NOT(ISNUMBER(B2726)),"⚠ วันที่ไม่ถูกต้อง",IF(COUNTIFS(Setup!$L$6:$L$60,D2726,Setup!$M$6:$M$60,C2726)=0,"⚠ หมวดไม่ตรงประเภท","✓"))))</f>
        <v/>
      </c>
    </row>
    <row r="2727">
      <c r="B2727" s="113" t="n"/>
      <c r="C2727" s="114" t="n"/>
      <c r="D2727" s="115" t="n"/>
      <c r="E2727" s="116" t="n"/>
      <c r="F2727" s="115" t="n"/>
      <c r="G2727" s="117">
        <f>IF(COUNTA(B2727:E2727)=0,"",IF(COUNTA(B2727:E2727)&lt;4,"⚠ กรอกไม่ครบ",IF(NOT(ISNUMBER(B2727)),"⚠ วันที่ไม่ถูกต้อง",IF(COUNTIFS(Setup!$L$6:$L$60,D2727,Setup!$M$6:$M$60,C2727)=0,"⚠ หมวดไม่ตรงประเภท","✓"))))</f>
        <v/>
      </c>
    </row>
    <row r="2728">
      <c r="B2728" s="113" t="n"/>
      <c r="C2728" s="114" t="n"/>
      <c r="D2728" s="115" t="n"/>
      <c r="E2728" s="116" t="n"/>
      <c r="F2728" s="115" t="n"/>
      <c r="G2728" s="117">
        <f>IF(COUNTA(B2728:E2728)=0,"",IF(COUNTA(B2728:E2728)&lt;4,"⚠ กรอกไม่ครบ",IF(NOT(ISNUMBER(B2728)),"⚠ วันที่ไม่ถูกต้อง",IF(COUNTIFS(Setup!$L$6:$L$60,D2728,Setup!$M$6:$M$60,C2728)=0,"⚠ หมวดไม่ตรงประเภท","✓"))))</f>
        <v/>
      </c>
    </row>
    <row r="2729">
      <c r="B2729" s="113" t="n"/>
      <c r="C2729" s="114" t="n"/>
      <c r="D2729" s="115" t="n"/>
      <c r="E2729" s="116" t="n"/>
      <c r="F2729" s="115" t="n"/>
      <c r="G2729" s="117">
        <f>IF(COUNTA(B2729:E2729)=0,"",IF(COUNTA(B2729:E2729)&lt;4,"⚠ กรอกไม่ครบ",IF(NOT(ISNUMBER(B2729)),"⚠ วันที่ไม่ถูกต้อง",IF(COUNTIFS(Setup!$L$6:$L$60,D2729,Setup!$M$6:$M$60,C2729)=0,"⚠ หมวดไม่ตรงประเภท","✓"))))</f>
        <v/>
      </c>
    </row>
    <row r="2730">
      <c r="B2730" s="113" t="n"/>
      <c r="C2730" s="114" t="n"/>
      <c r="D2730" s="115" t="n"/>
      <c r="E2730" s="116" t="n"/>
      <c r="F2730" s="115" t="n"/>
      <c r="G2730" s="117">
        <f>IF(COUNTA(B2730:E2730)=0,"",IF(COUNTA(B2730:E2730)&lt;4,"⚠ กรอกไม่ครบ",IF(NOT(ISNUMBER(B2730)),"⚠ วันที่ไม่ถูกต้อง",IF(COUNTIFS(Setup!$L$6:$L$60,D2730,Setup!$M$6:$M$60,C2730)=0,"⚠ หมวดไม่ตรงประเภท","✓"))))</f>
        <v/>
      </c>
    </row>
    <row r="2731">
      <c r="B2731" s="113" t="n"/>
      <c r="C2731" s="114" t="n"/>
      <c r="D2731" s="115" t="n"/>
      <c r="E2731" s="116" t="n"/>
      <c r="F2731" s="115" t="n"/>
      <c r="G2731" s="117">
        <f>IF(COUNTA(B2731:E2731)=0,"",IF(COUNTA(B2731:E2731)&lt;4,"⚠ กรอกไม่ครบ",IF(NOT(ISNUMBER(B2731)),"⚠ วันที่ไม่ถูกต้อง",IF(COUNTIFS(Setup!$L$6:$L$60,D2731,Setup!$M$6:$M$60,C2731)=0,"⚠ หมวดไม่ตรงประเภท","✓"))))</f>
        <v/>
      </c>
    </row>
    <row r="2732">
      <c r="B2732" s="113" t="n"/>
      <c r="C2732" s="114" t="n"/>
      <c r="D2732" s="115" t="n"/>
      <c r="E2732" s="116" t="n"/>
      <c r="F2732" s="115" t="n"/>
      <c r="G2732" s="117">
        <f>IF(COUNTA(B2732:E2732)=0,"",IF(COUNTA(B2732:E2732)&lt;4,"⚠ กรอกไม่ครบ",IF(NOT(ISNUMBER(B2732)),"⚠ วันที่ไม่ถูกต้อง",IF(COUNTIFS(Setup!$L$6:$L$60,D2732,Setup!$M$6:$M$60,C2732)=0,"⚠ หมวดไม่ตรงประเภท","✓"))))</f>
        <v/>
      </c>
    </row>
    <row r="2733">
      <c r="B2733" s="113" t="n"/>
      <c r="C2733" s="114" t="n"/>
      <c r="D2733" s="115" t="n"/>
      <c r="E2733" s="116" t="n"/>
      <c r="F2733" s="115" t="n"/>
      <c r="G2733" s="117">
        <f>IF(COUNTA(B2733:E2733)=0,"",IF(COUNTA(B2733:E2733)&lt;4,"⚠ กรอกไม่ครบ",IF(NOT(ISNUMBER(B2733)),"⚠ วันที่ไม่ถูกต้อง",IF(COUNTIFS(Setup!$L$6:$L$60,D2733,Setup!$M$6:$M$60,C2733)=0,"⚠ หมวดไม่ตรงประเภท","✓"))))</f>
        <v/>
      </c>
    </row>
    <row r="2734">
      <c r="B2734" s="113" t="n"/>
      <c r="C2734" s="114" t="n"/>
      <c r="D2734" s="115" t="n"/>
      <c r="E2734" s="116" t="n"/>
      <c r="F2734" s="115" t="n"/>
      <c r="G2734" s="117">
        <f>IF(COUNTA(B2734:E2734)=0,"",IF(COUNTA(B2734:E2734)&lt;4,"⚠ กรอกไม่ครบ",IF(NOT(ISNUMBER(B2734)),"⚠ วันที่ไม่ถูกต้อง",IF(COUNTIFS(Setup!$L$6:$L$60,D2734,Setup!$M$6:$M$60,C2734)=0,"⚠ หมวดไม่ตรงประเภท","✓"))))</f>
        <v/>
      </c>
    </row>
    <row r="2735">
      <c r="B2735" s="113" t="n"/>
      <c r="C2735" s="114" t="n"/>
      <c r="D2735" s="115" t="n"/>
      <c r="E2735" s="116" t="n"/>
      <c r="F2735" s="115" t="n"/>
      <c r="G2735" s="117">
        <f>IF(COUNTA(B2735:E2735)=0,"",IF(COUNTA(B2735:E2735)&lt;4,"⚠ กรอกไม่ครบ",IF(NOT(ISNUMBER(B2735)),"⚠ วันที่ไม่ถูกต้อง",IF(COUNTIFS(Setup!$L$6:$L$60,D2735,Setup!$M$6:$M$60,C2735)=0,"⚠ หมวดไม่ตรงประเภท","✓"))))</f>
        <v/>
      </c>
    </row>
    <row r="2736">
      <c r="B2736" s="113" t="n"/>
      <c r="C2736" s="114" t="n"/>
      <c r="D2736" s="115" t="n"/>
      <c r="E2736" s="116" t="n"/>
      <c r="F2736" s="115" t="n"/>
      <c r="G2736" s="117">
        <f>IF(COUNTA(B2736:E2736)=0,"",IF(COUNTA(B2736:E2736)&lt;4,"⚠ กรอกไม่ครบ",IF(NOT(ISNUMBER(B2736)),"⚠ วันที่ไม่ถูกต้อง",IF(COUNTIFS(Setup!$L$6:$L$60,D2736,Setup!$M$6:$M$60,C2736)=0,"⚠ หมวดไม่ตรงประเภท","✓"))))</f>
        <v/>
      </c>
    </row>
    <row r="2737">
      <c r="B2737" s="113" t="n"/>
      <c r="C2737" s="114" t="n"/>
      <c r="D2737" s="115" t="n"/>
      <c r="E2737" s="116" t="n"/>
      <c r="F2737" s="115" t="n"/>
      <c r="G2737" s="117">
        <f>IF(COUNTA(B2737:E2737)=0,"",IF(COUNTA(B2737:E2737)&lt;4,"⚠ กรอกไม่ครบ",IF(NOT(ISNUMBER(B2737)),"⚠ วันที่ไม่ถูกต้อง",IF(COUNTIFS(Setup!$L$6:$L$60,D2737,Setup!$M$6:$M$60,C2737)=0,"⚠ หมวดไม่ตรงประเภท","✓"))))</f>
        <v/>
      </c>
    </row>
    <row r="2738">
      <c r="B2738" s="113" t="n"/>
      <c r="C2738" s="114" t="n"/>
      <c r="D2738" s="115" t="n"/>
      <c r="E2738" s="116" t="n"/>
      <c r="F2738" s="115" t="n"/>
      <c r="G2738" s="117">
        <f>IF(COUNTA(B2738:E2738)=0,"",IF(COUNTA(B2738:E2738)&lt;4,"⚠ กรอกไม่ครบ",IF(NOT(ISNUMBER(B2738)),"⚠ วันที่ไม่ถูกต้อง",IF(COUNTIFS(Setup!$L$6:$L$60,D2738,Setup!$M$6:$M$60,C2738)=0,"⚠ หมวดไม่ตรงประเภท","✓"))))</f>
        <v/>
      </c>
    </row>
    <row r="2739">
      <c r="B2739" s="113" t="n"/>
      <c r="C2739" s="114" t="n"/>
      <c r="D2739" s="115" t="n"/>
      <c r="E2739" s="116" t="n"/>
      <c r="F2739" s="115" t="n"/>
      <c r="G2739" s="117">
        <f>IF(COUNTA(B2739:E2739)=0,"",IF(COUNTA(B2739:E2739)&lt;4,"⚠ กรอกไม่ครบ",IF(NOT(ISNUMBER(B2739)),"⚠ วันที่ไม่ถูกต้อง",IF(COUNTIFS(Setup!$L$6:$L$60,D2739,Setup!$M$6:$M$60,C2739)=0,"⚠ หมวดไม่ตรงประเภท","✓"))))</f>
        <v/>
      </c>
    </row>
    <row r="2740">
      <c r="B2740" s="113" t="n"/>
      <c r="C2740" s="114" t="n"/>
      <c r="D2740" s="115" t="n"/>
      <c r="E2740" s="116" t="n"/>
      <c r="F2740" s="115" t="n"/>
      <c r="G2740" s="117">
        <f>IF(COUNTA(B2740:E2740)=0,"",IF(COUNTA(B2740:E2740)&lt;4,"⚠ กรอกไม่ครบ",IF(NOT(ISNUMBER(B2740)),"⚠ วันที่ไม่ถูกต้อง",IF(COUNTIFS(Setup!$L$6:$L$60,D2740,Setup!$M$6:$M$60,C2740)=0,"⚠ หมวดไม่ตรงประเภท","✓"))))</f>
        <v/>
      </c>
    </row>
    <row r="2741">
      <c r="B2741" s="113" t="n"/>
      <c r="C2741" s="114" t="n"/>
      <c r="D2741" s="115" t="n"/>
      <c r="E2741" s="116" t="n"/>
      <c r="F2741" s="115" t="n"/>
      <c r="G2741" s="117">
        <f>IF(COUNTA(B2741:E2741)=0,"",IF(COUNTA(B2741:E2741)&lt;4,"⚠ กรอกไม่ครบ",IF(NOT(ISNUMBER(B2741)),"⚠ วันที่ไม่ถูกต้อง",IF(COUNTIFS(Setup!$L$6:$L$60,D2741,Setup!$M$6:$M$60,C2741)=0,"⚠ หมวดไม่ตรงประเภท","✓"))))</f>
        <v/>
      </c>
    </row>
    <row r="2742">
      <c r="B2742" s="113" t="n"/>
      <c r="C2742" s="114" t="n"/>
      <c r="D2742" s="115" t="n"/>
      <c r="E2742" s="116" t="n"/>
      <c r="F2742" s="115" t="n"/>
      <c r="G2742" s="117">
        <f>IF(COUNTA(B2742:E2742)=0,"",IF(COUNTA(B2742:E2742)&lt;4,"⚠ กรอกไม่ครบ",IF(NOT(ISNUMBER(B2742)),"⚠ วันที่ไม่ถูกต้อง",IF(COUNTIFS(Setup!$L$6:$L$60,D2742,Setup!$M$6:$M$60,C2742)=0,"⚠ หมวดไม่ตรงประเภท","✓"))))</f>
        <v/>
      </c>
    </row>
    <row r="2743">
      <c r="B2743" s="113" t="n"/>
      <c r="C2743" s="114" t="n"/>
      <c r="D2743" s="115" t="n"/>
      <c r="E2743" s="116" t="n"/>
      <c r="F2743" s="115" t="n"/>
      <c r="G2743" s="117">
        <f>IF(COUNTA(B2743:E2743)=0,"",IF(COUNTA(B2743:E2743)&lt;4,"⚠ กรอกไม่ครบ",IF(NOT(ISNUMBER(B2743)),"⚠ วันที่ไม่ถูกต้อง",IF(COUNTIFS(Setup!$L$6:$L$60,D2743,Setup!$M$6:$M$60,C2743)=0,"⚠ หมวดไม่ตรงประเภท","✓"))))</f>
        <v/>
      </c>
    </row>
    <row r="2744">
      <c r="B2744" s="113" t="n"/>
      <c r="C2744" s="114" t="n"/>
      <c r="D2744" s="115" t="n"/>
      <c r="E2744" s="116" t="n"/>
      <c r="F2744" s="115" t="n"/>
      <c r="G2744" s="117">
        <f>IF(COUNTA(B2744:E2744)=0,"",IF(COUNTA(B2744:E2744)&lt;4,"⚠ กรอกไม่ครบ",IF(NOT(ISNUMBER(B2744)),"⚠ วันที่ไม่ถูกต้อง",IF(COUNTIFS(Setup!$L$6:$L$60,D2744,Setup!$M$6:$M$60,C2744)=0,"⚠ หมวดไม่ตรงประเภท","✓"))))</f>
        <v/>
      </c>
    </row>
    <row r="2745">
      <c r="B2745" s="113" t="n"/>
      <c r="C2745" s="114" t="n"/>
      <c r="D2745" s="115" t="n"/>
      <c r="E2745" s="116" t="n"/>
      <c r="F2745" s="115" t="n"/>
      <c r="G2745" s="117">
        <f>IF(COUNTA(B2745:E2745)=0,"",IF(COUNTA(B2745:E2745)&lt;4,"⚠ กรอกไม่ครบ",IF(NOT(ISNUMBER(B2745)),"⚠ วันที่ไม่ถูกต้อง",IF(COUNTIFS(Setup!$L$6:$L$60,D2745,Setup!$M$6:$M$60,C2745)=0,"⚠ หมวดไม่ตรงประเภท","✓"))))</f>
        <v/>
      </c>
    </row>
    <row r="2746">
      <c r="B2746" s="113" t="n"/>
      <c r="C2746" s="114" t="n"/>
      <c r="D2746" s="115" t="n"/>
      <c r="E2746" s="116" t="n"/>
      <c r="F2746" s="115" t="n"/>
      <c r="G2746" s="117">
        <f>IF(COUNTA(B2746:E2746)=0,"",IF(COUNTA(B2746:E2746)&lt;4,"⚠ กรอกไม่ครบ",IF(NOT(ISNUMBER(B2746)),"⚠ วันที่ไม่ถูกต้อง",IF(COUNTIFS(Setup!$L$6:$L$60,D2746,Setup!$M$6:$M$60,C2746)=0,"⚠ หมวดไม่ตรงประเภท","✓"))))</f>
        <v/>
      </c>
    </row>
    <row r="2747">
      <c r="B2747" s="113" t="n"/>
      <c r="C2747" s="114" t="n"/>
      <c r="D2747" s="115" t="n"/>
      <c r="E2747" s="116" t="n"/>
      <c r="F2747" s="115" t="n"/>
      <c r="G2747" s="117">
        <f>IF(COUNTA(B2747:E2747)=0,"",IF(COUNTA(B2747:E2747)&lt;4,"⚠ กรอกไม่ครบ",IF(NOT(ISNUMBER(B2747)),"⚠ วันที่ไม่ถูกต้อง",IF(COUNTIFS(Setup!$L$6:$L$60,D2747,Setup!$M$6:$M$60,C2747)=0,"⚠ หมวดไม่ตรงประเภท","✓"))))</f>
        <v/>
      </c>
    </row>
    <row r="2748">
      <c r="B2748" s="113" t="n"/>
      <c r="C2748" s="114" t="n"/>
      <c r="D2748" s="115" t="n"/>
      <c r="E2748" s="116" t="n"/>
      <c r="F2748" s="115" t="n"/>
      <c r="G2748" s="117">
        <f>IF(COUNTA(B2748:E2748)=0,"",IF(COUNTA(B2748:E2748)&lt;4,"⚠ กรอกไม่ครบ",IF(NOT(ISNUMBER(B2748)),"⚠ วันที่ไม่ถูกต้อง",IF(COUNTIFS(Setup!$L$6:$L$60,D2748,Setup!$M$6:$M$60,C2748)=0,"⚠ หมวดไม่ตรงประเภท","✓"))))</f>
        <v/>
      </c>
    </row>
    <row r="2749">
      <c r="B2749" s="113" t="n"/>
      <c r="C2749" s="114" t="n"/>
      <c r="D2749" s="115" t="n"/>
      <c r="E2749" s="116" t="n"/>
      <c r="F2749" s="115" t="n"/>
      <c r="G2749" s="117">
        <f>IF(COUNTA(B2749:E2749)=0,"",IF(COUNTA(B2749:E2749)&lt;4,"⚠ กรอกไม่ครบ",IF(NOT(ISNUMBER(B2749)),"⚠ วันที่ไม่ถูกต้อง",IF(COUNTIFS(Setup!$L$6:$L$60,D2749,Setup!$M$6:$M$60,C2749)=0,"⚠ หมวดไม่ตรงประเภท","✓"))))</f>
        <v/>
      </c>
    </row>
    <row r="2750">
      <c r="B2750" s="113" t="n"/>
      <c r="C2750" s="114" t="n"/>
      <c r="D2750" s="115" t="n"/>
      <c r="E2750" s="116" t="n"/>
      <c r="F2750" s="115" t="n"/>
      <c r="G2750" s="117">
        <f>IF(COUNTA(B2750:E2750)=0,"",IF(COUNTA(B2750:E2750)&lt;4,"⚠ กรอกไม่ครบ",IF(NOT(ISNUMBER(B2750)),"⚠ วันที่ไม่ถูกต้อง",IF(COUNTIFS(Setup!$L$6:$L$60,D2750,Setup!$M$6:$M$60,C2750)=0,"⚠ หมวดไม่ตรงประเภท","✓"))))</f>
        <v/>
      </c>
    </row>
    <row r="2751">
      <c r="B2751" s="113" t="n"/>
      <c r="C2751" s="114" t="n"/>
      <c r="D2751" s="115" t="n"/>
      <c r="E2751" s="116" t="n"/>
      <c r="F2751" s="115" t="n"/>
      <c r="G2751" s="117">
        <f>IF(COUNTA(B2751:E2751)=0,"",IF(COUNTA(B2751:E2751)&lt;4,"⚠ กรอกไม่ครบ",IF(NOT(ISNUMBER(B2751)),"⚠ วันที่ไม่ถูกต้อง",IF(COUNTIFS(Setup!$L$6:$L$60,D2751,Setup!$M$6:$M$60,C2751)=0,"⚠ หมวดไม่ตรงประเภท","✓"))))</f>
        <v/>
      </c>
    </row>
    <row r="2752">
      <c r="B2752" s="113" t="n"/>
      <c r="C2752" s="114" t="n"/>
      <c r="D2752" s="115" t="n"/>
      <c r="E2752" s="116" t="n"/>
      <c r="F2752" s="115" t="n"/>
      <c r="G2752" s="117">
        <f>IF(COUNTA(B2752:E2752)=0,"",IF(COUNTA(B2752:E2752)&lt;4,"⚠ กรอกไม่ครบ",IF(NOT(ISNUMBER(B2752)),"⚠ วันที่ไม่ถูกต้อง",IF(COUNTIFS(Setup!$L$6:$L$60,D2752,Setup!$M$6:$M$60,C2752)=0,"⚠ หมวดไม่ตรงประเภท","✓"))))</f>
        <v/>
      </c>
    </row>
    <row r="2753">
      <c r="B2753" s="113" t="n"/>
      <c r="C2753" s="114" t="n"/>
      <c r="D2753" s="115" t="n"/>
      <c r="E2753" s="116" t="n"/>
      <c r="F2753" s="115" t="n"/>
      <c r="G2753" s="117">
        <f>IF(COUNTA(B2753:E2753)=0,"",IF(COUNTA(B2753:E2753)&lt;4,"⚠ กรอกไม่ครบ",IF(NOT(ISNUMBER(B2753)),"⚠ วันที่ไม่ถูกต้อง",IF(COUNTIFS(Setup!$L$6:$L$60,D2753,Setup!$M$6:$M$60,C2753)=0,"⚠ หมวดไม่ตรงประเภท","✓"))))</f>
        <v/>
      </c>
    </row>
    <row r="2754">
      <c r="B2754" s="113" t="n"/>
      <c r="C2754" s="114" t="n"/>
      <c r="D2754" s="115" t="n"/>
      <c r="E2754" s="116" t="n"/>
      <c r="F2754" s="115" t="n"/>
      <c r="G2754" s="117">
        <f>IF(COUNTA(B2754:E2754)=0,"",IF(COUNTA(B2754:E2754)&lt;4,"⚠ กรอกไม่ครบ",IF(NOT(ISNUMBER(B2754)),"⚠ วันที่ไม่ถูกต้อง",IF(COUNTIFS(Setup!$L$6:$L$60,D2754,Setup!$M$6:$M$60,C2754)=0,"⚠ หมวดไม่ตรงประเภท","✓"))))</f>
        <v/>
      </c>
    </row>
    <row r="2755">
      <c r="B2755" s="113" t="n"/>
      <c r="C2755" s="114" t="n"/>
      <c r="D2755" s="115" t="n"/>
      <c r="E2755" s="116" t="n"/>
      <c r="F2755" s="115" t="n"/>
      <c r="G2755" s="117">
        <f>IF(COUNTA(B2755:E2755)=0,"",IF(COUNTA(B2755:E2755)&lt;4,"⚠ กรอกไม่ครบ",IF(NOT(ISNUMBER(B2755)),"⚠ วันที่ไม่ถูกต้อง",IF(COUNTIFS(Setup!$L$6:$L$60,D2755,Setup!$M$6:$M$60,C2755)=0,"⚠ หมวดไม่ตรงประเภท","✓"))))</f>
        <v/>
      </c>
    </row>
    <row r="2756">
      <c r="B2756" s="113" t="n"/>
      <c r="C2756" s="114" t="n"/>
      <c r="D2756" s="115" t="n"/>
      <c r="E2756" s="116" t="n"/>
      <c r="F2756" s="115" t="n"/>
      <c r="G2756" s="117">
        <f>IF(COUNTA(B2756:E2756)=0,"",IF(COUNTA(B2756:E2756)&lt;4,"⚠ กรอกไม่ครบ",IF(NOT(ISNUMBER(B2756)),"⚠ วันที่ไม่ถูกต้อง",IF(COUNTIFS(Setup!$L$6:$L$60,D2756,Setup!$M$6:$M$60,C2756)=0,"⚠ หมวดไม่ตรงประเภท","✓"))))</f>
        <v/>
      </c>
    </row>
    <row r="2757">
      <c r="B2757" s="113" t="n"/>
      <c r="C2757" s="114" t="n"/>
      <c r="D2757" s="115" t="n"/>
      <c r="E2757" s="116" t="n"/>
      <c r="F2757" s="115" t="n"/>
      <c r="G2757" s="117">
        <f>IF(COUNTA(B2757:E2757)=0,"",IF(COUNTA(B2757:E2757)&lt;4,"⚠ กรอกไม่ครบ",IF(NOT(ISNUMBER(B2757)),"⚠ วันที่ไม่ถูกต้อง",IF(COUNTIFS(Setup!$L$6:$L$60,D2757,Setup!$M$6:$M$60,C2757)=0,"⚠ หมวดไม่ตรงประเภท","✓"))))</f>
        <v/>
      </c>
    </row>
    <row r="2758">
      <c r="B2758" s="113" t="n"/>
      <c r="C2758" s="114" t="n"/>
      <c r="D2758" s="115" t="n"/>
      <c r="E2758" s="116" t="n"/>
      <c r="F2758" s="115" t="n"/>
      <c r="G2758" s="117">
        <f>IF(COUNTA(B2758:E2758)=0,"",IF(COUNTA(B2758:E2758)&lt;4,"⚠ กรอกไม่ครบ",IF(NOT(ISNUMBER(B2758)),"⚠ วันที่ไม่ถูกต้อง",IF(COUNTIFS(Setup!$L$6:$L$60,D2758,Setup!$M$6:$M$60,C2758)=0,"⚠ หมวดไม่ตรงประเภท","✓"))))</f>
        <v/>
      </c>
    </row>
    <row r="2759">
      <c r="B2759" s="113" t="n"/>
      <c r="C2759" s="114" t="n"/>
      <c r="D2759" s="115" t="n"/>
      <c r="E2759" s="116" t="n"/>
      <c r="F2759" s="115" t="n"/>
      <c r="G2759" s="117">
        <f>IF(COUNTA(B2759:E2759)=0,"",IF(COUNTA(B2759:E2759)&lt;4,"⚠ กรอกไม่ครบ",IF(NOT(ISNUMBER(B2759)),"⚠ วันที่ไม่ถูกต้อง",IF(COUNTIFS(Setup!$L$6:$L$60,D2759,Setup!$M$6:$M$60,C2759)=0,"⚠ หมวดไม่ตรงประเภท","✓"))))</f>
        <v/>
      </c>
    </row>
    <row r="2760">
      <c r="B2760" s="113" t="n"/>
      <c r="C2760" s="114" t="n"/>
      <c r="D2760" s="115" t="n"/>
      <c r="E2760" s="116" t="n"/>
      <c r="F2760" s="115" t="n"/>
      <c r="G2760" s="117">
        <f>IF(COUNTA(B2760:E2760)=0,"",IF(COUNTA(B2760:E2760)&lt;4,"⚠ กรอกไม่ครบ",IF(NOT(ISNUMBER(B2760)),"⚠ วันที่ไม่ถูกต้อง",IF(COUNTIFS(Setup!$L$6:$L$60,D2760,Setup!$M$6:$M$60,C2760)=0,"⚠ หมวดไม่ตรงประเภท","✓"))))</f>
        <v/>
      </c>
    </row>
    <row r="2761">
      <c r="B2761" s="113" t="n"/>
      <c r="C2761" s="114" t="n"/>
      <c r="D2761" s="115" t="n"/>
      <c r="E2761" s="116" t="n"/>
      <c r="F2761" s="115" t="n"/>
      <c r="G2761" s="117">
        <f>IF(COUNTA(B2761:E2761)=0,"",IF(COUNTA(B2761:E2761)&lt;4,"⚠ กรอกไม่ครบ",IF(NOT(ISNUMBER(B2761)),"⚠ วันที่ไม่ถูกต้อง",IF(COUNTIFS(Setup!$L$6:$L$60,D2761,Setup!$M$6:$M$60,C2761)=0,"⚠ หมวดไม่ตรงประเภท","✓"))))</f>
        <v/>
      </c>
    </row>
    <row r="2762">
      <c r="B2762" s="113" t="n"/>
      <c r="C2762" s="114" t="n"/>
      <c r="D2762" s="115" t="n"/>
      <c r="E2762" s="116" t="n"/>
      <c r="F2762" s="115" t="n"/>
      <c r="G2762" s="117">
        <f>IF(COUNTA(B2762:E2762)=0,"",IF(COUNTA(B2762:E2762)&lt;4,"⚠ กรอกไม่ครบ",IF(NOT(ISNUMBER(B2762)),"⚠ วันที่ไม่ถูกต้อง",IF(COUNTIFS(Setup!$L$6:$L$60,D2762,Setup!$M$6:$M$60,C2762)=0,"⚠ หมวดไม่ตรงประเภท","✓"))))</f>
        <v/>
      </c>
    </row>
    <row r="2763">
      <c r="B2763" s="113" t="n"/>
      <c r="C2763" s="114" t="n"/>
      <c r="D2763" s="115" t="n"/>
      <c r="E2763" s="116" t="n"/>
      <c r="F2763" s="115" t="n"/>
      <c r="G2763" s="117">
        <f>IF(COUNTA(B2763:E2763)=0,"",IF(COUNTA(B2763:E2763)&lt;4,"⚠ กรอกไม่ครบ",IF(NOT(ISNUMBER(B2763)),"⚠ วันที่ไม่ถูกต้อง",IF(COUNTIFS(Setup!$L$6:$L$60,D2763,Setup!$M$6:$M$60,C2763)=0,"⚠ หมวดไม่ตรงประเภท","✓"))))</f>
        <v/>
      </c>
    </row>
    <row r="2764">
      <c r="B2764" s="113" t="n"/>
      <c r="C2764" s="114" t="n"/>
      <c r="D2764" s="115" t="n"/>
      <c r="E2764" s="116" t="n"/>
      <c r="F2764" s="115" t="n"/>
      <c r="G2764" s="117">
        <f>IF(COUNTA(B2764:E2764)=0,"",IF(COUNTA(B2764:E2764)&lt;4,"⚠ กรอกไม่ครบ",IF(NOT(ISNUMBER(B2764)),"⚠ วันที่ไม่ถูกต้อง",IF(COUNTIFS(Setup!$L$6:$L$60,D2764,Setup!$M$6:$M$60,C2764)=0,"⚠ หมวดไม่ตรงประเภท","✓"))))</f>
        <v/>
      </c>
    </row>
    <row r="2765">
      <c r="B2765" s="113" t="n"/>
      <c r="C2765" s="114" t="n"/>
      <c r="D2765" s="115" t="n"/>
      <c r="E2765" s="116" t="n"/>
      <c r="F2765" s="115" t="n"/>
      <c r="G2765" s="117">
        <f>IF(COUNTA(B2765:E2765)=0,"",IF(COUNTA(B2765:E2765)&lt;4,"⚠ กรอกไม่ครบ",IF(NOT(ISNUMBER(B2765)),"⚠ วันที่ไม่ถูกต้อง",IF(COUNTIFS(Setup!$L$6:$L$60,D2765,Setup!$M$6:$M$60,C2765)=0,"⚠ หมวดไม่ตรงประเภท","✓"))))</f>
        <v/>
      </c>
    </row>
    <row r="2766">
      <c r="B2766" s="113" t="n"/>
      <c r="C2766" s="114" t="n"/>
      <c r="D2766" s="115" t="n"/>
      <c r="E2766" s="116" t="n"/>
      <c r="F2766" s="115" t="n"/>
      <c r="G2766" s="117">
        <f>IF(COUNTA(B2766:E2766)=0,"",IF(COUNTA(B2766:E2766)&lt;4,"⚠ กรอกไม่ครบ",IF(NOT(ISNUMBER(B2766)),"⚠ วันที่ไม่ถูกต้อง",IF(COUNTIFS(Setup!$L$6:$L$60,D2766,Setup!$M$6:$M$60,C2766)=0,"⚠ หมวดไม่ตรงประเภท","✓"))))</f>
        <v/>
      </c>
    </row>
    <row r="2767">
      <c r="B2767" s="113" t="n"/>
      <c r="C2767" s="114" t="n"/>
      <c r="D2767" s="115" t="n"/>
      <c r="E2767" s="116" t="n"/>
      <c r="F2767" s="115" t="n"/>
      <c r="G2767" s="117">
        <f>IF(COUNTA(B2767:E2767)=0,"",IF(COUNTA(B2767:E2767)&lt;4,"⚠ กรอกไม่ครบ",IF(NOT(ISNUMBER(B2767)),"⚠ วันที่ไม่ถูกต้อง",IF(COUNTIFS(Setup!$L$6:$L$60,D2767,Setup!$M$6:$M$60,C2767)=0,"⚠ หมวดไม่ตรงประเภท","✓"))))</f>
        <v/>
      </c>
    </row>
    <row r="2768">
      <c r="B2768" s="113" t="n"/>
      <c r="C2768" s="114" t="n"/>
      <c r="D2768" s="115" t="n"/>
      <c r="E2768" s="116" t="n"/>
      <c r="F2768" s="115" t="n"/>
      <c r="G2768" s="117">
        <f>IF(COUNTA(B2768:E2768)=0,"",IF(COUNTA(B2768:E2768)&lt;4,"⚠ กรอกไม่ครบ",IF(NOT(ISNUMBER(B2768)),"⚠ วันที่ไม่ถูกต้อง",IF(COUNTIFS(Setup!$L$6:$L$60,D2768,Setup!$M$6:$M$60,C2768)=0,"⚠ หมวดไม่ตรงประเภท","✓"))))</f>
        <v/>
      </c>
    </row>
    <row r="2769">
      <c r="B2769" s="113" t="n"/>
      <c r="C2769" s="114" t="n"/>
      <c r="D2769" s="115" t="n"/>
      <c r="E2769" s="116" t="n"/>
      <c r="F2769" s="115" t="n"/>
      <c r="G2769" s="117">
        <f>IF(COUNTA(B2769:E2769)=0,"",IF(COUNTA(B2769:E2769)&lt;4,"⚠ กรอกไม่ครบ",IF(NOT(ISNUMBER(B2769)),"⚠ วันที่ไม่ถูกต้อง",IF(COUNTIFS(Setup!$L$6:$L$60,D2769,Setup!$M$6:$M$60,C2769)=0,"⚠ หมวดไม่ตรงประเภท","✓"))))</f>
        <v/>
      </c>
    </row>
    <row r="2770">
      <c r="B2770" s="113" t="n"/>
      <c r="C2770" s="114" t="n"/>
      <c r="D2770" s="115" t="n"/>
      <c r="E2770" s="116" t="n"/>
      <c r="F2770" s="115" t="n"/>
      <c r="G2770" s="117">
        <f>IF(COUNTA(B2770:E2770)=0,"",IF(COUNTA(B2770:E2770)&lt;4,"⚠ กรอกไม่ครบ",IF(NOT(ISNUMBER(B2770)),"⚠ วันที่ไม่ถูกต้อง",IF(COUNTIFS(Setup!$L$6:$L$60,D2770,Setup!$M$6:$M$60,C2770)=0,"⚠ หมวดไม่ตรงประเภท","✓"))))</f>
        <v/>
      </c>
    </row>
    <row r="2771">
      <c r="B2771" s="113" t="n"/>
      <c r="C2771" s="114" t="n"/>
      <c r="D2771" s="115" t="n"/>
      <c r="E2771" s="116" t="n"/>
      <c r="F2771" s="115" t="n"/>
      <c r="G2771" s="117">
        <f>IF(COUNTA(B2771:E2771)=0,"",IF(COUNTA(B2771:E2771)&lt;4,"⚠ กรอกไม่ครบ",IF(NOT(ISNUMBER(B2771)),"⚠ วันที่ไม่ถูกต้อง",IF(COUNTIFS(Setup!$L$6:$L$60,D2771,Setup!$M$6:$M$60,C2771)=0,"⚠ หมวดไม่ตรงประเภท","✓"))))</f>
        <v/>
      </c>
    </row>
    <row r="2772">
      <c r="B2772" s="113" t="n"/>
      <c r="C2772" s="114" t="n"/>
      <c r="D2772" s="115" t="n"/>
      <c r="E2772" s="116" t="n"/>
      <c r="F2772" s="115" t="n"/>
      <c r="G2772" s="117">
        <f>IF(COUNTA(B2772:E2772)=0,"",IF(COUNTA(B2772:E2772)&lt;4,"⚠ กรอกไม่ครบ",IF(NOT(ISNUMBER(B2772)),"⚠ วันที่ไม่ถูกต้อง",IF(COUNTIFS(Setup!$L$6:$L$60,D2772,Setup!$M$6:$M$60,C2772)=0,"⚠ หมวดไม่ตรงประเภท","✓"))))</f>
        <v/>
      </c>
    </row>
    <row r="2773">
      <c r="B2773" s="113" t="n"/>
      <c r="C2773" s="114" t="n"/>
      <c r="D2773" s="115" t="n"/>
      <c r="E2773" s="116" t="n"/>
      <c r="F2773" s="115" t="n"/>
      <c r="G2773" s="117">
        <f>IF(COUNTA(B2773:E2773)=0,"",IF(COUNTA(B2773:E2773)&lt;4,"⚠ กรอกไม่ครบ",IF(NOT(ISNUMBER(B2773)),"⚠ วันที่ไม่ถูกต้อง",IF(COUNTIFS(Setup!$L$6:$L$60,D2773,Setup!$M$6:$M$60,C2773)=0,"⚠ หมวดไม่ตรงประเภท","✓"))))</f>
        <v/>
      </c>
    </row>
    <row r="2774">
      <c r="B2774" s="113" t="n"/>
      <c r="C2774" s="114" t="n"/>
      <c r="D2774" s="115" t="n"/>
      <c r="E2774" s="116" t="n"/>
      <c r="F2774" s="115" t="n"/>
      <c r="G2774" s="117">
        <f>IF(COUNTA(B2774:E2774)=0,"",IF(COUNTA(B2774:E2774)&lt;4,"⚠ กรอกไม่ครบ",IF(NOT(ISNUMBER(B2774)),"⚠ วันที่ไม่ถูกต้อง",IF(COUNTIFS(Setup!$L$6:$L$60,D2774,Setup!$M$6:$M$60,C2774)=0,"⚠ หมวดไม่ตรงประเภท","✓"))))</f>
        <v/>
      </c>
    </row>
    <row r="2775">
      <c r="B2775" s="113" t="n"/>
      <c r="C2775" s="114" t="n"/>
      <c r="D2775" s="115" t="n"/>
      <c r="E2775" s="116" t="n"/>
      <c r="F2775" s="115" t="n"/>
      <c r="G2775" s="117">
        <f>IF(COUNTA(B2775:E2775)=0,"",IF(COUNTA(B2775:E2775)&lt;4,"⚠ กรอกไม่ครบ",IF(NOT(ISNUMBER(B2775)),"⚠ วันที่ไม่ถูกต้อง",IF(COUNTIFS(Setup!$L$6:$L$60,D2775,Setup!$M$6:$M$60,C2775)=0,"⚠ หมวดไม่ตรงประเภท","✓"))))</f>
        <v/>
      </c>
    </row>
    <row r="2776">
      <c r="B2776" s="113" t="n"/>
      <c r="C2776" s="114" t="n"/>
      <c r="D2776" s="115" t="n"/>
      <c r="E2776" s="116" t="n"/>
      <c r="F2776" s="115" t="n"/>
      <c r="G2776" s="117">
        <f>IF(COUNTA(B2776:E2776)=0,"",IF(COUNTA(B2776:E2776)&lt;4,"⚠ กรอกไม่ครบ",IF(NOT(ISNUMBER(B2776)),"⚠ วันที่ไม่ถูกต้อง",IF(COUNTIFS(Setup!$L$6:$L$60,D2776,Setup!$M$6:$M$60,C2776)=0,"⚠ หมวดไม่ตรงประเภท","✓"))))</f>
        <v/>
      </c>
    </row>
    <row r="2777">
      <c r="B2777" s="113" t="n"/>
      <c r="C2777" s="114" t="n"/>
      <c r="D2777" s="115" t="n"/>
      <c r="E2777" s="116" t="n"/>
      <c r="F2777" s="115" t="n"/>
      <c r="G2777" s="117">
        <f>IF(COUNTA(B2777:E2777)=0,"",IF(COUNTA(B2777:E2777)&lt;4,"⚠ กรอกไม่ครบ",IF(NOT(ISNUMBER(B2777)),"⚠ วันที่ไม่ถูกต้อง",IF(COUNTIFS(Setup!$L$6:$L$60,D2777,Setup!$M$6:$M$60,C2777)=0,"⚠ หมวดไม่ตรงประเภท","✓"))))</f>
        <v/>
      </c>
    </row>
    <row r="2778">
      <c r="B2778" s="113" t="n"/>
      <c r="C2778" s="114" t="n"/>
      <c r="D2778" s="115" t="n"/>
      <c r="E2778" s="116" t="n"/>
      <c r="F2778" s="115" t="n"/>
      <c r="G2778" s="117">
        <f>IF(COUNTA(B2778:E2778)=0,"",IF(COUNTA(B2778:E2778)&lt;4,"⚠ กรอกไม่ครบ",IF(NOT(ISNUMBER(B2778)),"⚠ วันที่ไม่ถูกต้อง",IF(COUNTIFS(Setup!$L$6:$L$60,D2778,Setup!$M$6:$M$60,C2778)=0,"⚠ หมวดไม่ตรงประเภท","✓"))))</f>
        <v/>
      </c>
    </row>
    <row r="2779">
      <c r="B2779" s="113" t="n"/>
      <c r="C2779" s="114" t="n"/>
      <c r="D2779" s="115" t="n"/>
      <c r="E2779" s="116" t="n"/>
      <c r="F2779" s="115" t="n"/>
      <c r="G2779" s="117">
        <f>IF(COUNTA(B2779:E2779)=0,"",IF(COUNTA(B2779:E2779)&lt;4,"⚠ กรอกไม่ครบ",IF(NOT(ISNUMBER(B2779)),"⚠ วันที่ไม่ถูกต้อง",IF(COUNTIFS(Setup!$L$6:$L$60,D2779,Setup!$M$6:$M$60,C2779)=0,"⚠ หมวดไม่ตรงประเภท","✓"))))</f>
        <v/>
      </c>
    </row>
    <row r="2780">
      <c r="B2780" s="113" t="n"/>
      <c r="C2780" s="114" t="n"/>
      <c r="D2780" s="115" t="n"/>
      <c r="E2780" s="116" t="n"/>
      <c r="F2780" s="115" t="n"/>
      <c r="G2780" s="117">
        <f>IF(COUNTA(B2780:E2780)=0,"",IF(COUNTA(B2780:E2780)&lt;4,"⚠ กรอกไม่ครบ",IF(NOT(ISNUMBER(B2780)),"⚠ วันที่ไม่ถูกต้อง",IF(COUNTIFS(Setup!$L$6:$L$60,D2780,Setup!$M$6:$M$60,C2780)=0,"⚠ หมวดไม่ตรงประเภท","✓"))))</f>
        <v/>
      </c>
    </row>
    <row r="2781">
      <c r="B2781" s="113" t="n"/>
      <c r="C2781" s="114" t="n"/>
      <c r="D2781" s="115" t="n"/>
      <c r="E2781" s="116" t="n"/>
      <c r="F2781" s="115" t="n"/>
      <c r="G2781" s="117">
        <f>IF(COUNTA(B2781:E2781)=0,"",IF(COUNTA(B2781:E2781)&lt;4,"⚠ กรอกไม่ครบ",IF(NOT(ISNUMBER(B2781)),"⚠ วันที่ไม่ถูกต้อง",IF(COUNTIFS(Setup!$L$6:$L$60,D2781,Setup!$M$6:$M$60,C2781)=0,"⚠ หมวดไม่ตรงประเภท","✓"))))</f>
        <v/>
      </c>
    </row>
    <row r="2782">
      <c r="B2782" s="113" t="n"/>
      <c r="C2782" s="114" t="n"/>
      <c r="D2782" s="115" t="n"/>
      <c r="E2782" s="116" t="n"/>
      <c r="F2782" s="115" t="n"/>
      <c r="G2782" s="117">
        <f>IF(COUNTA(B2782:E2782)=0,"",IF(COUNTA(B2782:E2782)&lt;4,"⚠ กรอกไม่ครบ",IF(NOT(ISNUMBER(B2782)),"⚠ วันที่ไม่ถูกต้อง",IF(COUNTIFS(Setup!$L$6:$L$60,D2782,Setup!$M$6:$M$60,C2782)=0,"⚠ หมวดไม่ตรงประเภท","✓"))))</f>
        <v/>
      </c>
    </row>
    <row r="2783">
      <c r="B2783" s="113" t="n"/>
      <c r="C2783" s="114" t="n"/>
      <c r="D2783" s="115" t="n"/>
      <c r="E2783" s="116" t="n"/>
      <c r="F2783" s="115" t="n"/>
      <c r="G2783" s="117">
        <f>IF(COUNTA(B2783:E2783)=0,"",IF(COUNTA(B2783:E2783)&lt;4,"⚠ กรอกไม่ครบ",IF(NOT(ISNUMBER(B2783)),"⚠ วันที่ไม่ถูกต้อง",IF(COUNTIFS(Setup!$L$6:$L$60,D2783,Setup!$M$6:$M$60,C2783)=0,"⚠ หมวดไม่ตรงประเภท","✓"))))</f>
        <v/>
      </c>
    </row>
    <row r="2784">
      <c r="B2784" s="113" t="n"/>
      <c r="C2784" s="114" t="n"/>
      <c r="D2784" s="115" t="n"/>
      <c r="E2784" s="116" t="n"/>
      <c r="F2784" s="115" t="n"/>
      <c r="G2784" s="117">
        <f>IF(COUNTA(B2784:E2784)=0,"",IF(COUNTA(B2784:E2784)&lt;4,"⚠ กรอกไม่ครบ",IF(NOT(ISNUMBER(B2784)),"⚠ วันที่ไม่ถูกต้อง",IF(COUNTIFS(Setup!$L$6:$L$60,D2784,Setup!$M$6:$M$60,C2784)=0,"⚠ หมวดไม่ตรงประเภท","✓"))))</f>
        <v/>
      </c>
    </row>
    <row r="2785">
      <c r="B2785" s="113" t="n"/>
      <c r="C2785" s="114" t="n"/>
      <c r="D2785" s="115" t="n"/>
      <c r="E2785" s="116" t="n"/>
      <c r="F2785" s="115" t="n"/>
      <c r="G2785" s="117">
        <f>IF(COUNTA(B2785:E2785)=0,"",IF(COUNTA(B2785:E2785)&lt;4,"⚠ กรอกไม่ครบ",IF(NOT(ISNUMBER(B2785)),"⚠ วันที่ไม่ถูกต้อง",IF(COUNTIFS(Setup!$L$6:$L$60,D2785,Setup!$M$6:$M$60,C2785)=0,"⚠ หมวดไม่ตรงประเภท","✓"))))</f>
        <v/>
      </c>
    </row>
    <row r="2786">
      <c r="B2786" s="113" t="n"/>
      <c r="C2786" s="114" t="n"/>
      <c r="D2786" s="115" t="n"/>
      <c r="E2786" s="116" t="n"/>
      <c r="F2786" s="115" t="n"/>
      <c r="G2786" s="117">
        <f>IF(COUNTA(B2786:E2786)=0,"",IF(COUNTA(B2786:E2786)&lt;4,"⚠ กรอกไม่ครบ",IF(NOT(ISNUMBER(B2786)),"⚠ วันที่ไม่ถูกต้อง",IF(COUNTIFS(Setup!$L$6:$L$60,D2786,Setup!$M$6:$M$60,C2786)=0,"⚠ หมวดไม่ตรงประเภท","✓"))))</f>
        <v/>
      </c>
    </row>
    <row r="2787">
      <c r="B2787" s="113" t="n"/>
      <c r="C2787" s="114" t="n"/>
      <c r="D2787" s="115" t="n"/>
      <c r="E2787" s="116" t="n"/>
      <c r="F2787" s="115" t="n"/>
      <c r="G2787" s="117">
        <f>IF(COUNTA(B2787:E2787)=0,"",IF(COUNTA(B2787:E2787)&lt;4,"⚠ กรอกไม่ครบ",IF(NOT(ISNUMBER(B2787)),"⚠ วันที่ไม่ถูกต้อง",IF(COUNTIFS(Setup!$L$6:$L$60,D2787,Setup!$M$6:$M$60,C2787)=0,"⚠ หมวดไม่ตรงประเภท","✓"))))</f>
        <v/>
      </c>
    </row>
    <row r="2788">
      <c r="B2788" s="113" t="n"/>
      <c r="C2788" s="114" t="n"/>
      <c r="D2788" s="115" t="n"/>
      <c r="E2788" s="116" t="n"/>
      <c r="F2788" s="115" t="n"/>
      <c r="G2788" s="117">
        <f>IF(COUNTA(B2788:E2788)=0,"",IF(COUNTA(B2788:E2788)&lt;4,"⚠ กรอกไม่ครบ",IF(NOT(ISNUMBER(B2788)),"⚠ วันที่ไม่ถูกต้อง",IF(COUNTIFS(Setup!$L$6:$L$60,D2788,Setup!$M$6:$M$60,C2788)=0,"⚠ หมวดไม่ตรงประเภท","✓"))))</f>
        <v/>
      </c>
    </row>
    <row r="2789">
      <c r="B2789" s="113" t="n"/>
      <c r="C2789" s="114" t="n"/>
      <c r="D2789" s="115" t="n"/>
      <c r="E2789" s="116" t="n"/>
      <c r="F2789" s="115" t="n"/>
      <c r="G2789" s="117">
        <f>IF(COUNTA(B2789:E2789)=0,"",IF(COUNTA(B2789:E2789)&lt;4,"⚠ กรอกไม่ครบ",IF(NOT(ISNUMBER(B2789)),"⚠ วันที่ไม่ถูกต้อง",IF(COUNTIFS(Setup!$L$6:$L$60,D2789,Setup!$M$6:$M$60,C2789)=0,"⚠ หมวดไม่ตรงประเภท","✓"))))</f>
        <v/>
      </c>
    </row>
    <row r="2790">
      <c r="B2790" s="113" t="n"/>
      <c r="C2790" s="114" t="n"/>
      <c r="D2790" s="115" t="n"/>
      <c r="E2790" s="116" t="n"/>
      <c r="F2790" s="115" t="n"/>
      <c r="G2790" s="117">
        <f>IF(COUNTA(B2790:E2790)=0,"",IF(COUNTA(B2790:E2790)&lt;4,"⚠ กรอกไม่ครบ",IF(NOT(ISNUMBER(B2790)),"⚠ วันที่ไม่ถูกต้อง",IF(COUNTIFS(Setup!$L$6:$L$60,D2790,Setup!$M$6:$M$60,C2790)=0,"⚠ หมวดไม่ตรงประเภท","✓"))))</f>
        <v/>
      </c>
    </row>
    <row r="2791">
      <c r="B2791" s="113" t="n"/>
      <c r="C2791" s="114" t="n"/>
      <c r="D2791" s="115" t="n"/>
      <c r="E2791" s="116" t="n"/>
      <c r="F2791" s="115" t="n"/>
      <c r="G2791" s="117">
        <f>IF(COUNTA(B2791:E2791)=0,"",IF(COUNTA(B2791:E2791)&lt;4,"⚠ กรอกไม่ครบ",IF(NOT(ISNUMBER(B2791)),"⚠ วันที่ไม่ถูกต้อง",IF(COUNTIFS(Setup!$L$6:$L$60,D2791,Setup!$M$6:$M$60,C2791)=0,"⚠ หมวดไม่ตรงประเภท","✓"))))</f>
        <v/>
      </c>
    </row>
    <row r="2792">
      <c r="B2792" s="113" t="n"/>
      <c r="C2792" s="114" t="n"/>
      <c r="D2792" s="115" t="n"/>
      <c r="E2792" s="116" t="n"/>
      <c r="F2792" s="115" t="n"/>
      <c r="G2792" s="117">
        <f>IF(COUNTA(B2792:E2792)=0,"",IF(COUNTA(B2792:E2792)&lt;4,"⚠ กรอกไม่ครบ",IF(NOT(ISNUMBER(B2792)),"⚠ วันที่ไม่ถูกต้อง",IF(COUNTIFS(Setup!$L$6:$L$60,D2792,Setup!$M$6:$M$60,C2792)=0,"⚠ หมวดไม่ตรงประเภท","✓"))))</f>
        <v/>
      </c>
    </row>
    <row r="2793">
      <c r="B2793" s="113" t="n"/>
      <c r="C2793" s="114" t="n"/>
      <c r="D2793" s="115" t="n"/>
      <c r="E2793" s="116" t="n"/>
      <c r="F2793" s="115" t="n"/>
      <c r="G2793" s="117">
        <f>IF(COUNTA(B2793:E2793)=0,"",IF(COUNTA(B2793:E2793)&lt;4,"⚠ กรอกไม่ครบ",IF(NOT(ISNUMBER(B2793)),"⚠ วันที่ไม่ถูกต้อง",IF(COUNTIFS(Setup!$L$6:$L$60,D2793,Setup!$M$6:$M$60,C2793)=0,"⚠ หมวดไม่ตรงประเภท","✓"))))</f>
        <v/>
      </c>
    </row>
    <row r="2794">
      <c r="B2794" s="113" t="n"/>
      <c r="C2794" s="114" t="n"/>
      <c r="D2794" s="115" t="n"/>
      <c r="E2794" s="116" t="n"/>
      <c r="F2794" s="115" t="n"/>
      <c r="G2794" s="117">
        <f>IF(COUNTA(B2794:E2794)=0,"",IF(COUNTA(B2794:E2794)&lt;4,"⚠ กรอกไม่ครบ",IF(NOT(ISNUMBER(B2794)),"⚠ วันที่ไม่ถูกต้อง",IF(COUNTIFS(Setup!$L$6:$L$60,D2794,Setup!$M$6:$M$60,C2794)=0,"⚠ หมวดไม่ตรงประเภท","✓"))))</f>
        <v/>
      </c>
    </row>
    <row r="2795">
      <c r="B2795" s="113" t="n"/>
      <c r="C2795" s="114" t="n"/>
      <c r="D2795" s="115" t="n"/>
      <c r="E2795" s="116" t="n"/>
      <c r="F2795" s="115" t="n"/>
      <c r="G2795" s="117">
        <f>IF(COUNTA(B2795:E2795)=0,"",IF(COUNTA(B2795:E2795)&lt;4,"⚠ กรอกไม่ครบ",IF(NOT(ISNUMBER(B2795)),"⚠ วันที่ไม่ถูกต้อง",IF(COUNTIFS(Setup!$L$6:$L$60,D2795,Setup!$M$6:$M$60,C2795)=0,"⚠ หมวดไม่ตรงประเภท","✓"))))</f>
        <v/>
      </c>
    </row>
    <row r="2796">
      <c r="B2796" s="113" t="n"/>
      <c r="C2796" s="114" t="n"/>
      <c r="D2796" s="115" t="n"/>
      <c r="E2796" s="116" t="n"/>
      <c r="F2796" s="115" t="n"/>
      <c r="G2796" s="117">
        <f>IF(COUNTA(B2796:E2796)=0,"",IF(COUNTA(B2796:E2796)&lt;4,"⚠ กรอกไม่ครบ",IF(NOT(ISNUMBER(B2796)),"⚠ วันที่ไม่ถูกต้อง",IF(COUNTIFS(Setup!$L$6:$L$60,D2796,Setup!$M$6:$M$60,C2796)=0,"⚠ หมวดไม่ตรงประเภท","✓"))))</f>
        <v/>
      </c>
    </row>
    <row r="2797">
      <c r="B2797" s="113" t="n"/>
      <c r="C2797" s="114" t="n"/>
      <c r="D2797" s="115" t="n"/>
      <c r="E2797" s="116" t="n"/>
      <c r="F2797" s="115" t="n"/>
      <c r="G2797" s="117">
        <f>IF(COUNTA(B2797:E2797)=0,"",IF(COUNTA(B2797:E2797)&lt;4,"⚠ กรอกไม่ครบ",IF(NOT(ISNUMBER(B2797)),"⚠ วันที่ไม่ถูกต้อง",IF(COUNTIFS(Setup!$L$6:$L$60,D2797,Setup!$M$6:$M$60,C2797)=0,"⚠ หมวดไม่ตรงประเภท","✓"))))</f>
        <v/>
      </c>
    </row>
    <row r="2798">
      <c r="B2798" s="113" t="n"/>
      <c r="C2798" s="114" t="n"/>
      <c r="D2798" s="115" t="n"/>
      <c r="E2798" s="116" t="n"/>
      <c r="F2798" s="115" t="n"/>
      <c r="G2798" s="117">
        <f>IF(COUNTA(B2798:E2798)=0,"",IF(COUNTA(B2798:E2798)&lt;4,"⚠ กรอกไม่ครบ",IF(NOT(ISNUMBER(B2798)),"⚠ วันที่ไม่ถูกต้อง",IF(COUNTIFS(Setup!$L$6:$L$60,D2798,Setup!$M$6:$M$60,C2798)=0,"⚠ หมวดไม่ตรงประเภท","✓"))))</f>
        <v/>
      </c>
    </row>
    <row r="2799">
      <c r="B2799" s="113" t="n"/>
      <c r="C2799" s="114" t="n"/>
      <c r="D2799" s="115" t="n"/>
      <c r="E2799" s="116" t="n"/>
      <c r="F2799" s="115" t="n"/>
      <c r="G2799" s="117">
        <f>IF(COUNTA(B2799:E2799)=0,"",IF(COUNTA(B2799:E2799)&lt;4,"⚠ กรอกไม่ครบ",IF(NOT(ISNUMBER(B2799)),"⚠ วันที่ไม่ถูกต้อง",IF(COUNTIFS(Setup!$L$6:$L$60,D2799,Setup!$M$6:$M$60,C2799)=0,"⚠ หมวดไม่ตรงประเภท","✓"))))</f>
        <v/>
      </c>
    </row>
    <row r="2800">
      <c r="B2800" s="113" t="n"/>
      <c r="C2800" s="114" t="n"/>
      <c r="D2800" s="115" t="n"/>
      <c r="E2800" s="116" t="n"/>
      <c r="F2800" s="115" t="n"/>
      <c r="G2800" s="117">
        <f>IF(COUNTA(B2800:E2800)=0,"",IF(COUNTA(B2800:E2800)&lt;4,"⚠ กรอกไม่ครบ",IF(NOT(ISNUMBER(B2800)),"⚠ วันที่ไม่ถูกต้อง",IF(COUNTIFS(Setup!$L$6:$L$60,D2800,Setup!$M$6:$M$60,C2800)=0,"⚠ หมวดไม่ตรงประเภท","✓"))))</f>
        <v/>
      </c>
    </row>
    <row r="2801">
      <c r="B2801" s="113" t="n"/>
      <c r="C2801" s="114" t="n"/>
      <c r="D2801" s="115" t="n"/>
      <c r="E2801" s="116" t="n"/>
      <c r="F2801" s="115" t="n"/>
      <c r="G2801" s="117">
        <f>IF(COUNTA(B2801:E2801)=0,"",IF(COUNTA(B2801:E2801)&lt;4,"⚠ กรอกไม่ครบ",IF(NOT(ISNUMBER(B2801)),"⚠ วันที่ไม่ถูกต้อง",IF(COUNTIFS(Setup!$L$6:$L$60,D2801,Setup!$M$6:$M$60,C2801)=0,"⚠ หมวดไม่ตรงประเภท","✓"))))</f>
        <v/>
      </c>
    </row>
    <row r="2802">
      <c r="B2802" s="113" t="n"/>
      <c r="C2802" s="114" t="n"/>
      <c r="D2802" s="115" t="n"/>
      <c r="E2802" s="116" t="n"/>
      <c r="F2802" s="115" t="n"/>
      <c r="G2802" s="117">
        <f>IF(COUNTA(B2802:E2802)=0,"",IF(COUNTA(B2802:E2802)&lt;4,"⚠ กรอกไม่ครบ",IF(NOT(ISNUMBER(B2802)),"⚠ วันที่ไม่ถูกต้อง",IF(COUNTIFS(Setup!$L$6:$L$60,D2802,Setup!$M$6:$M$60,C2802)=0,"⚠ หมวดไม่ตรงประเภท","✓"))))</f>
        <v/>
      </c>
    </row>
    <row r="2803">
      <c r="B2803" s="113" t="n"/>
      <c r="C2803" s="114" t="n"/>
      <c r="D2803" s="115" t="n"/>
      <c r="E2803" s="116" t="n"/>
      <c r="F2803" s="115" t="n"/>
      <c r="G2803" s="117">
        <f>IF(COUNTA(B2803:E2803)=0,"",IF(COUNTA(B2803:E2803)&lt;4,"⚠ กรอกไม่ครบ",IF(NOT(ISNUMBER(B2803)),"⚠ วันที่ไม่ถูกต้อง",IF(COUNTIFS(Setup!$L$6:$L$60,D2803,Setup!$M$6:$M$60,C2803)=0,"⚠ หมวดไม่ตรงประเภท","✓"))))</f>
        <v/>
      </c>
    </row>
    <row r="2804">
      <c r="B2804" s="113" t="n"/>
      <c r="C2804" s="114" t="n"/>
      <c r="D2804" s="115" t="n"/>
      <c r="E2804" s="116" t="n"/>
      <c r="F2804" s="115" t="n"/>
      <c r="G2804" s="117">
        <f>IF(COUNTA(B2804:E2804)=0,"",IF(COUNTA(B2804:E2804)&lt;4,"⚠ กรอกไม่ครบ",IF(NOT(ISNUMBER(B2804)),"⚠ วันที่ไม่ถูกต้อง",IF(COUNTIFS(Setup!$L$6:$L$60,D2804,Setup!$M$6:$M$60,C2804)=0,"⚠ หมวดไม่ตรงประเภท","✓"))))</f>
        <v/>
      </c>
    </row>
    <row r="2805">
      <c r="B2805" s="113" t="n"/>
      <c r="C2805" s="114" t="n"/>
      <c r="D2805" s="115" t="n"/>
      <c r="E2805" s="116" t="n"/>
      <c r="F2805" s="115" t="n"/>
      <c r="G2805" s="117">
        <f>IF(COUNTA(B2805:E2805)=0,"",IF(COUNTA(B2805:E2805)&lt;4,"⚠ กรอกไม่ครบ",IF(NOT(ISNUMBER(B2805)),"⚠ วันที่ไม่ถูกต้อง",IF(COUNTIFS(Setup!$L$6:$L$60,D2805,Setup!$M$6:$M$60,C2805)=0,"⚠ หมวดไม่ตรงประเภท","✓"))))</f>
        <v/>
      </c>
    </row>
    <row r="2806">
      <c r="B2806" s="113" t="n"/>
      <c r="C2806" s="114" t="n"/>
      <c r="D2806" s="115" t="n"/>
      <c r="E2806" s="116" t="n"/>
      <c r="F2806" s="115" t="n"/>
      <c r="G2806" s="117">
        <f>IF(COUNTA(B2806:E2806)=0,"",IF(COUNTA(B2806:E2806)&lt;4,"⚠ กรอกไม่ครบ",IF(NOT(ISNUMBER(B2806)),"⚠ วันที่ไม่ถูกต้อง",IF(COUNTIFS(Setup!$L$6:$L$60,D2806,Setup!$M$6:$M$60,C2806)=0,"⚠ หมวดไม่ตรงประเภท","✓"))))</f>
        <v/>
      </c>
    </row>
    <row r="2807">
      <c r="B2807" s="113" t="n"/>
      <c r="C2807" s="114" t="n"/>
      <c r="D2807" s="115" t="n"/>
      <c r="E2807" s="116" t="n"/>
      <c r="F2807" s="115" t="n"/>
      <c r="G2807" s="117">
        <f>IF(COUNTA(B2807:E2807)=0,"",IF(COUNTA(B2807:E2807)&lt;4,"⚠ กรอกไม่ครบ",IF(NOT(ISNUMBER(B2807)),"⚠ วันที่ไม่ถูกต้อง",IF(COUNTIFS(Setup!$L$6:$L$60,D2807,Setup!$M$6:$M$60,C2807)=0,"⚠ หมวดไม่ตรงประเภท","✓"))))</f>
        <v/>
      </c>
    </row>
    <row r="2808">
      <c r="B2808" s="113" t="n"/>
      <c r="C2808" s="114" t="n"/>
      <c r="D2808" s="115" t="n"/>
      <c r="E2808" s="116" t="n"/>
      <c r="F2808" s="115" t="n"/>
      <c r="G2808" s="117">
        <f>IF(COUNTA(B2808:E2808)=0,"",IF(COUNTA(B2808:E2808)&lt;4,"⚠ กรอกไม่ครบ",IF(NOT(ISNUMBER(B2808)),"⚠ วันที่ไม่ถูกต้อง",IF(COUNTIFS(Setup!$L$6:$L$60,D2808,Setup!$M$6:$M$60,C2808)=0,"⚠ หมวดไม่ตรงประเภท","✓"))))</f>
        <v/>
      </c>
    </row>
    <row r="2809">
      <c r="B2809" s="113" t="n"/>
      <c r="C2809" s="114" t="n"/>
      <c r="D2809" s="115" t="n"/>
      <c r="E2809" s="116" t="n"/>
      <c r="F2809" s="115" t="n"/>
      <c r="G2809" s="117">
        <f>IF(COUNTA(B2809:E2809)=0,"",IF(COUNTA(B2809:E2809)&lt;4,"⚠ กรอกไม่ครบ",IF(NOT(ISNUMBER(B2809)),"⚠ วันที่ไม่ถูกต้อง",IF(COUNTIFS(Setup!$L$6:$L$60,D2809,Setup!$M$6:$M$60,C2809)=0,"⚠ หมวดไม่ตรงประเภท","✓"))))</f>
        <v/>
      </c>
    </row>
    <row r="2810">
      <c r="B2810" s="113" t="n"/>
      <c r="C2810" s="114" t="n"/>
      <c r="D2810" s="115" t="n"/>
      <c r="E2810" s="116" t="n"/>
      <c r="F2810" s="115" t="n"/>
      <c r="G2810" s="117">
        <f>IF(COUNTA(B2810:E2810)=0,"",IF(COUNTA(B2810:E2810)&lt;4,"⚠ กรอกไม่ครบ",IF(NOT(ISNUMBER(B2810)),"⚠ วันที่ไม่ถูกต้อง",IF(COUNTIFS(Setup!$L$6:$L$60,D2810,Setup!$M$6:$M$60,C2810)=0,"⚠ หมวดไม่ตรงประเภท","✓"))))</f>
        <v/>
      </c>
    </row>
    <row r="2811">
      <c r="B2811" s="113" t="n"/>
      <c r="C2811" s="114" t="n"/>
      <c r="D2811" s="115" t="n"/>
      <c r="E2811" s="116" t="n"/>
      <c r="F2811" s="115" t="n"/>
      <c r="G2811" s="117">
        <f>IF(COUNTA(B2811:E2811)=0,"",IF(COUNTA(B2811:E2811)&lt;4,"⚠ กรอกไม่ครบ",IF(NOT(ISNUMBER(B2811)),"⚠ วันที่ไม่ถูกต้อง",IF(COUNTIFS(Setup!$L$6:$L$60,D2811,Setup!$M$6:$M$60,C2811)=0,"⚠ หมวดไม่ตรงประเภท","✓"))))</f>
        <v/>
      </c>
    </row>
    <row r="2812">
      <c r="B2812" s="113" t="n"/>
      <c r="C2812" s="114" t="n"/>
      <c r="D2812" s="115" t="n"/>
      <c r="E2812" s="116" t="n"/>
      <c r="F2812" s="115" t="n"/>
      <c r="G2812" s="117">
        <f>IF(COUNTA(B2812:E2812)=0,"",IF(COUNTA(B2812:E2812)&lt;4,"⚠ กรอกไม่ครบ",IF(NOT(ISNUMBER(B2812)),"⚠ วันที่ไม่ถูกต้อง",IF(COUNTIFS(Setup!$L$6:$L$60,D2812,Setup!$M$6:$M$60,C2812)=0,"⚠ หมวดไม่ตรงประเภท","✓"))))</f>
        <v/>
      </c>
    </row>
    <row r="2813">
      <c r="B2813" s="113" t="n"/>
      <c r="C2813" s="114" t="n"/>
      <c r="D2813" s="115" t="n"/>
      <c r="E2813" s="116" t="n"/>
      <c r="F2813" s="115" t="n"/>
      <c r="G2813" s="117">
        <f>IF(COUNTA(B2813:E2813)=0,"",IF(COUNTA(B2813:E2813)&lt;4,"⚠ กรอกไม่ครบ",IF(NOT(ISNUMBER(B2813)),"⚠ วันที่ไม่ถูกต้อง",IF(COUNTIFS(Setup!$L$6:$L$60,D2813,Setup!$M$6:$M$60,C2813)=0,"⚠ หมวดไม่ตรงประเภท","✓"))))</f>
        <v/>
      </c>
    </row>
    <row r="2814">
      <c r="B2814" s="113" t="n"/>
      <c r="C2814" s="114" t="n"/>
      <c r="D2814" s="115" t="n"/>
      <c r="E2814" s="116" t="n"/>
      <c r="F2814" s="115" t="n"/>
      <c r="G2814" s="117">
        <f>IF(COUNTA(B2814:E2814)=0,"",IF(COUNTA(B2814:E2814)&lt;4,"⚠ กรอกไม่ครบ",IF(NOT(ISNUMBER(B2814)),"⚠ วันที่ไม่ถูกต้อง",IF(COUNTIFS(Setup!$L$6:$L$60,D2814,Setup!$M$6:$M$60,C2814)=0,"⚠ หมวดไม่ตรงประเภท","✓"))))</f>
        <v/>
      </c>
    </row>
    <row r="2815">
      <c r="B2815" s="113" t="n"/>
      <c r="C2815" s="114" t="n"/>
      <c r="D2815" s="115" t="n"/>
      <c r="E2815" s="116" t="n"/>
      <c r="F2815" s="115" t="n"/>
      <c r="G2815" s="117">
        <f>IF(COUNTA(B2815:E2815)=0,"",IF(COUNTA(B2815:E2815)&lt;4,"⚠ กรอกไม่ครบ",IF(NOT(ISNUMBER(B2815)),"⚠ วันที่ไม่ถูกต้อง",IF(COUNTIFS(Setup!$L$6:$L$60,D2815,Setup!$M$6:$M$60,C2815)=0,"⚠ หมวดไม่ตรงประเภท","✓"))))</f>
        <v/>
      </c>
    </row>
    <row r="2816">
      <c r="B2816" s="113" t="n"/>
      <c r="C2816" s="114" t="n"/>
      <c r="D2816" s="115" t="n"/>
      <c r="E2816" s="116" t="n"/>
      <c r="F2816" s="115" t="n"/>
      <c r="G2816" s="117">
        <f>IF(COUNTA(B2816:E2816)=0,"",IF(COUNTA(B2816:E2816)&lt;4,"⚠ กรอกไม่ครบ",IF(NOT(ISNUMBER(B2816)),"⚠ วันที่ไม่ถูกต้อง",IF(COUNTIFS(Setup!$L$6:$L$60,D2816,Setup!$M$6:$M$60,C2816)=0,"⚠ หมวดไม่ตรงประเภท","✓"))))</f>
        <v/>
      </c>
    </row>
    <row r="2817">
      <c r="B2817" s="113" t="n"/>
      <c r="C2817" s="114" t="n"/>
      <c r="D2817" s="115" t="n"/>
      <c r="E2817" s="116" t="n"/>
      <c r="F2817" s="115" t="n"/>
      <c r="G2817" s="117">
        <f>IF(COUNTA(B2817:E2817)=0,"",IF(COUNTA(B2817:E2817)&lt;4,"⚠ กรอกไม่ครบ",IF(NOT(ISNUMBER(B2817)),"⚠ วันที่ไม่ถูกต้อง",IF(COUNTIFS(Setup!$L$6:$L$60,D2817,Setup!$M$6:$M$60,C2817)=0,"⚠ หมวดไม่ตรงประเภท","✓"))))</f>
        <v/>
      </c>
    </row>
    <row r="2818">
      <c r="B2818" s="113" t="n"/>
      <c r="C2818" s="114" t="n"/>
      <c r="D2818" s="115" t="n"/>
      <c r="E2818" s="116" t="n"/>
      <c r="F2818" s="115" t="n"/>
      <c r="G2818" s="117">
        <f>IF(COUNTA(B2818:E2818)=0,"",IF(COUNTA(B2818:E2818)&lt;4,"⚠ กรอกไม่ครบ",IF(NOT(ISNUMBER(B2818)),"⚠ วันที่ไม่ถูกต้อง",IF(COUNTIFS(Setup!$L$6:$L$60,D2818,Setup!$M$6:$M$60,C2818)=0,"⚠ หมวดไม่ตรงประเภท","✓"))))</f>
        <v/>
      </c>
    </row>
    <row r="2819">
      <c r="B2819" s="113" t="n"/>
      <c r="C2819" s="114" t="n"/>
      <c r="D2819" s="115" t="n"/>
      <c r="E2819" s="116" t="n"/>
      <c r="F2819" s="115" t="n"/>
      <c r="G2819" s="117">
        <f>IF(COUNTA(B2819:E2819)=0,"",IF(COUNTA(B2819:E2819)&lt;4,"⚠ กรอกไม่ครบ",IF(NOT(ISNUMBER(B2819)),"⚠ วันที่ไม่ถูกต้อง",IF(COUNTIFS(Setup!$L$6:$L$60,D2819,Setup!$M$6:$M$60,C2819)=0,"⚠ หมวดไม่ตรงประเภท","✓"))))</f>
        <v/>
      </c>
    </row>
    <row r="2820">
      <c r="B2820" s="113" t="n"/>
      <c r="C2820" s="114" t="n"/>
      <c r="D2820" s="115" t="n"/>
      <c r="E2820" s="116" t="n"/>
      <c r="F2820" s="115" t="n"/>
      <c r="G2820" s="117">
        <f>IF(COUNTA(B2820:E2820)=0,"",IF(COUNTA(B2820:E2820)&lt;4,"⚠ กรอกไม่ครบ",IF(NOT(ISNUMBER(B2820)),"⚠ วันที่ไม่ถูกต้อง",IF(COUNTIFS(Setup!$L$6:$L$60,D2820,Setup!$M$6:$M$60,C2820)=0,"⚠ หมวดไม่ตรงประเภท","✓"))))</f>
        <v/>
      </c>
    </row>
    <row r="2821">
      <c r="B2821" s="113" t="n"/>
      <c r="C2821" s="114" t="n"/>
      <c r="D2821" s="115" t="n"/>
      <c r="E2821" s="116" t="n"/>
      <c r="F2821" s="115" t="n"/>
      <c r="G2821" s="117">
        <f>IF(COUNTA(B2821:E2821)=0,"",IF(COUNTA(B2821:E2821)&lt;4,"⚠ กรอกไม่ครบ",IF(NOT(ISNUMBER(B2821)),"⚠ วันที่ไม่ถูกต้อง",IF(COUNTIFS(Setup!$L$6:$L$60,D2821,Setup!$M$6:$M$60,C2821)=0,"⚠ หมวดไม่ตรงประเภท","✓"))))</f>
        <v/>
      </c>
    </row>
    <row r="2822">
      <c r="B2822" s="113" t="n"/>
      <c r="C2822" s="114" t="n"/>
      <c r="D2822" s="115" t="n"/>
      <c r="E2822" s="116" t="n"/>
      <c r="F2822" s="115" t="n"/>
      <c r="G2822" s="117">
        <f>IF(COUNTA(B2822:E2822)=0,"",IF(COUNTA(B2822:E2822)&lt;4,"⚠ กรอกไม่ครบ",IF(NOT(ISNUMBER(B2822)),"⚠ วันที่ไม่ถูกต้อง",IF(COUNTIFS(Setup!$L$6:$L$60,D2822,Setup!$M$6:$M$60,C2822)=0,"⚠ หมวดไม่ตรงประเภท","✓"))))</f>
        <v/>
      </c>
    </row>
    <row r="2823">
      <c r="B2823" s="113" t="n"/>
      <c r="C2823" s="114" t="n"/>
      <c r="D2823" s="115" t="n"/>
      <c r="E2823" s="116" t="n"/>
      <c r="F2823" s="115" t="n"/>
      <c r="G2823" s="117">
        <f>IF(COUNTA(B2823:E2823)=0,"",IF(COUNTA(B2823:E2823)&lt;4,"⚠ กรอกไม่ครบ",IF(NOT(ISNUMBER(B2823)),"⚠ วันที่ไม่ถูกต้อง",IF(COUNTIFS(Setup!$L$6:$L$60,D2823,Setup!$M$6:$M$60,C2823)=0,"⚠ หมวดไม่ตรงประเภท","✓"))))</f>
        <v/>
      </c>
    </row>
    <row r="2824">
      <c r="B2824" s="113" t="n"/>
      <c r="C2824" s="114" t="n"/>
      <c r="D2824" s="115" t="n"/>
      <c r="E2824" s="116" t="n"/>
      <c r="F2824" s="115" t="n"/>
      <c r="G2824" s="117">
        <f>IF(COUNTA(B2824:E2824)=0,"",IF(COUNTA(B2824:E2824)&lt;4,"⚠ กรอกไม่ครบ",IF(NOT(ISNUMBER(B2824)),"⚠ วันที่ไม่ถูกต้อง",IF(COUNTIFS(Setup!$L$6:$L$60,D2824,Setup!$M$6:$M$60,C2824)=0,"⚠ หมวดไม่ตรงประเภท","✓"))))</f>
        <v/>
      </c>
    </row>
    <row r="2825">
      <c r="B2825" s="113" t="n"/>
      <c r="C2825" s="114" t="n"/>
      <c r="D2825" s="115" t="n"/>
      <c r="E2825" s="116" t="n"/>
      <c r="F2825" s="115" t="n"/>
      <c r="G2825" s="117">
        <f>IF(COUNTA(B2825:E2825)=0,"",IF(COUNTA(B2825:E2825)&lt;4,"⚠ กรอกไม่ครบ",IF(NOT(ISNUMBER(B2825)),"⚠ วันที่ไม่ถูกต้อง",IF(COUNTIFS(Setup!$L$6:$L$60,D2825,Setup!$M$6:$M$60,C2825)=0,"⚠ หมวดไม่ตรงประเภท","✓"))))</f>
        <v/>
      </c>
    </row>
    <row r="2826">
      <c r="B2826" s="113" t="n"/>
      <c r="C2826" s="114" t="n"/>
      <c r="D2826" s="115" t="n"/>
      <c r="E2826" s="116" t="n"/>
      <c r="F2826" s="115" t="n"/>
      <c r="G2826" s="117">
        <f>IF(COUNTA(B2826:E2826)=0,"",IF(COUNTA(B2826:E2826)&lt;4,"⚠ กรอกไม่ครบ",IF(NOT(ISNUMBER(B2826)),"⚠ วันที่ไม่ถูกต้อง",IF(COUNTIFS(Setup!$L$6:$L$60,D2826,Setup!$M$6:$M$60,C2826)=0,"⚠ หมวดไม่ตรงประเภท","✓"))))</f>
        <v/>
      </c>
    </row>
    <row r="2827">
      <c r="B2827" s="113" t="n"/>
      <c r="C2827" s="114" t="n"/>
      <c r="D2827" s="115" t="n"/>
      <c r="E2827" s="116" t="n"/>
      <c r="F2827" s="115" t="n"/>
      <c r="G2827" s="117">
        <f>IF(COUNTA(B2827:E2827)=0,"",IF(COUNTA(B2827:E2827)&lt;4,"⚠ กรอกไม่ครบ",IF(NOT(ISNUMBER(B2827)),"⚠ วันที่ไม่ถูกต้อง",IF(COUNTIFS(Setup!$L$6:$L$60,D2827,Setup!$M$6:$M$60,C2827)=0,"⚠ หมวดไม่ตรงประเภท","✓"))))</f>
        <v/>
      </c>
    </row>
    <row r="2828">
      <c r="B2828" s="113" t="n"/>
      <c r="C2828" s="114" t="n"/>
      <c r="D2828" s="115" t="n"/>
      <c r="E2828" s="116" t="n"/>
      <c r="F2828" s="115" t="n"/>
      <c r="G2828" s="117">
        <f>IF(COUNTA(B2828:E2828)=0,"",IF(COUNTA(B2828:E2828)&lt;4,"⚠ กรอกไม่ครบ",IF(NOT(ISNUMBER(B2828)),"⚠ วันที่ไม่ถูกต้อง",IF(COUNTIFS(Setup!$L$6:$L$60,D2828,Setup!$M$6:$M$60,C2828)=0,"⚠ หมวดไม่ตรงประเภท","✓"))))</f>
        <v/>
      </c>
    </row>
    <row r="2829">
      <c r="B2829" s="113" t="n"/>
      <c r="C2829" s="114" t="n"/>
      <c r="D2829" s="115" t="n"/>
      <c r="E2829" s="116" t="n"/>
      <c r="F2829" s="115" t="n"/>
      <c r="G2829" s="117">
        <f>IF(COUNTA(B2829:E2829)=0,"",IF(COUNTA(B2829:E2829)&lt;4,"⚠ กรอกไม่ครบ",IF(NOT(ISNUMBER(B2829)),"⚠ วันที่ไม่ถูกต้อง",IF(COUNTIFS(Setup!$L$6:$L$60,D2829,Setup!$M$6:$M$60,C2829)=0,"⚠ หมวดไม่ตรงประเภท","✓"))))</f>
        <v/>
      </c>
    </row>
    <row r="2830">
      <c r="B2830" s="113" t="n"/>
      <c r="C2830" s="114" t="n"/>
      <c r="D2830" s="115" t="n"/>
      <c r="E2830" s="116" t="n"/>
      <c r="F2830" s="115" t="n"/>
      <c r="G2830" s="117">
        <f>IF(COUNTA(B2830:E2830)=0,"",IF(COUNTA(B2830:E2830)&lt;4,"⚠ กรอกไม่ครบ",IF(NOT(ISNUMBER(B2830)),"⚠ วันที่ไม่ถูกต้อง",IF(COUNTIFS(Setup!$L$6:$L$60,D2830,Setup!$M$6:$M$60,C2830)=0,"⚠ หมวดไม่ตรงประเภท","✓"))))</f>
        <v/>
      </c>
    </row>
    <row r="2831">
      <c r="B2831" s="113" t="n"/>
      <c r="C2831" s="114" t="n"/>
      <c r="D2831" s="115" t="n"/>
      <c r="E2831" s="116" t="n"/>
      <c r="F2831" s="115" t="n"/>
      <c r="G2831" s="117">
        <f>IF(COUNTA(B2831:E2831)=0,"",IF(COUNTA(B2831:E2831)&lt;4,"⚠ กรอกไม่ครบ",IF(NOT(ISNUMBER(B2831)),"⚠ วันที่ไม่ถูกต้อง",IF(COUNTIFS(Setup!$L$6:$L$60,D2831,Setup!$M$6:$M$60,C2831)=0,"⚠ หมวดไม่ตรงประเภท","✓"))))</f>
        <v/>
      </c>
    </row>
    <row r="2832">
      <c r="B2832" s="113" t="n"/>
      <c r="C2832" s="114" t="n"/>
      <c r="D2832" s="115" t="n"/>
      <c r="E2832" s="116" t="n"/>
      <c r="F2832" s="115" t="n"/>
      <c r="G2832" s="117">
        <f>IF(COUNTA(B2832:E2832)=0,"",IF(COUNTA(B2832:E2832)&lt;4,"⚠ กรอกไม่ครบ",IF(NOT(ISNUMBER(B2832)),"⚠ วันที่ไม่ถูกต้อง",IF(COUNTIFS(Setup!$L$6:$L$60,D2832,Setup!$M$6:$M$60,C2832)=0,"⚠ หมวดไม่ตรงประเภท","✓"))))</f>
        <v/>
      </c>
    </row>
    <row r="2833">
      <c r="B2833" s="113" t="n"/>
      <c r="C2833" s="114" t="n"/>
      <c r="D2833" s="115" t="n"/>
      <c r="E2833" s="116" t="n"/>
      <c r="F2833" s="115" t="n"/>
      <c r="G2833" s="117">
        <f>IF(COUNTA(B2833:E2833)=0,"",IF(COUNTA(B2833:E2833)&lt;4,"⚠ กรอกไม่ครบ",IF(NOT(ISNUMBER(B2833)),"⚠ วันที่ไม่ถูกต้อง",IF(COUNTIFS(Setup!$L$6:$L$60,D2833,Setup!$M$6:$M$60,C2833)=0,"⚠ หมวดไม่ตรงประเภท","✓"))))</f>
        <v/>
      </c>
    </row>
    <row r="2834">
      <c r="B2834" s="113" t="n"/>
      <c r="C2834" s="114" t="n"/>
      <c r="D2834" s="115" t="n"/>
      <c r="E2834" s="116" t="n"/>
      <c r="F2834" s="115" t="n"/>
      <c r="G2834" s="117">
        <f>IF(COUNTA(B2834:E2834)=0,"",IF(COUNTA(B2834:E2834)&lt;4,"⚠ กรอกไม่ครบ",IF(NOT(ISNUMBER(B2834)),"⚠ วันที่ไม่ถูกต้อง",IF(COUNTIFS(Setup!$L$6:$L$60,D2834,Setup!$M$6:$M$60,C2834)=0,"⚠ หมวดไม่ตรงประเภท","✓"))))</f>
        <v/>
      </c>
    </row>
    <row r="2835">
      <c r="B2835" s="113" t="n"/>
      <c r="C2835" s="114" t="n"/>
      <c r="D2835" s="115" t="n"/>
      <c r="E2835" s="116" t="n"/>
      <c r="F2835" s="115" t="n"/>
      <c r="G2835" s="117">
        <f>IF(COUNTA(B2835:E2835)=0,"",IF(COUNTA(B2835:E2835)&lt;4,"⚠ กรอกไม่ครบ",IF(NOT(ISNUMBER(B2835)),"⚠ วันที่ไม่ถูกต้อง",IF(COUNTIFS(Setup!$L$6:$L$60,D2835,Setup!$M$6:$M$60,C2835)=0,"⚠ หมวดไม่ตรงประเภท","✓"))))</f>
        <v/>
      </c>
    </row>
    <row r="2836">
      <c r="B2836" s="113" t="n"/>
      <c r="C2836" s="114" t="n"/>
      <c r="D2836" s="115" t="n"/>
      <c r="E2836" s="116" t="n"/>
      <c r="F2836" s="115" t="n"/>
      <c r="G2836" s="117">
        <f>IF(COUNTA(B2836:E2836)=0,"",IF(COUNTA(B2836:E2836)&lt;4,"⚠ กรอกไม่ครบ",IF(NOT(ISNUMBER(B2836)),"⚠ วันที่ไม่ถูกต้อง",IF(COUNTIFS(Setup!$L$6:$L$60,D2836,Setup!$M$6:$M$60,C2836)=0,"⚠ หมวดไม่ตรงประเภท","✓"))))</f>
        <v/>
      </c>
    </row>
    <row r="2837">
      <c r="B2837" s="113" t="n"/>
      <c r="C2837" s="114" t="n"/>
      <c r="D2837" s="115" t="n"/>
      <c r="E2837" s="116" t="n"/>
      <c r="F2837" s="115" t="n"/>
      <c r="G2837" s="117">
        <f>IF(COUNTA(B2837:E2837)=0,"",IF(COUNTA(B2837:E2837)&lt;4,"⚠ กรอกไม่ครบ",IF(NOT(ISNUMBER(B2837)),"⚠ วันที่ไม่ถูกต้อง",IF(COUNTIFS(Setup!$L$6:$L$60,D2837,Setup!$M$6:$M$60,C2837)=0,"⚠ หมวดไม่ตรงประเภท","✓"))))</f>
        <v/>
      </c>
    </row>
    <row r="2838">
      <c r="B2838" s="113" t="n"/>
      <c r="C2838" s="114" t="n"/>
      <c r="D2838" s="115" t="n"/>
      <c r="E2838" s="116" t="n"/>
      <c r="F2838" s="115" t="n"/>
      <c r="G2838" s="117">
        <f>IF(COUNTA(B2838:E2838)=0,"",IF(COUNTA(B2838:E2838)&lt;4,"⚠ กรอกไม่ครบ",IF(NOT(ISNUMBER(B2838)),"⚠ วันที่ไม่ถูกต้อง",IF(COUNTIFS(Setup!$L$6:$L$60,D2838,Setup!$M$6:$M$60,C2838)=0,"⚠ หมวดไม่ตรงประเภท","✓"))))</f>
        <v/>
      </c>
    </row>
    <row r="2839">
      <c r="B2839" s="113" t="n"/>
      <c r="C2839" s="114" t="n"/>
      <c r="D2839" s="115" t="n"/>
      <c r="E2839" s="116" t="n"/>
      <c r="F2839" s="115" t="n"/>
      <c r="G2839" s="117">
        <f>IF(COUNTA(B2839:E2839)=0,"",IF(COUNTA(B2839:E2839)&lt;4,"⚠ กรอกไม่ครบ",IF(NOT(ISNUMBER(B2839)),"⚠ วันที่ไม่ถูกต้อง",IF(COUNTIFS(Setup!$L$6:$L$60,D2839,Setup!$M$6:$M$60,C2839)=0,"⚠ หมวดไม่ตรงประเภท","✓"))))</f>
        <v/>
      </c>
    </row>
    <row r="2840">
      <c r="B2840" s="113" t="n"/>
      <c r="C2840" s="114" t="n"/>
      <c r="D2840" s="115" t="n"/>
      <c r="E2840" s="116" t="n"/>
      <c r="F2840" s="115" t="n"/>
      <c r="G2840" s="117">
        <f>IF(COUNTA(B2840:E2840)=0,"",IF(COUNTA(B2840:E2840)&lt;4,"⚠ กรอกไม่ครบ",IF(NOT(ISNUMBER(B2840)),"⚠ วันที่ไม่ถูกต้อง",IF(COUNTIFS(Setup!$L$6:$L$60,D2840,Setup!$M$6:$M$60,C2840)=0,"⚠ หมวดไม่ตรงประเภท","✓"))))</f>
        <v/>
      </c>
    </row>
    <row r="2841">
      <c r="B2841" s="113" t="n"/>
      <c r="C2841" s="114" t="n"/>
      <c r="D2841" s="115" t="n"/>
      <c r="E2841" s="116" t="n"/>
      <c r="F2841" s="115" t="n"/>
      <c r="G2841" s="117">
        <f>IF(COUNTA(B2841:E2841)=0,"",IF(COUNTA(B2841:E2841)&lt;4,"⚠ กรอกไม่ครบ",IF(NOT(ISNUMBER(B2841)),"⚠ วันที่ไม่ถูกต้อง",IF(COUNTIFS(Setup!$L$6:$L$60,D2841,Setup!$M$6:$M$60,C2841)=0,"⚠ หมวดไม่ตรงประเภท","✓"))))</f>
        <v/>
      </c>
    </row>
    <row r="2842">
      <c r="B2842" s="113" t="n"/>
      <c r="C2842" s="114" t="n"/>
      <c r="D2842" s="115" t="n"/>
      <c r="E2842" s="116" t="n"/>
      <c r="F2842" s="115" t="n"/>
      <c r="G2842" s="117">
        <f>IF(COUNTA(B2842:E2842)=0,"",IF(COUNTA(B2842:E2842)&lt;4,"⚠ กรอกไม่ครบ",IF(NOT(ISNUMBER(B2842)),"⚠ วันที่ไม่ถูกต้อง",IF(COUNTIFS(Setup!$L$6:$L$60,D2842,Setup!$M$6:$M$60,C2842)=0,"⚠ หมวดไม่ตรงประเภท","✓"))))</f>
        <v/>
      </c>
    </row>
    <row r="2843">
      <c r="B2843" s="113" t="n"/>
      <c r="C2843" s="114" t="n"/>
      <c r="D2843" s="115" t="n"/>
      <c r="E2843" s="116" t="n"/>
      <c r="F2843" s="115" t="n"/>
      <c r="G2843" s="117">
        <f>IF(COUNTA(B2843:E2843)=0,"",IF(COUNTA(B2843:E2843)&lt;4,"⚠ กรอกไม่ครบ",IF(NOT(ISNUMBER(B2843)),"⚠ วันที่ไม่ถูกต้อง",IF(COUNTIFS(Setup!$L$6:$L$60,D2843,Setup!$M$6:$M$60,C2843)=0,"⚠ หมวดไม่ตรงประเภท","✓"))))</f>
        <v/>
      </c>
    </row>
    <row r="2844">
      <c r="B2844" s="113" t="n"/>
      <c r="C2844" s="114" t="n"/>
      <c r="D2844" s="115" t="n"/>
      <c r="E2844" s="116" t="n"/>
      <c r="F2844" s="115" t="n"/>
      <c r="G2844" s="117">
        <f>IF(COUNTA(B2844:E2844)=0,"",IF(COUNTA(B2844:E2844)&lt;4,"⚠ กรอกไม่ครบ",IF(NOT(ISNUMBER(B2844)),"⚠ วันที่ไม่ถูกต้อง",IF(COUNTIFS(Setup!$L$6:$L$60,D2844,Setup!$M$6:$M$60,C2844)=0,"⚠ หมวดไม่ตรงประเภท","✓"))))</f>
        <v/>
      </c>
    </row>
    <row r="2845">
      <c r="B2845" s="113" t="n"/>
      <c r="C2845" s="114" t="n"/>
      <c r="D2845" s="115" t="n"/>
      <c r="E2845" s="116" t="n"/>
      <c r="F2845" s="115" t="n"/>
      <c r="G2845" s="117">
        <f>IF(COUNTA(B2845:E2845)=0,"",IF(COUNTA(B2845:E2845)&lt;4,"⚠ กรอกไม่ครบ",IF(NOT(ISNUMBER(B2845)),"⚠ วันที่ไม่ถูกต้อง",IF(COUNTIFS(Setup!$L$6:$L$60,D2845,Setup!$M$6:$M$60,C2845)=0,"⚠ หมวดไม่ตรงประเภท","✓"))))</f>
        <v/>
      </c>
    </row>
    <row r="2846">
      <c r="B2846" s="113" t="n"/>
      <c r="C2846" s="114" t="n"/>
      <c r="D2846" s="115" t="n"/>
      <c r="E2846" s="116" t="n"/>
      <c r="F2846" s="115" t="n"/>
      <c r="G2846" s="117">
        <f>IF(COUNTA(B2846:E2846)=0,"",IF(COUNTA(B2846:E2846)&lt;4,"⚠ กรอกไม่ครบ",IF(NOT(ISNUMBER(B2846)),"⚠ วันที่ไม่ถูกต้อง",IF(COUNTIFS(Setup!$L$6:$L$60,D2846,Setup!$M$6:$M$60,C2846)=0,"⚠ หมวดไม่ตรงประเภท","✓"))))</f>
        <v/>
      </c>
    </row>
    <row r="2847">
      <c r="B2847" s="113" t="n"/>
      <c r="C2847" s="114" t="n"/>
      <c r="D2847" s="115" t="n"/>
      <c r="E2847" s="116" t="n"/>
      <c r="F2847" s="115" t="n"/>
      <c r="G2847" s="117">
        <f>IF(COUNTA(B2847:E2847)=0,"",IF(COUNTA(B2847:E2847)&lt;4,"⚠ กรอกไม่ครบ",IF(NOT(ISNUMBER(B2847)),"⚠ วันที่ไม่ถูกต้อง",IF(COUNTIFS(Setup!$L$6:$L$60,D2847,Setup!$M$6:$M$60,C2847)=0,"⚠ หมวดไม่ตรงประเภท","✓"))))</f>
        <v/>
      </c>
    </row>
    <row r="2848">
      <c r="B2848" s="113" t="n"/>
      <c r="C2848" s="114" t="n"/>
      <c r="D2848" s="115" t="n"/>
      <c r="E2848" s="116" t="n"/>
      <c r="F2848" s="115" t="n"/>
      <c r="G2848" s="117">
        <f>IF(COUNTA(B2848:E2848)=0,"",IF(COUNTA(B2848:E2848)&lt;4,"⚠ กรอกไม่ครบ",IF(NOT(ISNUMBER(B2848)),"⚠ วันที่ไม่ถูกต้อง",IF(COUNTIFS(Setup!$L$6:$L$60,D2848,Setup!$M$6:$M$60,C2848)=0,"⚠ หมวดไม่ตรงประเภท","✓"))))</f>
        <v/>
      </c>
    </row>
    <row r="2849">
      <c r="B2849" s="113" t="n"/>
      <c r="C2849" s="114" t="n"/>
      <c r="D2849" s="115" t="n"/>
      <c r="E2849" s="116" t="n"/>
      <c r="F2849" s="115" t="n"/>
      <c r="G2849" s="117">
        <f>IF(COUNTA(B2849:E2849)=0,"",IF(COUNTA(B2849:E2849)&lt;4,"⚠ กรอกไม่ครบ",IF(NOT(ISNUMBER(B2849)),"⚠ วันที่ไม่ถูกต้อง",IF(COUNTIFS(Setup!$L$6:$L$60,D2849,Setup!$M$6:$M$60,C2849)=0,"⚠ หมวดไม่ตรงประเภท","✓"))))</f>
        <v/>
      </c>
    </row>
    <row r="2850">
      <c r="B2850" s="113" t="n"/>
      <c r="C2850" s="114" t="n"/>
      <c r="D2850" s="115" t="n"/>
      <c r="E2850" s="116" t="n"/>
      <c r="F2850" s="115" t="n"/>
      <c r="G2850" s="117">
        <f>IF(COUNTA(B2850:E2850)=0,"",IF(COUNTA(B2850:E2850)&lt;4,"⚠ กรอกไม่ครบ",IF(NOT(ISNUMBER(B2850)),"⚠ วันที่ไม่ถูกต้อง",IF(COUNTIFS(Setup!$L$6:$L$60,D2850,Setup!$M$6:$M$60,C2850)=0,"⚠ หมวดไม่ตรงประเภท","✓"))))</f>
        <v/>
      </c>
    </row>
    <row r="2851">
      <c r="B2851" s="113" t="n"/>
      <c r="C2851" s="114" t="n"/>
      <c r="D2851" s="115" t="n"/>
      <c r="E2851" s="116" t="n"/>
      <c r="F2851" s="115" t="n"/>
      <c r="G2851" s="117">
        <f>IF(COUNTA(B2851:E2851)=0,"",IF(COUNTA(B2851:E2851)&lt;4,"⚠ กรอกไม่ครบ",IF(NOT(ISNUMBER(B2851)),"⚠ วันที่ไม่ถูกต้อง",IF(COUNTIFS(Setup!$L$6:$L$60,D2851,Setup!$M$6:$M$60,C2851)=0,"⚠ หมวดไม่ตรงประเภท","✓"))))</f>
        <v/>
      </c>
    </row>
    <row r="2852">
      <c r="B2852" s="113" t="n"/>
      <c r="C2852" s="114" t="n"/>
      <c r="D2852" s="115" t="n"/>
      <c r="E2852" s="116" t="n"/>
      <c r="F2852" s="115" t="n"/>
      <c r="G2852" s="117">
        <f>IF(COUNTA(B2852:E2852)=0,"",IF(COUNTA(B2852:E2852)&lt;4,"⚠ กรอกไม่ครบ",IF(NOT(ISNUMBER(B2852)),"⚠ วันที่ไม่ถูกต้อง",IF(COUNTIFS(Setup!$L$6:$L$60,D2852,Setup!$M$6:$M$60,C2852)=0,"⚠ หมวดไม่ตรงประเภท","✓"))))</f>
        <v/>
      </c>
    </row>
    <row r="2853">
      <c r="B2853" s="113" t="n"/>
      <c r="C2853" s="114" t="n"/>
      <c r="D2853" s="115" t="n"/>
      <c r="E2853" s="116" t="n"/>
      <c r="F2853" s="115" t="n"/>
      <c r="G2853" s="117">
        <f>IF(COUNTA(B2853:E2853)=0,"",IF(COUNTA(B2853:E2853)&lt;4,"⚠ กรอกไม่ครบ",IF(NOT(ISNUMBER(B2853)),"⚠ วันที่ไม่ถูกต้อง",IF(COUNTIFS(Setup!$L$6:$L$60,D2853,Setup!$M$6:$M$60,C2853)=0,"⚠ หมวดไม่ตรงประเภท","✓"))))</f>
        <v/>
      </c>
    </row>
    <row r="2854">
      <c r="B2854" s="113" t="n"/>
      <c r="C2854" s="114" t="n"/>
      <c r="D2854" s="115" t="n"/>
      <c r="E2854" s="116" t="n"/>
      <c r="F2854" s="115" t="n"/>
      <c r="G2854" s="117">
        <f>IF(COUNTA(B2854:E2854)=0,"",IF(COUNTA(B2854:E2854)&lt;4,"⚠ กรอกไม่ครบ",IF(NOT(ISNUMBER(B2854)),"⚠ วันที่ไม่ถูกต้อง",IF(COUNTIFS(Setup!$L$6:$L$60,D2854,Setup!$M$6:$M$60,C2854)=0,"⚠ หมวดไม่ตรงประเภท","✓"))))</f>
        <v/>
      </c>
    </row>
    <row r="2855">
      <c r="B2855" s="113" t="n"/>
      <c r="C2855" s="114" t="n"/>
      <c r="D2855" s="115" t="n"/>
      <c r="E2855" s="116" t="n"/>
      <c r="F2855" s="115" t="n"/>
      <c r="G2855" s="117">
        <f>IF(COUNTA(B2855:E2855)=0,"",IF(COUNTA(B2855:E2855)&lt;4,"⚠ กรอกไม่ครบ",IF(NOT(ISNUMBER(B2855)),"⚠ วันที่ไม่ถูกต้อง",IF(COUNTIFS(Setup!$L$6:$L$60,D2855,Setup!$M$6:$M$60,C2855)=0,"⚠ หมวดไม่ตรงประเภท","✓"))))</f>
        <v/>
      </c>
    </row>
    <row r="2856">
      <c r="B2856" s="113" t="n"/>
      <c r="C2856" s="114" t="n"/>
      <c r="D2856" s="115" t="n"/>
      <c r="E2856" s="116" t="n"/>
      <c r="F2856" s="115" t="n"/>
      <c r="G2856" s="117">
        <f>IF(COUNTA(B2856:E2856)=0,"",IF(COUNTA(B2856:E2856)&lt;4,"⚠ กรอกไม่ครบ",IF(NOT(ISNUMBER(B2856)),"⚠ วันที่ไม่ถูกต้อง",IF(COUNTIFS(Setup!$L$6:$L$60,D2856,Setup!$M$6:$M$60,C2856)=0,"⚠ หมวดไม่ตรงประเภท","✓"))))</f>
        <v/>
      </c>
    </row>
    <row r="2857">
      <c r="B2857" s="113" t="n"/>
      <c r="C2857" s="114" t="n"/>
      <c r="D2857" s="115" t="n"/>
      <c r="E2857" s="116" t="n"/>
      <c r="F2857" s="115" t="n"/>
      <c r="G2857" s="117">
        <f>IF(COUNTA(B2857:E2857)=0,"",IF(COUNTA(B2857:E2857)&lt;4,"⚠ กรอกไม่ครบ",IF(NOT(ISNUMBER(B2857)),"⚠ วันที่ไม่ถูกต้อง",IF(COUNTIFS(Setup!$L$6:$L$60,D2857,Setup!$M$6:$M$60,C2857)=0,"⚠ หมวดไม่ตรงประเภท","✓"))))</f>
        <v/>
      </c>
    </row>
    <row r="2858">
      <c r="B2858" s="113" t="n"/>
      <c r="C2858" s="114" t="n"/>
      <c r="D2858" s="115" t="n"/>
      <c r="E2858" s="116" t="n"/>
      <c r="F2858" s="115" t="n"/>
      <c r="G2858" s="117">
        <f>IF(COUNTA(B2858:E2858)=0,"",IF(COUNTA(B2858:E2858)&lt;4,"⚠ กรอกไม่ครบ",IF(NOT(ISNUMBER(B2858)),"⚠ วันที่ไม่ถูกต้อง",IF(COUNTIFS(Setup!$L$6:$L$60,D2858,Setup!$M$6:$M$60,C2858)=0,"⚠ หมวดไม่ตรงประเภท","✓"))))</f>
        <v/>
      </c>
    </row>
    <row r="2859">
      <c r="B2859" s="113" t="n"/>
      <c r="C2859" s="114" t="n"/>
      <c r="D2859" s="115" t="n"/>
      <c r="E2859" s="116" t="n"/>
      <c r="F2859" s="115" t="n"/>
      <c r="G2859" s="117">
        <f>IF(COUNTA(B2859:E2859)=0,"",IF(COUNTA(B2859:E2859)&lt;4,"⚠ กรอกไม่ครบ",IF(NOT(ISNUMBER(B2859)),"⚠ วันที่ไม่ถูกต้อง",IF(COUNTIFS(Setup!$L$6:$L$60,D2859,Setup!$M$6:$M$60,C2859)=0,"⚠ หมวดไม่ตรงประเภท","✓"))))</f>
        <v/>
      </c>
    </row>
    <row r="2860">
      <c r="B2860" s="113" t="n"/>
      <c r="C2860" s="114" t="n"/>
      <c r="D2860" s="115" t="n"/>
      <c r="E2860" s="116" t="n"/>
      <c r="F2860" s="115" t="n"/>
      <c r="G2860" s="117">
        <f>IF(COUNTA(B2860:E2860)=0,"",IF(COUNTA(B2860:E2860)&lt;4,"⚠ กรอกไม่ครบ",IF(NOT(ISNUMBER(B2860)),"⚠ วันที่ไม่ถูกต้อง",IF(COUNTIFS(Setup!$L$6:$L$60,D2860,Setup!$M$6:$M$60,C2860)=0,"⚠ หมวดไม่ตรงประเภท","✓"))))</f>
        <v/>
      </c>
    </row>
    <row r="2861">
      <c r="B2861" s="113" t="n"/>
      <c r="C2861" s="114" t="n"/>
      <c r="D2861" s="115" t="n"/>
      <c r="E2861" s="116" t="n"/>
      <c r="F2861" s="115" t="n"/>
      <c r="G2861" s="117">
        <f>IF(COUNTA(B2861:E2861)=0,"",IF(COUNTA(B2861:E2861)&lt;4,"⚠ กรอกไม่ครบ",IF(NOT(ISNUMBER(B2861)),"⚠ วันที่ไม่ถูกต้อง",IF(COUNTIFS(Setup!$L$6:$L$60,D2861,Setup!$M$6:$M$60,C2861)=0,"⚠ หมวดไม่ตรงประเภท","✓"))))</f>
        <v/>
      </c>
    </row>
    <row r="2862">
      <c r="B2862" s="113" t="n"/>
      <c r="C2862" s="114" t="n"/>
      <c r="D2862" s="115" t="n"/>
      <c r="E2862" s="116" t="n"/>
      <c r="F2862" s="115" t="n"/>
      <c r="G2862" s="117">
        <f>IF(COUNTA(B2862:E2862)=0,"",IF(COUNTA(B2862:E2862)&lt;4,"⚠ กรอกไม่ครบ",IF(NOT(ISNUMBER(B2862)),"⚠ วันที่ไม่ถูกต้อง",IF(COUNTIFS(Setup!$L$6:$L$60,D2862,Setup!$M$6:$M$60,C2862)=0,"⚠ หมวดไม่ตรงประเภท","✓"))))</f>
        <v/>
      </c>
    </row>
    <row r="2863">
      <c r="B2863" s="113" t="n"/>
      <c r="C2863" s="114" t="n"/>
      <c r="D2863" s="115" t="n"/>
      <c r="E2863" s="116" t="n"/>
      <c r="F2863" s="115" t="n"/>
      <c r="G2863" s="117">
        <f>IF(COUNTA(B2863:E2863)=0,"",IF(COUNTA(B2863:E2863)&lt;4,"⚠ กรอกไม่ครบ",IF(NOT(ISNUMBER(B2863)),"⚠ วันที่ไม่ถูกต้อง",IF(COUNTIFS(Setup!$L$6:$L$60,D2863,Setup!$M$6:$M$60,C2863)=0,"⚠ หมวดไม่ตรงประเภท","✓"))))</f>
        <v/>
      </c>
    </row>
    <row r="2864">
      <c r="B2864" s="113" t="n"/>
      <c r="C2864" s="114" t="n"/>
      <c r="D2864" s="115" t="n"/>
      <c r="E2864" s="116" t="n"/>
      <c r="F2864" s="115" t="n"/>
      <c r="G2864" s="117">
        <f>IF(COUNTA(B2864:E2864)=0,"",IF(COUNTA(B2864:E2864)&lt;4,"⚠ กรอกไม่ครบ",IF(NOT(ISNUMBER(B2864)),"⚠ วันที่ไม่ถูกต้อง",IF(COUNTIFS(Setup!$L$6:$L$60,D2864,Setup!$M$6:$M$60,C2864)=0,"⚠ หมวดไม่ตรงประเภท","✓"))))</f>
        <v/>
      </c>
    </row>
    <row r="2865">
      <c r="B2865" s="113" t="n"/>
      <c r="C2865" s="114" t="n"/>
      <c r="D2865" s="115" t="n"/>
      <c r="E2865" s="116" t="n"/>
      <c r="F2865" s="115" t="n"/>
      <c r="G2865" s="117">
        <f>IF(COUNTA(B2865:E2865)=0,"",IF(COUNTA(B2865:E2865)&lt;4,"⚠ กรอกไม่ครบ",IF(NOT(ISNUMBER(B2865)),"⚠ วันที่ไม่ถูกต้อง",IF(COUNTIFS(Setup!$L$6:$L$60,D2865,Setup!$M$6:$M$60,C2865)=0,"⚠ หมวดไม่ตรงประเภท","✓"))))</f>
        <v/>
      </c>
    </row>
    <row r="2866">
      <c r="B2866" s="113" t="n"/>
      <c r="C2866" s="114" t="n"/>
      <c r="D2866" s="115" t="n"/>
      <c r="E2866" s="116" t="n"/>
      <c r="F2866" s="115" t="n"/>
      <c r="G2866" s="117">
        <f>IF(COUNTA(B2866:E2866)=0,"",IF(COUNTA(B2866:E2866)&lt;4,"⚠ กรอกไม่ครบ",IF(NOT(ISNUMBER(B2866)),"⚠ วันที่ไม่ถูกต้อง",IF(COUNTIFS(Setup!$L$6:$L$60,D2866,Setup!$M$6:$M$60,C2866)=0,"⚠ หมวดไม่ตรงประเภท","✓"))))</f>
        <v/>
      </c>
    </row>
    <row r="2867">
      <c r="B2867" s="113" t="n"/>
      <c r="C2867" s="114" t="n"/>
      <c r="D2867" s="115" t="n"/>
      <c r="E2867" s="116" t="n"/>
      <c r="F2867" s="115" t="n"/>
      <c r="G2867" s="117">
        <f>IF(COUNTA(B2867:E2867)=0,"",IF(COUNTA(B2867:E2867)&lt;4,"⚠ กรอกไม่ครบ",IF(NOT(ISNUMBER(B2867)),"⚠ วันที่ไม่ถูกต้อง",IF(COUNTIFS(Setup!$L$6:$L$60,D2867,Setup!$M$6:$M$60,C2867)=0,"⚠ หมวดไม่ตรงประเภท","✓"))))</f>
        <v/>
      </c>
    </row>
    <row r="2868">
      <c r="B2868" s="113" t="n"/>
      <c r="C2868" s="114" t="n"/>
      <c r="D2868" s="115" t="n"/>
      <c r="E2868" s="116" t="n"/>
      <c r="F2868" s="115" t="n"/>
      <c r="G2868" s="117">
        <f>IF(COUNTA(B2868:E2868)=0,"",IF(COUNTA(B2868:E2868)&lt;4,"⚠ กรอกไม่ครบ",IF(NOT(ISNUMBER(B2868)),"⚠ วันที่ไม่ถูกต้อง",IF(COUNTIFS(Setup!$L$6:$L$60,D2868,Setup!$M$6:$M$60,C2868)=0,"⚠ หมวดไม่ตรงประเภท","✓"))))</f>
        <v/>
      </c>
    </row>
    <row r="2869">
      <c r="B2869" s="113" t="n"/>
      <c r="C2869" s="114" t="n"/>
      <c r="D2869" s="115" t="n"/>
      <c r="E2869" s="116" t="n"/>
      <c r="F2869" s="115" t="n"/>
      <c r="G2869" s="117">
        <f>IF(COUNTA(B2869:E2869)=0,"",IF(COUNTA(B2869:E2869)&lt;4,"⚠ กรอกไม่ครบ",IF(NOT(ISNUMBER(B2869)),"⚠ วันที่ไม่ถูกต้อง",IF(COUNTIFS(Setup!$L$6:$L$60,D2869,Setup!$M$6:$M$60,C2869)=0,"⚠ หมวดไม่ตรงประเภท","✓"))))</f>
        <v/>
      </c>
    </row>
    <row r="2870">
      <c r="B2870" s="113" t="n"/>
      <c r="C2870" s="114" t="n"/>
      <c r="D2870" s="115" t="n"/>
      <c r="E2870" s="116" t="n"/>
      <c r="F2870" s="115" t="n"/>
      <c r="G2870" s="117">
        <f>IF(COUNTA(B2870:E2870)=0,"",IF(COUNTA(B2870:E2870)&lt;4,"⚠ กรอกไม่ครบ",IF(NOT(ISNUMBER(B2870)),"⚠ วันที่ไม่ถูกต้อง",IF(COUNTIFS(Setup!$L$6:$L$60,D2870,Setup!$M$6:$M$60,C2870)=0,"⚠ หมวดไม่ตรงประเภท","✓"))))</f>
        <v/>
      </c>
    </row>
    <row r="2871">
      <c r="B2871" s="113" t="n"/>
      <c r="C2871" s="114" t="n"/>
      <c r="D2871" s="115" t="n"/>
      <c r="E2871" s="116" t="n"/>
      <c r="F2871" s="115" t="n"/>
      <c r="G2871" s="117">
        <f>IF(COUNTA(B2871:E2871)=0,"",IF(COUNTA(B2871:E2871)&lt;4,"⚠ กรอกไม่ครบ",IF(NOT(ISNUMBER(B2871)),"⚠ วันที่ไม่ถูกต้อง",IF(COUNTIFS(Setup!$L$6:$L$60,D2871,Setup!$M$6:$M$60,C2871)=0,"⚠ หมวดไม่ตรงประเภท","✓"))))</f>
        <v/>
      </c>
    </row>
    <row r="2872">
      <c r="B2872" s="113" t="n"/>
      <c r="C2872" s="114" t="n"/>
      <c r="D2872" s="115" t="n"/>
      <c r="E2872" s="116" t="n"/>
      <c r="F2872" s="115" t="n"/>
      <c r="G2872" s="117">
        <f>IF(COUNTA(B2872:E2872)=0,"",IF(COUNTA(B2872:E2872)&lt;4,"⚠ กรอกไม่ครบ",IF(NOT(ISNUMBER(B2872)),"⚠ วันที่ไม่ถูกต้อง",IF(COUNTIFS(Setup!$L$6:$L$60,D2872,Setup!$M$6:$M$60,C2872)=0,"⚠ หมวดไม่ตรงประเภท","✓"))))</f>
        <v/>
      </c>
    </row>
    <row r="2873">
      <c r="B2873" s="113" t="n"/>
      <c r="C2873" s="114" t="n"/>
      <c r="D2873" s="115" t="n"/>
      <c r="E2873" s="116" t="n"/>
      <c r="F2873" s="115" t="n"/>
      <c r="G2873" s="117">
        <f>IF(COUNTA(B2873:E2873)=0,"",IF(COUNTA(B2873:E2873)&lt;4,"⚠ กรอกไม่ครบ",IF(NOT(ISNUMBER(B2873)),"⚠ วันที่ไม่ถูกต้อง",IF(COUNTIFS(Setup!$L$6:$L$60,D2873,Setup!$M$6:$M$60,C2873)=0,"⚠ หมวดไม่ตรงประเภท","✓"))))</f>
        <v/>
      </c>
    </row>
    <row r="2874">
      <c r="B2874" s="113" t="n"/>
      <c r="C2874" s="114" t="n"/>
      <c r="D2874" s="115" t="n"/>
      <c r="E2874" s="116" t="n"/>
      <c r="F2874" s="115" t="n"/>
      <c r="G2874" s="117">
        <f>IF(COUNTA(B2874:E2874)=0,"",IF(COUNTA(B2874:E2874)&lt;4,"⚠ กรอกไม่ครบ",IF(NOT(ISNUMBER(B2874)),"⚠ วันที่ไม่ถูกต้อง",IF(COUNTIFS(Setup!$L$6:$L$60,D2874,Setup!$M$6:$M$60,C2874)=0,"⚠ หมวดไม่ตรงประเภท","✓"))))</f>
        <v/>
      </c>
    </row>
    <row r="2875">
      <c r="B2875" s="113" t="n"/>
      <c r="C2875" s="114" t="n"/>
      <c r="D2875" s="115" t="n"/>
      <c r="E2875" s="116" t="n"/>
      <c r="F2875" s="115" t="n"/>
      <c r="G2875" s="117">
        <f>IF(COUNTA(B2875:E2875)=0,"",IF(COUNTA(B2875:E2875)&lt;4,"⚠ กรอกไม่ครบ",IF(NOT(ISNUMBER(B2875)),"⚠ วันที่ไม่ถูกต้อง",IF(COUNTIFS(Setup!$L$6:$L$60,D2875,Setup!$M$6:$M$60,C2875)=0,"⚠ หมวดไม่ตรงประเภท","✓"))))</f>
        <v/>
      </c>
    </row>
    <row r="2876">
      <c r="B2876" s="113" t="n"/>
      <c r="C2876" s="114" t="n"/>
      <c r="D2876" s="115" t="n"/>
      <c r="E2876" s="116" t="n"/>
      <c r="F2876" s="115" t="n"/>
      <c r="G2876" s="117">
        <f>IF(COUNTA(B2876:E2876)=0,"",IF(COUNTA(B2876:E2876)&lt;4,"⚠ กรอกไม่ครบ",IF(NOT(ISNUMBER(B2876)),"⚠ วันที่ไม่ถูกต้อง",IF(COUNTIFS(Setup!$L$6:$L$60,D2876,Setup!$M$6:$M$60,C2876)=0,"⚠ หมวดไม่ตรงประเภท","✓"))))</f>
        <v/>
      </c>
    </row>
    <row r="2877">
      <c r="B2877" s="113" t="n"/>
      <c r="C2877" s="114" t="n"/>
      <c r="D2877" s="115" t="n"/>
      <c r="E2877" s="116" t="n"/>
      <c r="F2877" s="115" t="n"/>
      <c r="G2877" s="117">
        <f>IF(COUNTA(B2877:E2877)=0,"",IF(COUNTA(B2877:E2877)&lt;4,"⚠ กรอกไม่ครบ",IF(NOT(ISNUMBER(B2877)),"⚠ วันที่ไม่ถูกต้อง",IF(COUNTIFS(Setup!$L$6:$L$60,D2877,Setup!$M$6:$M$60,C2877)=0,"⚠ หมวดไม่ตรงประเภท","✓"))))</f>
        <v/>
      </c>
    </row>
    <row r="2878">
      <c r="B2878" s="113" t="n"/>
      <c r="C2878" s="114" t="n"/>
      <c r="D2878" s="115" t="n"/>
      <c r="E2878" s="116" t="n"/>
      <c r="F2878" s="115" t="n"/>
      <c r="G2878" s="117">
        <f>IF(COUNTA(B2878:E2878)=0,"",IF(COUNTA(B2878:E2878)&lt;4,"⚠ กรอกไม่ครบ",IF(NOT(ISNUMBER(B2878)),"⚠ วันที่ไม่ถูกต้อง",IF(COUNTIFS(Setup!$L$6:$L$60,D2878,Setup!$M$6:$M$60,C2878)=0,"⚠ หมวดไม่ตรงประเภท","✓"))))</f>
        <v/>
      </c>
    </row>
    <row r="2879">
      <c r="B2879" s="113" t="n"/>
      <c r="C2879" s="114" t="n"/>
      <c r="D2879" s="115" t="n"/>
      <c r="E2879" s="116" t="n"/>
      <c r="F2879" s="115" t="n"/>
      <c r="G2879" s="117">
        <f>IF(COUNTA(B2879:E2879)=0,"",IF(COUNTA(B2879:E2879)&lt;4,"⚠ กรอกไม่ครบ",IF(NOT(ISNUMBER(B2879)),"⚠ วันที่ไม่ถูกต้อง",IF(COUNTIFS(Setup!$L$6:$L$60,D2879,Setup!$M$6:$M$60,C2879)=0,"⚠ หมวดไม่ตรงประเภท","✓"))))</f>
        <v/>
      </c>
    </row>
    <row r="2880">
      <c r="B2880" s="113" t="n"/>
      <c r="C2880" s="114" t="n"/>
      <c r="D2880" s="115" t="n"/>
      <c r="E2880" s="116" t="n"/>
      <c r="F2880" s="115" t="n"/>
      <c r="G2880" s="117">
        <f>IF(COUNTA(B2880:E2880)=0,"",IF(COUNTA(B2880:E2880)&lt;4,"⚠ กรอกไม่ครบ",IF(NOT(ISNUMBER(B2880)),"⚠ วันที่ไม่ถูกต้อง",IF(COUNTIFS(Setup!$L$6:$L$60,D2880,Setup!$M$6:$M$60,C2880)=0,"⚠ หมวดไม่ตรงประเภท","✓"))))</f>
        <v/>
      </c>
    </row>
    <row r="2881">
      <c r="B2881" s="113" t="n"/>
      <c r="C2881" s="114" t="n"/>
      <c r="D2881" s="115" t="n"/>
      <c r="E2881" s="116" t="n"/>
      <c r="F2881" s="115" t="n"/>
      <c r="G2881" s="117">
        <f>IF(COUNTA(B2881:E2881)=0,"",IF(COUNTA(B2881:E2881)&lt;4,"⚠ กรอกไม่ครบ",IF(NOT(ISNUMBER(B2881)),"⚠ วันที่ไม่ถูกต้อง",IF(COUNTIFS(Setup!$L$6:$L$60,D2881,Setup!$M$6:$M$60,C2881)=0,"⚠ หมวดไม่ตรงประเภท","✓"))))</f>
        <v/>
      </c>
    </row>
    <row r="2882">
      <c r="B2882" s="113" t="n"/>
      <c r="C2882" s="114" t="n"/>
      <c r="D2882" s="115" t="n"/>
      <c r="E2882" s="116" t="n"/>
      <c r="F2882" s="115" t="n"/>
      <c r="G2882" s="117">
        <f>IF(COUNTA(B2882:E2882)=0,"",IF(COUNTA(B2882:E2882)&lt;4,"⚠ กรอกไม่ครบ",IF(NOT(ISNUMBER(B2882)),"⚠ วันที่ไม่ถูกต้อง",IF(COUNTIFS(Setup!$L$6:$L$60,D2882,Setup!$M$6:$M$60,C2882)=0,"⚠ หมวดไม่ตรงประเภท","✓"))))</f>
        <v/>
      </c>
    </row>
    <row r="2883">
      <c r="B2883" s="113" t="n"/>
      <c r="C2883" s="114" t="n"/>
      <c r="D2883" s="115" t="n"/>
      <c r="E2883" s="116" t="n"/>
      <c r="F2883" s="115" t="n"/>
      <c r="G2883" s="117">
        <f>IF(COUNTA(B2883:E2883)=0,"",IF(COUNTA(B2883:E2883)&lt;4,"⚠ กรอกไม่ครบ",IF(NOT(ISNUMBER(B2883)),"⚠ วันที่ไม่ถูกต้อง",IF(COUNTIFS(Setup!$L$6:$L$60,D2883,Setup!$M$6:$M$60,C2883)=0,"⚠ หมวดไม่ตรงประเภท","✓"))))</f>
        <v/>
      </c>
    </row>
    <row r="2884">
      <c r="B2884" s="113" t="n"/>
      <c r="C2884" s="114" t="n"/>
      <c r="D2884" s="115" t="n"/>
      <c r="E2884" s="116" t="n"/>
      <c r="F2884" s="115" t="n"/>
      <c r="G2884" s="117">
        <f>IF(COUNTA(B2884:E2884)=0,"",IF(COUNTA(B2884:E2884)&lt;4,"⚠ กรอกไม่ครบ",IF(NOT(ISNUMBER(B2884)),"⚠ วันที่ไม่ถูกต้อง",IF(COUNTIFS(Setup!$L$6:$L$60,D2884,Setup!$M$6:$M$60,C2884)=0,"⚠ หมวดไม่ตรงประเภท","✓"))))</f>
        <v/>
      </c>
    </row>
    <row r="2885">
      <c r="B2885" s="113" t="n"/>
      <c r="C2885" s="114" t="n"/>
      <c r="D2885" s="115" t="n"/>
      <c r="E2885" s="116" t="n"/>
      <c r="F2885" s="115" t="n"/>
      <c r="G2885" s="117">
        <f>IF(COUNTA(B2885:E2885)=0,"",IF(COUNTA(B2885:E2885)&lt;4,"⚠ กรอกไม่ครบ",IF(NOT(ISNUMBER(B2885)),"⚠ วันที่ไม่ถูกต้อง",IF(COUNTIFS(Setup!$L$6:$L$60,D2885,Setup!$M$6:$M$60,C2885)=0,"⚠ หมวดไม่ตรงประเภท","✓"))))</f>
        <v/>
      </c>
    </row>
    <row r="2886">
      <c r="B2886" s="113" t="n"/>
      <c r="C2886" s="114" t="n"/>
      <c r="D2886" s="115" t="n"/>
      <c r="E2886" s="116" t="n"/>
      <c r="F2886" s="115" t="n"/>
      <c r="G2886" s="117">
        <f>IF(COUNTA(B2886:E2886)=0,"",IF(COUNTA(B2886:E2886)&lt;4,"⚠ กรอกไม่ครบ",IF(NOT(ISNUMBER(B2886)),"⚠ วันที่ไม่ถูกต้อง",IF(COUNTIFS(Setup!$L$6:$L$60,D2886,Setup!$M$6:$M$60,C2886)=0,"⚠ หมวดไม่ตรงประเภท","✓"))))</f>
        <v/>
      </c>
    </row>
    <row r="2887">
      <c r="B2887" s="113" t="n"/>
      <c r="C2887" s="114" t="n"/>
      <c r="D2887" s="115" t="n"/>
      <c r="E2887" s="116" t="n"/>
      <c r="F2887" s="115" t="n"/>
      <c r="G2887" s="117">
        <f>IF(COUNTA(B2887:E2887)=0,"",IF(COUNTA(B2887:E2887)&lt;4,"⚠ กรอกไม่ครบ",IF(NOT(ISNUMBER(B2887)),"⚠ วันที่ไม่ถูกต้อง",IF(COUNTIFS(Setup!$L$6:$L$60,D2887,Setup!$M$6:$M$60,C2887)=0,"⚠ หมวดไม่ตรงประเภท","✓"))))</f>
        <v/>
      </c>
    </row>
    <row r="2888">
      <c r="B2888" s="113" t="n"/>
      <c r="C2888" s="114" t="n"/>
      <c r="D2888" s="115" t="n"/>
      <c r="E2888" s="116" t="n"/>
      <c r="F2888" s="115" t="n"/>
      <c r="G2888" s="117">
        <f>IF(COUNTA(B2888:E2888)=0,"",IF(COUNTA(B2888:E2888)&lt;4,"⚠ กรอกไม่ครบ",IF(NOT(ISNUMBER(B2888)),"⚠ วันที่ไม่ถูกต้อง",IF(COUNTIFS(Setup!$L$6:$L$60,D2888,Setup!$M$6:$M$60,C2888)=0,"⚠ หมวดไม่ตรงประเภท","✓"))))</f>
        <v/>
      </c>
    </row>
    <row r="2889">
      <c r="B2889" s="113" t="n"/>
      <c r="C2889" s="114" t="n"/>
      <c r="D2889" s="115" t="n"/>
      <c r="E2889" s="116" t="n"/>
      <c r="F2889" s="115" t="n"/>
      <c r="G2889" s="117">
        <f>IF(COUNTA(B2889:E2889)=0,"",IF(COUNTA(B2889:E2889)&lt;4,"⚠ กรอกไม่ครบ",IF(NOT(ISNUMBER(B2889)),"⚠ วันที่ไม่ถูกต้อง",IF(COUNTIFS(Setup!$L$6:$L$60,D2889,Setup!$M$6:$M$60,C2889)=0,"⚠ หมวดไม่ตรงประเภท","✓"))))</f>
        <v/>
      </c>
    </row>
    <row r="2890">
      <c r="B2890" s="113" t="n"/>
      <c r="C2890" s="114" t="n"/>
      <c r="D2890" s="115" t="n"/>
      <c r="E2890" s="116" t="n"/>
      <c r="F2890" s="115" t="n"/>
      <c r="G2890" s="117">
        <f>IF(COUNTA(B2890:E2890)=0,"",IF(COUNTA(B2890:E2890)&lt;4,"⚠ กรอกไม่ครบ",IF(NOT(ISNUMBER(B2890)),"⚠ วันที่ไม่ถูกต้อง",IF(COUNTIFS(Setup!$L$6:$L$60,D2890,Setup!$M$6:$M$60,C2890)=0,"⚠ หมวดไม่ตรงประเภท","✓"))))</f>
        <v/>
      </c>
    </row>
    <row r="2891">
      <c r="B2891" s="113" t="n"/>
      <c r="C2891" s="114" t="n"/>
      <c r="D2891" s="115" t="n"/>
      <c r="E2891" s="116" t="n"/>
      <c r="F2891" s="115" t="n"/>
      <c r="G2891" s="117">
        <f>IF(COUNTA(B2891:E2891)=0,"",IF(COUNTA(B2891:E2891)&lt;4,"⚠ กรอกไม่ครบ",IF(NOT(ISNUMBER(B2891)),"⚠ วันที่ไม่ถูกต้อง",IF(COUNTIFS(Setup!$L$6:$L$60,D2891,Setup!$M$6:$M$60,C2891)=0,"⚠ หมวดไม่ตรงประเภท","✓"))))</f>
        <v/>
      </c>
    </row>
    <row r="2892">
      <c r="B2892" s="113" t="n"/>
      <c r="C2892" s="114" t="n"/>
      <c r="D2892" s="115" t="n"/>
      <c r="E2892" s="116" t="n"/>
      <c r="F2892" s="115" t="n"/>
      <c r="G2892" s="117">
        <f>IF(COUNTA(B2892:E2892)=0,"",IF(COUNTA(B2892:E2892)&lt;4,"⚠ กรอกไม่ครบ",IF(NOT(ISNUMBER(B2892)),"⚠ วันที่ไม่ถูกต้อง",IF(COUNTIFS(Setup!$L$6:$L$60,D2892,Setup!$M$6:$M$60,C2892)=0,"⚠ หมวดไม่ตรงประเภท","✓"))))</f>
        <v/>
      </c>
    </row>
    <row r="2893">
      <c r="B2893" s="113" t="n"/>
      <c r="C2893" s="114" t="n"/>
      <c r="D2893" s="115" t="n"/>
      <c r="E2893" s="116" t="n"/>
      <c r="F2893" s="115" t="n"/>
      <c r="G2893" s="117">
        <f>IF(COUNTA(B2893:E2893)=0,"",IF(COUNTA(B2893:E2893)&lt;4,"⚠ กรอกไม่ครบ",IF(NOT(ISNUMBER(B2893)),"⚠ วันที่ไม่ถูกต้อง",IF(COUNTIFS(Setup!$L$6:$L$60,D2893,Setup!$M$6:$M$60,C2893)=0,"⚠ หมวดไม่ตรงประเภท","✓"))))</f>
        <v/>
      </c>
    </row>
    <row r="2894">
      <c r="B2894" s="113" t="n"/>
      <c r="C2894" s="114" t="n"/>
      <c r="D2894" s="115" t="n"/>
      <c r="E2894" s="116" t="n"/>
      <c r="F2894" s="115" t="n"/>
      <c r="G2894" s="117">
        <f>IF(COUNTA(B2894:E2894)=0,"",IF(COUNTA(B2894:E2894)&lt;4,"⚠ กรอกไม่ครบ",IF(NOT(ISNUMBER(B2894)),"⚠ วันที่ไม่ถูกต้อง",IF(COUNTIFS(Setup!$L$6:$L$60,D2894,Setup!$M$6:$M$60,C2894)=0,"⚠ หมวดไม่ตรงประเภท","✓"))))</f>
        <v/>
      </c>
    </row>
    <row r="2895">
      <c r="B2895" s="113" t="n"/>
      <c r="C2895" s="114" t="n"/>
      <c r="D2895" s="115" t="n"/>
      <c r="E2895" s="116" t="n"/>
      <c r="F2895" s="115" t="n"/>
      <c r="G2895" s="117">
        <f>IF(COUNTA(B2895:E2895)=0,"",IF(COUNTA(B2895:E2895)&lt;4,"⚠ กรอกไม่ครบ",IF(NOT(ISNUMBER(B2895)),"⚠ วันที่ไม่ถูกต้อง",IF(COUNTIFS(Setup!$L$6:$L$60,D2895,Setup!$M$6:$M$60,C2895)=0,"⚠ หมวดไม่ตรงประเภท","✓"))))</f>
        <v/>
      </c>
    </row>
    <row r="2896">
      <c r="B2896" s="113" t="n"/>
      <c r="C2896" s="114" t="n"/>
      <c r="D2896" s="115" t="n"/>
      <c r="E2896" s="116" t="n"/>
      <c r="F2896" s="115" t="n"/>
      <c r="G2896" s="117">
        <f>IF(COUNTA(B2896:E2896)=0,"",IF(COUNTA(B2896:E2896)&lt;4,"⚠ กรอกไม่ครบ",IF(NOT(ISNUMBER(B2896)),"⚠ วันที่ไม่ถูกต้อง",IF(COUNTIFS(Setup!$L$6:$L$60,D2896,Setup!$M$6:$M$60,C2896)=0,"⚠ หมวดไม่ตรงประเภท","✓"))))</f>
        <v/>
      </c>
    </row>
    <row r="2897">
      <c r="B2897" s="113" t="n"/>
      <c r="C2897" s="114" t="n"/>
      <c r="D2897" s="115" t="n"/>
      <c r="E2897" s="116" t="n"/>
      <c r="F2897" s="115" t="n"/>
      <c r="G2897" s="117">
        <f>IF(COUNTA(B2897:E2897)=0,"",IF(COUNTA(B2897:E2897)&lt;4,"⚠ กรอกไม่ครบ",IF(NOT(ISNUMBER(B2897)),"⚠ วันที่ไม่ถูกต้อง",IF(COUNTIFS(Setup!$L$6:$L$60,D2897,Setup!$M$6:$M$60,C2897)=0,"⚠ หมวดไม่ตรงประเภท","✓"))))</f>
        <v/>
      </c>
    </row>
    <row r="2898">
      <c r="B2898" s="113" t="n"/>
      <c r="C2898" s="114" t="n"/>
      <c r="D2898" s="115" t="n"/>
      <c r="E2898" s="116" t="n"/>
      <c r="F2898" s="115" t="n"/>
      <c r="G2898" s="117">
        <f>IF(COUNTA(B2898:E2898)=0,"",IF(COUNTA(B2898:E2898)&lt;4,"⚠ กรอกไม่ครบ",IF(NOT(ISNUMBER(B2898)),"⚠ วันที่ไม่ถูกต้อง",IF(COUNTIFS(Setup!$L$6:$L$60,D2898,Setup!$M$6:$M$60,C2898)=0,"⚠ หมวดไม่ตรงประเภท","✓"))))</f>
        <v/>
      </c>
    </row>
    <row r="2899">
      <c r="B2899" s="113" t="n"/>
      <c r="C2899" s="114" t="n"/>
      <c r="D2899" s="115" t="n"/>
      <c r="E2899" s="116" t="n"/>
      <c r="F2899" s="115" t="n"/>
      <c r="G2899" s="117">
        <f>IF(COUNTA(B2899:E2899)=0,"",IF(COUNTA(B2899:E2899)&lt;4,"⚠ กรอกไม่ครบ",IF(NOT(ISNUMBER(B2899)),"⚠ วันที่ไม่ถูกต้อง",IF(COUNTIFS(Setup!$L$6:$L$60,D2899,Setup!$M$6:$M$60,C2899)=0,"⚠ หมวดไม่ตรงประเภท","✓"))))</f>
        <v/>
      </c>
    </row>
    <row r="2900">
      <c r="B2900" s="113" t="n"/>
      <c r="C2900" s="114" t="n"/>
      <c r="D2900" s="115" t="n"/>
      <c r="E2900" s="116" t="n"/>
      <c r="F2900" s="115" t="n"/>
      <c r="G2900" s="117">
        <f>IF(COUNTA(B2900:E2900)=0,"",IF(COUNTA(B2900:E2900)&lt;4,"⚠ กรอกไม่ครบ",IF(NOT(ISNUMBER(B2900)),"⚠ วันที่ไม่ถูกต้อง",IF(COUNTIFS(Setup!$L$6:$L$60,D2900,Setup!$M$6:$M$60,C2900)=0,"⚠ หมวดไม่ตรงประเภท","✓"))))</f>
        <v/>
      </c>
    </row>
    <row r="2901">
      <c r="B2901" s="113" t="n"/>
      <c r="C2901" s="114" t="n"/>
      <c r="D2901" s="115" t="n"/>
      <c r="E2901" s="116" t="n"/>
      <c r="F2901" s="115" t="n"/>
      <c r="G2901" s="117">
        <f>IF(COUNTA(B2901:E2901)=0,"",IF(COUNTA(B2901:E2901)&lt;4,"⚠ กรอกไม่ครบ",IF(NOT(ISNUMBER(B2901)),"⚠ วันที่ไม่ถูกต้อง",IF(COUNTIFS(Setup!$L$6:$L$60,D2901,Setup!$M$6:$M$60,C2901)=0,"⚠ หมวดไม่ตรงประเภท","✓"))))</f>
        <v/>
      </c>
    </row>
    <row r="2902">
      <c r="B2902" s="113" t="n"/>
      <c r="C2902" s="114" t="n"/>
      <c r="D2902" s="115" t="n"/>
      <c r="E2902" s="116" t="n"/>
      <c r="F2902" s="115" t="n"/>
      <c r="G2902" s="117">
        <f>IF(COUNTA(B2902:E2902)=0,"",IF(COUNTA(B2902:E2902)&lt;4,"⚠ กรอกไม่ครบ",IF(NOT(ISNUMBER(B2902)),"⚠ วันที่ไม่ถูกต้อง",IF(COUNTIFS(Setup!$L$6:$L$60,D2902,Setup!$M$6:$M$60,C2902)=0,"⚠ หมวดไม่ตรงประเภท","✓"))))</f>
        <v/>
      </c>
    </row>
    <row r="2903">
      <c r="B2903" s="113" t="n"/>
      <c r="C2903" s="114" t="n"/>
      <c r="D2903" s="115" t="n"/>
      <c r="E2903" s="116" t="n"/>
      <c r="F2903" s="115" t="n"/>
      <c r="G2903" s="117">
        <f>IF(COUNTA(B2903:E2903)=0,"",IF(COUNTA(B2903:E2903)&lt;4,"⚠ กรอกไม่ครบ",IF(NOT(ISNUMBER(B2903)),"⚠ วันที่ไม่ถูกต้อง",IF(COUNTIFS(Setup!$L$6:$L$60,D2903,Setup!$M$6:$M$60,C2903)=0,"⚠ หมวดไม่ตรงประเภท","✓"))))</f>
        <v/>
      </c>
    </row>
    <row r="2904">
      <c r="B2904" s="113" t="n"/>
      <c r="C2904" s="114" t="n"/>
      <c r="D2904" s="115" t="n"/>
      <c r="E2904" s="116" t="n"/>
      <c r="F2904" s="115" t="n"/>
      <c r="G2904" s="117">
        <f>IF(COUNTA(B2904:E2904)=0,"",IF(COUNTA(B2904:E2904)&lt;4,"⚠ กรอกไม่ครบ",IF(NOT(ISNUMBER(B2904)),"⚠ วันที่ไม่ถูกต้อง",IF(COUNTIFS(Setup!$L$6:$L$60,D2904,Setup!$M$6:$M$60,C2904)=0,"⚠ หมวดไม่ตรงประเภท","✓"))))</f>
        <v/>
      </c>
    </row>
    <row r="2905">
      <c r="B2905" s="113" t="n"/>
      <c r="C2905" s="114" t="n"/>
      <c r="D2905" s="115" t="n"/>
      <c r="E2905" s="116" t="n"/>
      <c r="F2905" s="115" t="n"/>
      <c r="G2905" s="117">
        <f>IF(COUNTA(B2905:E2905)=0,"",IF(COUNTA(B2905:E2905)&lt;4,"⚠ กรอกไม่ครบ",IF(NOT(ISNUMBER(B2905)),"⚠ วันที่ไม่ถูกต้อง",IF(COUNTIFS(Setup!$L$6:$L$60,D2905,Setup!$M$6:$M$60,C2905)=0,"⚠ หมวดไม่ตรงประเภท","✓"))))</f>
        <v/>
      </c>
    </row>
    <row r="2906">
      <c r="B2906" s="113" t="n"/>
      <c r="C2906" s="114" t="n"/>
      <c r="D2906" s="115" t="n"/>
      <c r="E2906" s="116" t="n"/>
      <c r="F2906" s="115" t="n"/>
      <c r="G2906" s="117">
        <f>IF(COUNTA(B2906:E2906)=0,"",IF(COUNTA(B2906:E2906)&lt;4,"⚠ กรอกไม่ครบ",IF(NOT(ISNUMBER(B2906)),"⚠ วันที่ไม่ถูกต้อง",IF(COUNTIFS(Setup!$L$6:$L$60,D2906,Setup!$M$6:$M$60,C2906)=0,"⚠ หมวดไม่ตรงประเภท","✓"))))</f>
        <v/>
      </c>
    </row>
    <row r="2907">
      <c r="B2907" s="113" t="n"/>
      <c r="C2907" s="114" t="n"/>
      <c r="D2907" s="115" t="n"/>
      <c r="E2907" s="116" t="n"/>
      <c r="F2907" s="115" t="n"/>
      <c r="G2907" s="117">
        <f>IF(COUNTA(B2907:E2907)=0,"",IF(COUNTA(B2907:E2907)&lt;4,"⚠ กรอกไม่ครบ",IF(NOT(ISNUMBER(B2907)),"⚠ วันที่ไม่ถูกต้อง",IF(COUNTIFS(Setup!$L$6:$L$60,D2907,Setup!$M$6:$M$60,C2907)=0,"⚠ หมวดไม่ตรงประเภท","✓"))))</f>
        <v/>
      </c>
    </row>
    <row r="2908">
      <c r="B2908" s="113" t="n"/>
      <c r="C2908" s="114" t="n"/>
      <c r="D2908" s="115" t="n"/>
      <c r="E2908" s="116" t="n"/>
      <c r="F2908" s="115" t="n"/>
      <c r="G2908" s="117">
        <f>IF(COUNTA(B2908:E2908)=0,"",IF(COUNTA(B2908:E2908)&lt;4,"⚠ กรอกไม่ครบ",IF(NOT(ISNUMBER(B2908)),"⚠ วันที่ไม่ถูกต้อง",IF(COUNTIFS(Setup!$L$6:$L$60,D2908,Setup!$M$6:$M$60,C2908)=0,"⚠ หมวดไม่ตรงประเภท","✓"))))</f>
        <v/>
      </c>
    </row>
    <row r="2909">
      <c r="B2909" s="113" t="n"/>
      <c r="C2909" s="114" t="n"/>
      <c r="D2909" s="115" t="n"/>
      <c r="E2909" s="116" t="n"/>
      <c r="F2909" s="115" t="n"/>
      <c r="G2909" s="117">
        <f>IF(COUNTA(B2909:E2909)=0,"",IF(COUNTA(B2909:E2909)&lt;4,"⚠ กรอกไม่ครบ",IF(NOT(ISNUMBER(B2909)),"⚠ วันที่ไม่ถูกต้อง",IF(COUNTIFS(Setup!$L$6:$L$60,D2909,Setup!$M$6:$M$60,C2909)=0,"⚠ หมวดไม่ตรงประเภท","✓"))))</f>
        <v/>
      </c>
    </row>
    <row r="2910">
      <c r="B2910" s="113" t="n"/>
      <c r="C2910" s="114" t="n"/>
      <c r="D2910" s="115" t="n"/>
      <c r="E2910" s="116" t="n"/>
      <c r="F2910" s="115" t="n"/>
      <c r="G2910" s="117">
        <f>IF(COUNTA(B2910:E2910)=0,"",IF(COUNTA(B2910:E2910)&lt;4,"⚠ กรอกไม่ครบ",IF(NOT(ISNUMBER(B2910)),"⚠ วันที่ไม่ถูกต้อง",IF(COUNTIFS(Setup!$L$6:$L$60,D2910,Setup!$M$6:$M$60,C2910)=0,"⚠ หมวดไม่ตรงประเภท","✓"))))</f>
        <v/>
      </c>
    </row>
    <row r="2911">
      <c r="B2911" s="113" t="n"/>
      <c r="C2911" s="114" t="n"/>
      <c r="D2911" s="115" t="n"/>
      <c r="E2911" s="116" t="n"/>
      <c r="F2911" s="115" t="n"/>
      <c r="G2911" s="117">
        <f>IF(COUNTA(B2911:E2911)=0,"",IF(COUNTA(B2911:E2911)&lt;4,"⚠ กรอกไม่ครบ",IF(NOT(ISNUMBER(B2911)),"⚠ วันที่ไม่ถูกต้อง",IF(COUNTIFS(Setup!$L$6:$L$60,D2911,Setup!$M$6:$M$60,C2911)=0,"⚠ หมวดไม่ตรงประเภท","✓"))))</f>
        <v/>
      </c>
    </row>
    <row r="2912">
      <c r="B2912" s="113" t="n"/>
      <c r="C2912" s="114" t="n"/>
      <c r="D2912" s="115" t="n"/>
      <c r="E2912" s="116" t="n"/>
      <c r="F2912" s="115" t="n"/>
      <c r="G2912" s="117">
        <f>IF(COUNTA(B2912:E2912)=0,"",IF(COUNTA(B2912:E2912)&lt;4,"⚠ กรอกไม่ครบ",IF(NOT(ISNUMBER(B2912)),"⚠ วันที่ไม่ถูกต้อง",IF(COUNTIFS(Setup!$L$6:$L$60,D2912,Setup!$M$6:$M$60,C2912)=0,"⚠ หมวดไม่ตรงประเภท","✓"))))</f>
        <v/>
      </c>
    </row>
    <row r="2913">
      <c r="B2913" s="113" t="n"/>
      <c r="C2913" s="114" t="n"/>
      <c r="D2913" s="115" t="n"/>
      <c r="E2913" s="116" t="n"/>
      <c r="F2913" s="115" t="n"/>
      <c r="G2913" s="117">
        <f>IF(COUNTA(B2913:E2913)=0,"",IF(COUNTA(B2913:E2913)&lt;4,"⚠ กรอกไม่ครบ",IF(NOT(ISNUMBER(B2913)),"⚠ วันที่ไม่ถูกต้อง",IF(COUNTIFS(Setup!$L$6:$L$60,D2913,Setup!$M$6:$M$60,C2913)=0,"⚠ หมวดไม่ตรงประเภท","✓"))))</f>
        <v/>
      </c>
    </row>
    <row r="2914">
      <c r="B2914" s="113" t="n"/>
      <c r="C2914" s="114" t="n"/>
      <c r="D2914" s="115" t="n"/>
      <c r="E2914" s="116" t="n"/>
      <c r="F2914" s="115" t="n"/>
      <c r="G2914" s="117">
        <f>IF(COUNTA(B2914:E2914)=0,"",IF(COUNTA(B2914:E2914)&lt;4,"⚠ กรอกไม่ครบ",IF(NOT(ISNUMBER(B2914)),"⚠ วันที่ไม่ถูกต้อง",IF(COUNTIFS(Setup!$L$6:$L$60,D2914,Setup!$M$6:$M$60,C2914)=0,"⚠ หมวดไม่ตรงประเภท","✓"))))</f>
        <v/>
      </c>
    </row>
    <row r="2915">
      <c r="B2915" s="113" t="n"/>
      <c r="C2915" s="114" t="n"/>
      <c r="D2915" s="115" t="n"/>
      <c r="E2915" s="116" t="n"/>
      <c r="F2915" s="115" t="n"/>
      <c r="G2915" s="117">
        <f>IF(COUNTA(B2915:E2915)=0,"",IF(COUNTA(B2915:E2915)&lt;4,"⚠ กรอกไม่ครบ",IF(NOT(ISNUMBER(B2915)),"⚠ วันที่ไม่ถูกต้อง",IF(COUNTIFS(Setup!$L$6:$L$60,D2915,Setup!$M$6:$M$60,C2915)=0,"⚠ หมวดไม่ตรงประเภท","✓"))))</f>
        <v/>
      </c>
    </row>
    <row r="2916">
      <c r="B2916" s="113" t="n"/>
      <c r="C2916" s="114" t="n"/>
      <c r="D2916" s="115" t="n"/>
      <c r="E2916" s="116" t="n"/>
      <c r="F2916" s="115" t="n"/>
      <c r="G2916" s="117">
        <f>IF(COUNTA(B2916:E2916)=0,"",IF(COUNTA(B2916:E2916)&lt;4,"⚠ กรอกไม่ครบ",IF(NOT(ISNUMBER(B2916)),"⚠ วันที่ไม่ถูกต้อง",IF(COUNTIFS(Setup!$L$6:$L$60,D2916,Setup!$M$6:$M$60,C2916)=0,"⚠ หมวดไม่ตรงประเภท","✓"))))</f>
        <v/>
      </c>
    </row>
    <row r="2917">
      <c r="B2917" s="113" t="n"/>
      <c r="C2917" s="114" t="n"/>
      <c r="D2917" s="115" t="n"/>
      <c r="E2917" s="116" t="n"/>
      <c r="F2917" s="115" t="n"/>
      <c r="G2917" s="117">
        <f>IF(COUNTA(B2917:E2917)=0,"",IF(COUNTA(B2917:E2917)&lt;4,"⚠ กรอกไม่ครบ",IF(NOT(ISNUMBER(B2917)),"⚠ วันที่ไม่ถูกต้อง",IF(COUNTIFS(Setup!$L$6:$L$60,D2917,Setup!$M$6:$M$60,C2917)=0,"⚠ หมวดไม่ตรงประเภท","✓"))))</f>
        <v/>
      </c>
    </row>
    <row r="2918">
      <c r="B2918" s="113" t="n"/>
      <c r="C2918" s="114" t="n"/>
      <c r="D2918" s="115" t="n"/>
      <c r="E2918" s="116" t="n"/>
      <c r="F2918" s="115" t="n"/>
      <c r="G2918" s="117">
        <f>IF(COUNTA(B2918:E2918)=0,"",IF(COUNTA(B2918:E2918)&lt;4,"⚠ กรอกไม่ครบ",IF(NOT(ISNUMBER(B2918)),"⚠ วันที่ไม่ถูกต้อง",IF(COUNTIFS(Setup!$L$6:$L$60,D2918,Setup!$M$6:$M$60,C2918)=0,"⚠ หมวดไม่ตรงประเภท","✓"))))</f>
        <v/>
      </c>
    </row>
    <row r="2919">
      <c r="B2919" s="113" t="n"/>
      <c r="C2919" s="114" t="n"/>
      <c r="D2919" s="115" t="n"/>
      <c r="E2919" s="116" t="n"/>
      <c r="F2919" s="115" t="n"/>
      <c r="G2919" s="117">
        <f>IF(COUNTA(B2919:E2919)=0,"",IF(COUNTA(B2919:E2919)&lt;4,"⚠ กรอกไม่ครบ",IF(NOT(ISNUMBER(B2919)),"⚠ วันที่ไม่ถูกต้อง",IF(COUNTIFS(Setup!$L$6:$L$60,D2919,Setup!$M$6:$M$60,C2919)=0,"⚠ หมวดไม่ตรงประเภท","✓"))))</f>
        <v/>
      </c>
    </row>
    <row r="2920">
      <c r="B2920" s="113" t="n"/>
      <c r="C2920" s="114" t="n"/>
      <c r="D2920" s="115" t="n"/>
      <c r="E2920" s="116" t="n"/>
      <c r="F2920" s="115" t="n"/>
      <c r="G2920" s="117">
        <f>IF(COUNTA(B2920:E2920)=0,"",IF(COUNTA(B2920:E2920)&lt;4,"⚠ กรอกไม่ครบ",IF(NOT(ISNUMBER(B2920)),"⚠ วันที่ไม่ถูกต้อง",IF(COUNTIFS(Setup!$L$6:$L$60,D2920,Setup!$M$6:$M$60,C2920)=0,"⚠ หมวดไม่ตรงประเภท","✓"))))</f>
        <v/>
      </c>
    </row>
    <row r="2921">
      <c r="B2921" s="113" t="n"/>
      <c r="C2921" s="114" t="n"/>
      <c r="D2921" s="115" t="n"/>
      <c r="E2921" s="116" t="n"/>
      <c r="F2921" s="115" t="n"/>
      <c r="G2921" s="117">
        <f>IF(COUNTA(B2921:E2921)=0,"",IF(COUNTA(B2921:E2921)&lt;4,"⚠ กรอกไม่ครบ",IF(NOT(ISNUMBER(B2921)),"⚠ วันที่ไม่ถูกต้อง",IF(COUNTIFS(Setup!$L$6:$L$60,D2921,Setup!$M$6:$M$60,C2921)=0,"⚠ หมวดไม่ตรงประเภท","✓"))))</f>
        <v/>
      </c>
    </row>
    <row r="2922">
      <c r="B2922" s="113" t="n"/>
      <c r="C2922" s="114" t="n"/>
      <c r="D2922" s="115" t="n"/>
      <c r="E2922" s="116" t="n"/>
      <c r="F2922" s="115" t="n"/>
      <c r="G2922" s="117">
        <f>IF(COUNTA(B2922:E2922)=0,"",IF(COUNTA(B2922:E2922)&lt;4,"⚠ กรอกไม่ครบ",IF(NOT(ISNUMBER(B2922)),"⚠ วันที่ไม่ถูกต้อง",IF(COUNTIFS(Setup!$L$6:$L$60,D2922,Setup!$M$6:$M$60,C2922)=0,"⚠ หมวดไม่ตรงประเภท","✓"))))</f>
        <v/>
      </c>
    </row>
    <row r="2923">
      <c r="B2923" s="113" t="n"/>
      <c r="C2923" s="114" t="n"/>
      <c r="D2923" s="115" t="n"/>
      <c r="E2923" s="116" t="n"/>
      <c r="F2923" s="115" t="n"/>
      <c r="G2923" s="117">
        <f>IF(COUNTA(B2923:E2923)=0,"",IF(COUNTA(B2923:E2923)&lt;4,"⚠ กรอกไม่ครบ",IF(NOT(ISNUMBER(B2923)),"⚠ วันที่ไม่ถูกต้อง",IF(COUNTIFS(Setup!$L$6:$L$60,D2923,Setup!$M$6:$M$60,C2923)=0,"⚠ หมวดไม่ตรงประเภท","✓"))))</f>
        <v/>
      </c>
    </row>
    <row r="2924">
      <c r="B2924" s="113" t="n"/>
      <c r="C2924" s="114" t="n"/>
      <c r="D2924" s="115" t="n"/>
      <c r="E2924" s="116" t="n"/>
      <c r="F2924" s="115" t="n"/>
      <c r="G2924" s="117">
        <f>IF(COUNTA(B2924:E2924)=0,"",IF(COUNTA(B2924:E2924)&lt;4,"⚠ กรอกไม่ครบ",IF(NOT(ISNUMBER(B2924)),"⚠ วันที่ไม่ถูกต้อง",IF(COUNTIFS(Setup!$L$6:$L$60,D2924,Setup!$M$6:$M$60,C2924)=0,"⚠ หมวดไม่ตรงประเภท","✓"))))</f>
        <v/>
      </c>
    </row>
    <row r="2925">
      <c r="B2925" s="113" t="n"/>
      <c r="C2925" s="114" t="n"/>
      <c r="D2925" s="115" t="n"/>
      <c r="E2925" s="116" t="n"/>
      <c r="F2925" s="115" t="n"/>
      <c r="G2925" s="117">
        <f>IF(COUNTA(B2925:E2925)=0,"",IF(COUNTA(B2925:E2925)&lt;4,"⚠ กรอกไม่ครบ",IF(NOT(ISNUMBER(B2925)),"⚠ วันที่ไม่ถูกต้อง",IF(COUNTIFS(Setup!$L$6:$L$60,D2925,Setup!$M$6:$M$60,C2925)=0,"⚠ หมวดไม่ตรงประเภท","✓"))))</f>
        <v/>
      </c>
    </row>
    <row r="2926">
      <c r="B2926" s="113" t="n"/>
      <c r="C2926" s="114" t="n"/>
      <c r="D2926" s="115" t="n"/>
      <c r="E2926" s="116" t="n"/>
      <c r="F2926" s="115" t="n"/>
      <c r="G2926" s="117">
        <f>IF(COUNTA(B2926:E2926)=0,"",IF(COUNTA(B2926:E2926)&lt;4,"⚠ กรอกไม่ครบ",IF(NOT(ISNUMBER(B2926)),"⚠ วันที่ไม่ถูกต้อง",IF(COUNTIFS(Setup!$L$6:$L$60,D2926,Setup!$M$6:$M$60,C2926)=0,"⚠ หมวดไม่ตรงประเภท","✓"))))</f>
        <v/>
      </c>
    </row>
    <row r="2927">
      <c r="B2927" s="113" t="n"/>
      <c r="C2927" s="114" t="n"/>
      <c r="D2927" s="115" t="n"/>
      <c r="E2927" s="116" t="n"/>
      <c r="F2927" s="115" t="n"/>
      <c r="G2927" s="117">
        <f>IF(COUNTA(B2927:E2927)=0,"",IF(COUNTA(B2927:E2927)&lt;4,"⚠ กรอกไม่ครบ",IF(NOT(ISNUMBER(B2927)),"⚠ วันที่ไม่ถูกต้อง",IF(COUNTIFS(Setup!$L$6:$L$60,D2927,Setup!$M$6:$M$60,C2927)=0,"⚠ หมวดไม่ตรงประเภท","✓"))))</f>
        <v/>
      </c>
    </row>
    <row r="2928">
      <c r="B2928" s="113" t="n"/>
      <c r="C2928" s="114" t="n"/>
      <c r="D2928" s="115" t="n"/>
      <c r="E2928" s="116" t="n"/>
      <c r="F2928" s="115" t="n"/>
      <c r="G2928" s="117">
        <f>IF(COUNTA(B2928:E2928)=0,"",IF(COUNTA(B2928:E2928)&lt;4,"⚠ กรอกไม่ครบ",IF(NOT(ISNUMBER(B2928)),"⚠ วันที่ไม่ถูกต้อง",IF(COUNTIFS(Setup!$L$6:$L$60,D2928,Setup!$M$6:$M$60,C2928)=0,"⚠ หมวดไม่ตรงประเภท","✓"))))</f>
        <v/>
      </c>
    </row>
    <row r="2929">
      <c r="B2929" s="113" t="n"/>
      <c r="C2929" s="114" t="n"/>
      <c r="D2929" s="115" t="n"/>
      <c r="E2929" s="116" t="n"/>
      <c r="F2929" s="115" t="n"/>
      <c r="G2929" s="117">
        <f>IF(COUNTA(B2929:E2929)=0,"",IF(COUNTA(B2929:E2929)&lt;4,"⚠ กรอกไม่ครบ",IF(NOT(ISNUMBER(B2929)),"⚠ วันที่ไม่ถูกต้อง",IF(COUNTIFS(Setup!$L$6:$L$60,D2929,Setup!$M$6:$M$60,C2929)=0,"⚠ หมวดไม่ตรงประเภท","✓"))))</f>
        <v/>
      </c>
    </row>
    <row r="2930">
      <c r="B2930" s="113" t="n"/>
      <c r="C2930" s="114" t="n"/>
      <c r="D2930" s="115" t="n"/>
      <c r="E2930" s="116" t="n"/>
      <c r="F2930" s="115" t="n"/>
      <c r="G2930" s="117">
        <f>IF(COUNTA(B2930:E2930)=0,"",IF(COUNTA(B2930:E2930)&lt;4,"⚠ กรอกไม่ครบ",IF(NOT(ISNUMBER(B2930)),"⚠ วันที่ไม่ถูกต้อง",IF(COUNTIFS(Setup!$L$6:$L$60,D2930,Setup!$M$6:$M$60,C2930)=0,"⚠ หมวดไม่ตรงประเภท","✓"))))</f>
        <v/>
      </c>
    </row>
    <row r="2931">
      <c r="B2931" s="113" t="n"/>
      <c r="C2931" s="114" t="n"/>
      <c r="D2931" s="115" t="n"/>
      <c r="E2931" s="116" t="n"/>
      <c r="F2931" s="115" t="n"/>
      <c r="G2931" s="117">
        <f>IF(COUNTA(B2931:E2931)=0,"",IF(COUNTA(B2931:E2931)&lt;4,"⚠ กรอกไม่ครบ",IF(NOT(ISNUMBER(B2931)),"⚠ วันที่ไม่ถูกต้อง",IF(COUNTIFS(Setup!$L$6:$L$60,D2931,Setup!$M$6:$M$60,C2931)=0,"⚠ หมวดไม่ตรงประเภท","✓"))))</f>
        <v/>
      </c>
    </row>
    <row r="2932">
      <c r="B2932" s="113" t="n"/>
      <c r="C2932" s="114" t="n"/>
      <c r="D2932" s="115" t="n"/>
      <c r="E2932" s="116" t="n"/>
      <c r="F2932" s="115" t="n"/>
      <c r="G2932" s="117">
        <f>IF(COUNTA(B2932:E2932)=0,"",IF(COUNTA(B2932:E2932)&lt;4,"⚠ กรอกไม่ครบ",IF(NOT(ISNUMBER(B2932)),"⚠ วันที่ไม่ถูกต้อง",IF(COUNTIFS(Setup!$L$6:$L$60,D2932,Setup!$M$6:$M$60,C2932)=0,"⚠ หมวดไม่ตรงประเภท","✓"))))</f>
        <v/>
      </c>
    </row>
    <row r="2933">
      <c r="B2933" s="113" t="n"/>
      <c r="C2933" s="114" t="n"/>
      <c r="D2933" s="115" t="n"/>
      <c r="E2933" s="116" t="n"/>
      <c r="F2933" s="115" t="n"/>
      <c r="G2933" s="117">
        <f>IF(COUNTA(B2933:E2933)=0,"",IF(COUNTA(B2933:E2933)&lt;4,"⚠ กรอกไม่ครบ",IF(NOT(ISNUMBER(B2933)),"⚠ วันที่ไม่ถูกต้อง",IF(COUNTIFS(Setup!$L$6:$L$60,D2933,Setup!$M$6:$M$60,C2933)=0,"⚠ หมวดไม่ตรงประเภท","✓"))))</f>
        <v/>
      </c>
    </row>
    <row r="2934">
      <c r="B2934" s="113" t="n"/>
      <c r="C2934" s="114" t="n"/>
      <c r="D2934" s="115" t="n"/>
      <c r="E2934" s="116" t="n"/>
      <c r="F2934" s="115" t="n"/>
      <c r="G2934" s="117">
        <f>IF(COUNTA(B2934:E2934)=0,"",IF(COUNTA(B2934:E2934)&lt;4,"⚠ กรอกไม่ครบ",IF(NOT(ISNUMBER(B2934)),"⚠ วันที่ไม่ถูกต้อง",IF(COUNTIFS(Setup!$L$6:$L$60,D2934,Setup!$M$6:$M$60,C2934)=0,"⚠ หมวดไม่ตรงประเภท","✓"))))</f>
        <v/>
      </c>
    </row>
    <row r="2935">
      <c r="B2935" s="113" t="n"/>
      <c r="C2935" s="114" t="n"/>
      <c r="D2935" s="115" t="n"/>
      <c r="E2935" s="116" t="n"/>
      <c r="F2935" s="115" t="n"/>
      <c r="G2935" s="117">
        <f>IF(COUNTA(B2935:E2935)=0,"",IF(COUNTA(B2935:E2935)&lt;4,"⚠ กรอกไม่ครบ",IF(NOT(ISNUMBER(B2935)),"⚠ วันที่ไม่ถูกต้อง",IF(COUNTIFS(Setup!$L$6:$L$60,D2935,Setup!$M$6:$M$60,C2935)=0,"⚠ หมวดไม่ตรงประเภท","✓"))))</f>
        <v/>
      </c>
    </row>
    <row r="2936">
      <c r="B2936" s="113" t="n"/>
      <c r="C2936" s="114" t="n"/>
      <c r="D2936" s="115" t="n"/>
      <c r="E2936" s="116" t="n"/>
      <c r="F2936" s="115" t="n"/>
      <c r="G2936" s="117">
        <f>IF(COUNTA(B2936:E2936)=0,"",IF(COUNTA(B2936:E2936)&lt;4,"⚠ กรอกไม่ครบ",IF(NOT(ISNUMBER(B2936)),"⚠ วันที่ไม่ถูกต้อง",IF(COUNTIFS(Setup!$L$6:$L$60,D2936,Setup!$M$6:$M$60,C2936)=0,"⚠ หมวดไม่ตรงประเภท","✓"))))</f>
        <v/>
      </c>
    </row>
    <row r="2937">
      <c r="B2937" s="113" t="n"/>
      <c r="C2937" s="114" t="n"/>
      <c r="D2937" s="115" t="n"/>
      <c r="E2937" s="116" t="n"/>
      <c r="F2937" s="115" t="n"/>
      <c r="G2937" s="117">
        <f>IF(COUNTA(B2937:E2937)=0,"",IF(COUNTA(B2937:E2937)&lt;4,"⚠ กรอกไม่ครบ",IF(NOT(ISNUMBER(B2937)),"⚠ วันที่ไม่ถูกต้อง",IF(COUNTIFS(Setup!$L$6:$L$60,D2937,Setup!$M$6:$M$60,C2937)=0,"⚠ หมวดไม่ตรงประเภท","✓"))))</f>
        <v/>
      </c>
    </row>
    <row r="2938">
      <c r="B2938" s="113" t="n"/>
      <c r="C2938" s="114" t="n"/>
      <c r="D2938" s="115" t="n"/>
      <c r="E2938" s="116" t="n"/>
      <c r="F2938" s="115" t="n"/>
      <c r="G2938" s="117">
        <f>IF(COUNTA(B2938:E2938)=0,"",IF(COUNTA(B2938:E2938)&lt;4,"⚠ กรอกไม่ครบ",IF(NOT(ISNUMBER(B2938)),"⚠ วันที่ไม่ถูกต้อง",IF(COUNTIFS(Setup!$L$6:$L$60,D2938,Setup!$M$6:$M$60,C2938)=0,"⚠ หมวดไม่ตรงประเภท","✓"))))</f>
        <v/>
      </c>
    </row>
    <row r="2939">
      <c r="B2939" s="113" t="n"/>
      <c r="C2939" s="114" t="n"/>
      <c r="D2939" s="115" t="n"/>
      <c r="E2939" s="116" t="n"/>
      <c r="F2939" s="115" t="n"/>
      <c r="G2939" s="117">
        <f>IF(COUNTA(B2939:E2939)=0,"",IF(COUNTA(B2939:E2939)&lt;4,"⚠ กรอกไม่ครบ",IF(NOT(ISNUMBER(B2939)),"⚠ วันที่ไม่ถูกต้อง",IF(COUNTIFS(Setup!$L$6:$L$60,D2939,Setup!$M$6:$M$60,C2939)=0,"⚠ หมวดไม่ตรงประเภท","✓"))))</f>
        <v/>
      </c>
    </row>
    <row r="2940">
      <c r="B2940" s="113" t="n"/>
      <c r="C2940" s="114" t="n"/>
      <c r="D2940" s="115" t="n"/>
      <c r="E2940" s="116" t="n"/>
      <c r="F2940" s="115" t="n"/>
      <c r="G2940" s="117">
        <f>IF(COUNTA(B2940:E2940)=0,"",IF(COUNTA(B2940:E2940)&lt;4,"⚠ กรอกไม่ครบ",IF(NOT(ISNUMBER(B2940)),"⚠ วันที่ไม่ถูกต้อง",IF(COUNTIFS(Setup!$L$6:$L$60,D2940,Setup!$M$6:$M$60,C2940)=0,"⚠ หมวดไม่ตรงประเภท","✓"))))</f>
        <v/>
      </c>
    </row>
    <row r="2941">
      <c r="B2941" s="113" t="n"/>
      <c r="C2941" s="114" t="n"/>
      <c r="D2941" s="115" t="n"/>
      <c r="E2941" s="116" t="n"/>
      <c r="F2941" s="115" t="n"/>
      <c r="G2941" s="117">
        <f>IF(COUNTA(B2941:E2941)=0,"",IF(COUNTA(B2941:E2941)&lt;4,"⚠ กรอกไม่ครบ",IF(NOT(ISNUMBER(B2941)),"⚠ วันที่ไม่ถูกต้อง",IF(COUNTIFS(Setup!$L$6:$L$60,D2941,Setup!$M$6:$M$60,C2941)=0,"⚠ หมวดไม่ตรงประเภท","✓"))))</f>
        <v/>
      </c>
    </row>
    <row r="2942">
      <c r="B2942" s="113" t="n"/>
      <c r="C2942" s="114" t="n"/>
      <c r="D2942" s="115" t="n"/>
      <c r="E2942" s="116" t="n"/>
      <c r="F2942" s="115" t="n"/>
      <c r="G2942" s="117">
        <f>IF(COUNTA(B2942:E2942)=0,"",IF(COUNTA(B2942:E2942)&lt;4,"⚠ กรอกไม่ครบ",IF(NOT(ISNUMBER(B2942)),"⚠ วันที่ไม่ถูกต้อง",IF(COUNTIFS(Setup!$L$6:$L$60,D2942,Setup!$M$6:$M$60,C2942)=0,"⚠ หมวดไม่ตรงประเภท","✓"))))</f>
        <v/>
      </c>
    </row>
    <row r="2943">
      <c r="B2943" s="113" t="n"/>
      <c r="C2943" s="114" t="n"/>
      <c r="D2943" s="115" t="n"/>
      <c r="E2943" s="116" t="n"/>
      <c r="F2943" s="115" t="n"/>
      <c r="G2943" s="117">
        <f>IF(COUNTA(B2943:E2943)=0,"",IF(COUNTA(B2943:E2943)&lt;4,"⚠ กรอกไม่ครบ",IF(NOT(ISNUMBER(B2943)),"⚠ วันที่ไม่ถูกต้อง",IF(COUNTIFS(Setup!$L$6:$L$60,D2943,Setup!$M$6:$M$60,C2943)=0,"⚠ หมวดไม่ตรงประเภท","✓"))))</f>
        <v/>
      </c>
    </row>
    <row r="2944">
      <c r="B2944" s="113" t="n"/>
      <c r="C2944" s="114" t="n"/>
      <c r="D2944" s="115" t="n"/>
      <c r="E2944" s="116" t="n"/>
      <c r="F2944" s="115" t="n"/>
      <c r="G2944" s="117">
        <f>IF(COUNTA(B2944:E2944)=0,"",IF(COUNTA(B2944:E2944)&lt;4,"⚠ กรอกไม่ครบ",IF(NOT(ISNUMBER(B2944)),"⚠ วันที่ไม่ถูกต้อง",IF(COUNTIFS(Setup!$L$6:$L$60,D2944,Setup!$M$6:$M$60,C2944)=0,"⚠ หมวดไม่ตรงประเภท","✓"))))</f>
        <v/>
      </c>
    </row>
    <row r="2945">
      <c r="B2945" s="113" t="n"/>
      <c r="C2945" s="114" t="n"/>
      <c r="D2945" s="115" t="n"/>
      <c r="E2945" s="116" t="n"/>
      <c r="F2945" s="115" t="n"/>
      <c r="G2945" s="117">
        <f>IF(COUNTA(B2945:E2945)=0,"",IF(COUNTA(B2945:E2945)&lt;4,"⚠ กรอกไม่ครบ",IF(NOT(ISNUMBER(B2945)),"⚠ วันที่ไม่ถูกต้อง",IF(COUNTIFS(Setup!$L$6:$L$60,D2945,Setup!$M$6:$M$60,C2945)=0,"⚠ หมวดไม่ตรงประเภท","✓"))))</f>
        <v/>
      </c>
    </row>
    <row r="2946">
      <c r="B2946" s="113" t="n"/>
      <c r="C2946" s="114" t="n"/>
      <c r="D2946" s="115" t="n"/>
      <c r="E2946" s="116" t="n"/>
      <c r="F2946" s="115" t="n"/>
      <c r="G2946" s="117">
        <f>IF(COUNTA(B2946:E2946)=0,"",IF(COUNTA(B2946:E2946)&lt;4,"⚠ กรอกไม่ครบ",IF(NOT(ISNUMBER(B2946)),"⚠ วันที่ไม่ถูกต้อง",IF(COUNTIFS(Setup!$L$6:$L$60,D2946,Setup!$M$6:$M$60,C2946)=0,"⚠ หมวดไม่ตรงประเภท","✓"))))</f>
        <v/>
      </c>
    </row>
    <row r="2947">
      <c r="B2947" s="113" t="n"/>
      <c r="C2947" s="114" t="n"/>
      <c r="D2947" s="115" t="n"/>
      <c r="E2947" s="116" t="n"/>
      <c r="F2947" s="115" t="n"/>
      <c r="G2947" s="117">
        <f>IF(COUNTA(B2947:E2947)=0,"",IF(COUNTA(B2947:E2947)&lt;4,"⚠ กรอกไม่ครบ",IF(NOT(ISNUMBER(B2947)),"⚠ วันที่ไม่ถูกต้อง",IF(COUNTIFS(Setup!$L$6:$L$60,D2947,Setup!$M$6:$M$60,C2947)=0,"⚠ หมวดไม่ตรงประเภท","✓"))))</f>
        <v/>
      </c>
    </row>
    <row r="2948">
      <c r="B2948" s="113" t="n"/>
      <c r="C2948" s="114" t="n"/>
      <c r="D2948" s="115" t="n"/>
      <c r="E2948" s="116" t="n"/>
      <c r="F2948" s="115" t="n"/>
      <c r="G2948" s="117">
        <f>IF(COUNTA(B2948:E2948)=0,"",IF(COUNTA(B2948:E2948)&lt;4,"⚠ กรอกไม่ครบ",IF(NOT(ISNUMBER(B2948)),"⚠ วันที่ไม่ถูกต้อง",IF(COUNTIFS(Setup!$L$6:$L$60,D2948,Setup!$M$6:$M$60,C2948)=0,"⚠ หมวดไม่ตรงประเภท","✓"))))</f>
        <v/>
      </c>
    </row>
    <row r="2949">
      <c r="B2949" s="113" t="n"/>
      <c r="C2949" s="114" t="n"/>
      <c r="D2949" s="115" t="n"/>
      <c r="E2949" s="116" t="n"/>
      <c r="F2949" s="115" t="n"/>
      <c r="G2949" s="117">
        <f>IF(COUNTA(B2949:E2949)=0,"",IF(COUNTA(B2949:E2949)&lt;4,"⚠ กรอกไม่ครบ",IF(NOT(ISNUMBER(B2949)),"⚠ วันที่ไม่ถูกต้อง",IF(COUNTIFS(Setup!$L$6:$L$60,D2949,Setup!$M$6:$M$60,C2949)=0,"⚠ หมวดไม่ตรงประเภท","✓"))))</f>
        <v/>
      </c>
    </row>
    <row r="2950">
      <c r="B2950" s="113" t="n"/>
      <c r="C2950" s="114" t="n"/>
      <c r="D2950" s="115" t="n"/>
      <c r="E2950" s="116" t="n"/>
      <c r="F2950" s="115" t="n"/>
      <c r="G2950" s="117">
        <f>IF(COUNTA(B2950:E2950)=0,"",IF(COUNTA(B2950:E2950)&lt;4,"⚠ กรอกไม่ครบ",IF(NOT(ISNUMBER(B2950)),"⚠ วันที่ไม่ถูกต้อง",IF(COUNTIFS(Setup!$L$6:$L$60,D2950,Setup!$M$6:$M$60,C2950)=0,"⚠ หมวดไม่ตรงประเภท","✓"))))</f>
        <v/>
      </c>
    </row>
    <row r="2951">
      <c r="B2951" s="113" t="n"/>
      <c r="C2951" s="114" t="n"/>
      <c r="D2951" s="115" t="n"/>
      <c r="E2951" s="116" t="n"/>
      <c r="F2951" s="115" t="n"/>
      <c r="G2951" s="117">
        <f>IF(COUNTA(B2951:E2951)=0,"",IF(COUNTA(B2951:E2951)&lt;4,"⚠ กรอกไม่ครบ",IF(NOT(ISNUMBER(B2951)),"⚠ วันที่ไม่ถูกต้อง",IF(COUNTIFS(Setup!$L$6:$L$60,D2951,Setup!$M$6:$M$60,C2951)=0,"⚠ หมวดไม่ตรงประเภท","✓"))))</f>
        <v/>
      </c>
    </row>
    <row r="2952">
      <c r="B2952" s="113" t="n"/>
      <c r="C2952" s="114" t="n"/>
      <c r="D2952" s="115" t="n"/>
      <c r="E2952" s="116" t="n"/>
      <c r="F2952" s="115" t="n"/>
      <c r="G2952" s="117">
        <f>IF(COUNTA(B2952:E2952)=0,"",IF(COUNTA(B2952:E2952)&lt;4,"⚠ กรอกไม่ครบ",IF(NOT(ISNUMBER(B2952)),"⚠ วันที่ไม่ถูกต้อง",IF(COUNTIFS(Setup!$L$6:$L$60,D2952,Setup!$M$6:$M$60,C2952)=0,"⚠ หมวดไม่ตรงประเภท","✓"))))</f>
        <v/>
      </c>
    </row>
    <row r="2953">
      <c r="B2953" s="113" t="n"/>
      <c r="C2953" s="114" t="n"/>
      <c r="D2953" s="115" t="n"/>
      <c r="E2953" s="116" t="n"/>
      <c r="F2953" s="115" t="n"/>
      <c r="G2953" s="117">
        <f>IF(COUNTA(B2953:E2953)=0,"",IF(COUNTA(B2953:E2953)&lt;4,"⚠ กรอกไม่ครบ",IF(NOT(ISNUMBER(B2953)),"⚠ วันที่ไม่ถูกต้อง",IF(COUNTIFS(Setup!$L$6:$L$60,D2953,Setup!$M$6:$M$60,C2953)=0,"⚠ หมวดไม่ตรงประเภท","✓"))))</f>
        <v/>
      </c>
    </row>
    <row r="2954">
      <c r="B2954" s="113" t="n"/>
      <c r="C2954" s="114" t="n"/>
      <c r="D2954" s="115" t="n"/>
      <c r="E2954" s="116" t="n"/>
      <c r="F2954" s="115" t="n"/>
      <c r="G2954" s="117">
        <f>IF(COUNTA(B2954:E2954)=0,"",IF(COUNTA(B2954:E2954)&lt;4,"⚠ กรอกไม่ครบ",IF(NOT(ISNUMBER(B2954)),"⚠ วันที่ไม่ถูกต้อง",IF(COUNTIFS(Setup!$L$6:$L$60,D2954,Setup!$M$6:$M$60,C2954)=0,"⚠ หมวดไม่ตรงประเภท","✓"))))</f>
        <v/>
      </c>
    </row>
    <row r="2955">
      <c r="B2955" s="113" t="n"/>
      <c r="C2955" s="114" t="n"/>
      <c r="D2955" s="115" t="n"/>
      <c r="E2955" s="116" t="n"/>
      <c r="F2955" s="115" t="n"/>
      <c r="G2955" s="117">
        <f>IF(COUNTA(B2955:E2955)=0,"",IF(COUNTA(B2955:E2955)&lt;4,"⚠ กรอกไม่ครบ",IF(NOT(ISNUMBER(B2955)),"⚠ วันที่ไม่ถูกต้อง",IF(COUNTIFS(Setup!$L$6:$L$60,D2955,Setup!$M$6:$M$60,C2955)=0,"⚠ หมวดไม่ตรงประเภท","✓"))))</f>
        <v/>
      </c>
    </row>
    <row r="2956">
      <c r="B2956" s="113" t="n"/>
      <c r="C2956" s="114" t="n"/>
      <c r="D2956" s="115" t="n"/>
      <c r="E2956" s="116" t="n"/>
      <c r="F2956" s="115" t="n"/>
      <c r="G2956" s="117">
        <f>IF(COUNTA(B2956:E2956)=0,"",IF(COUNTA(B2956:E2956)&lt;4,"⚠ กรอกไม่ครบ",IF(NOT(ISNUMBER(B2956)),"⚠ วันที่ไม่ถูกต้อง",IF(COUNTIFS(Setup!$L$6:$L$60,D2956,Setup!$M$6:$M$60,C2956)=0,"⚠ หมวดไม่ตรงประเภท","✓"))))</f>
        <v/>
      </c>
    </row>
    <row r="2957">
      <c r="B2957" s="113" t="n"/>
      <c r="C2957" s="114" t="n"/>
      <c r="D2957" s="115" t="n"/>
      <c r="E2957" s="116" t="n"/>
      <c r="F2957" s="115" t="n"/>
      <c r="G2957" s="117">
        <f>IF(COUNTA(B2957:E2957)=0,"",IF(COUNTA(B2957:E2957)&lt;4,"⚠ กรอกไม่ครบ",IF(NOT(ISNUMBER(B2957)),"⚠ วันที่ไม่ถูกต้อง",IF(COUNTIFS(Setup!$L$6:$L$60,D2957,Setup!$M$6:$M$60,C2957)=0,"⚠ หมวดไม่ตรงประเภท","✓"))))</f>
        <v/>
      </c>
    </row>
    <row r="2958">
      <c r="B2958" s="113" t="n"/>
      <c r="C2958" s="114" t="n"/>
      <c r="D2958" s="115" t="n"/>
      <c r="E2958" s="116" t="n"/>
      <c r="F2958" s="115" t="n"/>
      <c r="G2958" s="117">
        <f>IF(COUNTA(B2958:E2958)=0,"",IF(COUNTA(B2958:E2958)&lt;4,"⚠ กรอกไม่ครบ",IF(NOT(ISNUMBER(B2958)),"⚠ วันที่ไม่ถูกต้อง",IF(COUNTIFS(Setup!$L$6:$L$60,D2958,Setup!$M$6:$M$60,C2958)=0,"⚠ หมวดไม่ตรงประเภท","✓"))))</f>
        <v/>
      </c>
    </row>
    <row r="2959">
      <c r="B2959" s="113" t="n"/>
      <c r="C2959" s="114" t="n"/>
      <c r="D2959" s="115" t="n"/>
      <c r="E2959" s="116" t="n"/>
      <c r="F2959" s="115" t="n"/>
      <c r="G2959" s="117">
        <f>IF(COUNTA(B2959:E2959)=0,"",IF(COUNTA(B2959:E2959)&lt;4,"⚠ กรอกไม่ครบ",IF(NOT(ISNUMBER(B2959)),"⚠ วันที่ไม่ถูกต้อง",IF(COUNTIFS(Setup!$L$6:$L$60,D2959,Setup!$M$6:$M$60,C2959)=0,"⚠ หมวดไม่ตรงประเภท","✓"))))</f>
        <v/>
      </c>
    </row>
    <row r="2960">
      <c r="B2960" s="113" t="n"/>
      <c r="C2960" s="114" t="n"/>
      <c r="D2960" s="115" t="n"/>
      <c r="E2960" s="116" t="n"/>
      <c r="F2960" s="115" t="n"/>
      <c r="G2960" s="117">
        <f>IF(COUNTA(B2960:E2960)=0,"",IF(COUNTA(B2960:E2960)&lt;4,"⚠ กรอกไม่ครบ",IF(NOT(ISNUMBER(B2960)),"⚠ วันที่ไม่ถูกต้อง",IF(COUNTIFS(Setup!$L$6:$L$60,D2960,Setup!$M$6:$M$60,C2960)=0,"⚠ หมวดไม่ตรงประเภท","✓"))))</f>
        <v/>
      </c>
    </row>
    <row r="2961">
      <c r="B2961" s="113" t="n"/>
      <c r="C2961" s="114" t="n"/>
      <c r="D2961" s="115" t="n"/>
      <c r="E2961" s="116" t="n"/>
      <c r="F2961" s="115" t="n"/>
      <c r="G2961" s="117">
        <f>IF(COUNTA(B2961:E2961)=0,"",IF(COUNTA(B2961:E2961)&lt;4,"⚠ กรอกไม่ครบ",IF(NOT(ISNUMBER(B2961)),"⚠ วันที่ไม่ถูกต้อง",IF(COUNTIFS(Setup!$L$6:$L$60,D2961,Setup!$M$6:$M$60,C2961)=0,"⚠ หมวดไม่ตรงประเภท","✓"))))</f>
        <v/>
      </c>
    </row>
    <row r="2962">
      <c r="B2962" s="113" t="n"/>
      <c r="C2962" s="114" t="n"/>
      <c r="D2962" s="115" t="n"/>
      <c r="E2962" s="116" t="n"/>
      <c r="F2962" s="115" t="n"/>
      <c r="G2962" s="117">
        <f>IF(COUNTA(B2962:E2962)=0,"",IF(COUNTA(B2962:E2962)&lt;4,"⚠ กรอกไม่ครบ",IF(NOT(ISNUMBER(B2962)),"⚠ วันที่ไม่ถูกต้อง",IF(COUNTIFS(Setup!$L$6:$L$60,D2962,Setup!$M$6:$M$60,C2962)=0,"⚠ หมวดไม่ตรงประเภท","✓"))))</f>
        <v/>
      </c>
    </row>
    <row r="2963">
      <c r="B2963" s="113" t="n"/>
      <c r="C2963" s="114" t="n"/>
      <c r="D2963" s="115" t="n"/>
      <c r="E2963" s="116" t="n"/>
      <c r="F2963" s="115" t="n"/>
      <c r="G2963" s="117">
        <f>IF(COUNTA(B2963:E2963)=0,"",IF(COUNTA(B2963:E2963)&lt;4,"⚠ กรอกไม่ครบ",IF(NOT(ISNUMBER(B2963)),"⚠ วันที่ไม่ถูกต้อง",IF(COUNTIFS(Setup!$L$6:$L$60,D2963,Setup!$M$6:$M$60,C2963)=0,"⚠ หมวดไม่ตรงประเภท","✓"))))</f>
        <v/>
      </c>
    </row>
    <row r="2964">
      <c r="B2964" s="113" t="n"/>
      <c r="C2964" s="114" t="n"/>
      <c r="D2964" s="115" t="n"/>
      <c r="E2964" s="116" t="n"/>
      <c r="F2964" s="115" t="n"/>
      <c r="G2964" s="117">
        <f>IF(COUNTA(B2964:E2964)=0,"",IF(COUNTA(B2964:E2964)&lt;4,"⚠ กรอกไม่ครบ",IF(NOT(ISNUMBER(B2964)),"⚠ วันที่ไม่ถูกต้อง",IF(COUNTIFS(Setup!$L$6:$L$60,D2964,Setup!$M$6:$M$60,C2964)=0,"⚠ หมวดไม่ตรงประเภท","✓"))))</f>
        <v/>
      </c>
    </row>
    <row r="2965">
      <c r="B2965" s="113" t="n"/>
      <c r="C2965" s="114" t="n"/>
      <c r="D2965" s="115" t="n"/>
      <c r="E2965" s="116" t="n"/>
      <c r="F2965" s="115" t="n"/>
      <c r="G2965" s="117">
        <f>IF(COUNTA(B2965:E2965)=0,"",IF(COUNTA(B2965:E2965)&lt;4,"⚠ กรอกไม่ครบ",IF(NOT(ISNUMBER(B2965)),"⚠ วันที่ไม่ถูกต้อง",IF(COUNTIFS(Setup!$L$6:$L$60,D2965,Setup!$M$6:$M$60,C2965)=0,"⚠ หมวดไม่ตรงประเภท","✓"))))</f>
        <v/>
      </c>
    </row>
    <row r="2966">
      <c r="B2966" s="113" t="n"/>
      <c r="C2966" s="114" t="n"/>
      <c r="D2966" s="115" t="n"/>
      <c r="E2966" s="116" t="n"/>
      <c r="F2966" s="115" t="n"/>
      <c r="G2966" s="117">
        <f>IF(COUNTA(B2966:E2966)=0,"",IF(COUNTA(B2966:E2966)&lt;4,"⚠ กรอกไม่ครบ",IF(NOT(ISNUMBER(B2966)),"⚠ วันที่ไม่ถูกต้อง",IF(COUNTIFS(Setup!$L$6:$L$60,D2966,Setup!$M$6:$M$60,C2966)=0,"⚠ หมวดไม่ตรงประเภท","✓"))))</f>
        <v/>
      </c>
    </row>
    <row r="2967">
      <c r="B2967" s="113" t="n"/>
      <c r="C2967" s="114" t="n"/>
      <c r="D2967" s="115" t="n"/>
      <c r="E2967" s="116" t="n"/>
      <c r="F2967" s="115" t="n"/>
      <c r="G2967" s="117">
        <f>IF(COUNTA(B2967:E2967)=0,"",IF(COUNTA(B2967:E2967)&lt;4,"⚠ กรอกไม่ครบ",IF(NOT(ISNUMBER(B2967)),"⚠ วันที่ไม่ถูกต้อง",IF(COUNTIFS(Setup!$L$6:$L$60,D2967,Setup!$M$6:$M$60,C2967)=0,"⚠ หมวดไม่ตรงประเภท","✓"))))</f>
        <v/>
      </c>
    </row>
    <row r="2968">
      <c r="B2968" s="113" t="n"/>
      <c r="C2968" s="114" t="n"/>
      <c r="D2968" s="115" t="n"/>
      <c r="E2968" s="116" t="n"/>
      <c r="F2968" s="115" t="n"/>
      <c r="G2968" s="117">
        <f>IF(COUNTA(B2968:E2968)=0,"",IF(COUNTA(B2968:E2968)&lt;4,"⚠ กรอกไม่ครบ",IF(NOT(ISNUMBER(B2968)),"⚠ วันที่ไม่ถูกต้อง",IF(COUNTIFS(Setup!$L$6:$L$60,D2968,Setup!$M$6:$M$60,C2968)=0,"⚠ หมวดไม่ตรงประเภท","✓"))))</f>
        <v/>
      </c>
    </row>
    <row r="2969">
      <c r="B2969" s="113" t="n"/>
      <c r="C2969" s="114" t="n"/>
      <c r="D2969" s="115" t="n"/>
      <c r="E2969" s="116" t="n"/>
      <c r="F2969" s="115" t="n"/>
      <c r="G2969" s="117">
        <f>IF(COUNTA(B2969:E2969)=0,"",IF(COUNTA(B2969:E2969)&lt;4,"⚠ กรอกไม่ครบ",IF(NOT(ISNUMBER(B2969)),"⚠ วันที่ไม่ถูกต้อง",IF(COUNTIFS(Setup!$L$6:$L$60,D2969,Setup!$M$6:$M$60,C2969)=0,"⚠ หมวดไม่ตรงประเภท","✓"))))</f>
        <v/>
      </c>
    </row>
    <row r="2970">
      <c r="B2970" s="113" t="n"/>
      <c r="C2970" s="114" t="n"/>
      <c r="D2970" s="115" t="n"/>
      <c r="E2970" s="116" t="n"/>
      <c r="F2970" s="115" t="n"/>
      <c r="G2970" s="117">
        <f>IF(COUNTA(B2970:E2970)=0,"",IF(COUNTA(B2970:E2970)&lt;4,"⚠ กรอกไม่ครบ",IF(NOT(ISNUMBER(B2970)),"⚠ วันที่ไม่ถูกต้อง",IF(COUNTIFS(Setup!$L$6:$L$60,D2970,Setup!$M$6:$M$60,C2970)=0,"⚠ หมวดไม่ตรงประเภท","✓"))))</f>
        <v/>
      </c>
    </row>
    <row r="2971">
      <c r="B2971" s="113" t="n"/>
      <c r="C2971" s="114" t="n"/>
      <c r="D2971" s="115" t="n"/>
      <c r="E2971" s="116" t="n"/>
      <c r="F2971" s="115" t="n"/>
      <c r="G2971" s="117">
        <f>IF(COUNTA(B2971:E2971)=0,"",IF(COUNTA(B2971:E2971)&lt;4,"⚠ กรอกไม่ครบ",IF(NOT(ISNUMBER(B2971)),"⚠ วันที่ไม่ถูกต้อง",IF(COUNTIFS(Setup!$L$6:$L$60,D2971,Setup!$M$6:$M$60,C2971)=0,"⚠ หมวดไม่ตรงประเภท","✓"))))</f>
        <v/>
      </c>
    </row>
    <row r="2972">
      <c r="B2972" s="113" t="n"/>
      <c r="C2972" s="114" t="n"/>
      <c r="D2972" s="115" t="n"/>
      <c r="E2972" s="116" t="n"/>
      <c r="F2972" s="115" t="n"/>
      <c r="G2972" s="117">
        <f>IF(COUNTA(B2972:E2972)=0,"",IF(COUNTA(B2972:E2972)&lt;4,"⚠ กรอกไม่ครบ",IF(NOT(ISNUMBER(B2972)),"⚠ วันที่ไม่ถูกต้อง",IF(COUNTIFS(Setup!$L$6:$L$60,D2972,Setup!$M$6:$M$60,C2972)=0,"⚠ หมวดไม่ตรงประเภท","✓"))))</f>
        <v/>
      </c>
    </row>
    <row r="2973">
      <c r="B2973" s="113" t="n"/>
      <c r="C2973" s="114" t="n"/>
      <c r="D2973" s="115" t="n"/>
      <c r="E2973" s="116" t="n"/>
      <c r="F2973" s="115" t="n"/>
      <c r="G2973" s="117">
        <f>IF(COUNTA(B2973:E2973)=0,"",IF(COUNTA(B2973:E2973)&lt;4,"⚠ กรอกไม่ครบ",IF(NOT(ISNUMBER(B2973)),"⚠ วันที่ไม่ถูกต้อง",IF(COUNTIFS(Setup!$L$6:$L$60,D2973,Setup!$M$6:$M$60,C2973)=0,"⚠ หมวดไม่ตรงประเภท","✓"))))</f>
        <v/>
      </c>
    </row>
    <row r="2974">
      <c r="B2974" s="113" t="n"/>
      <c r="C2974" s="114" t="n"/>
      <c r="D2974" s="115" t="n"/>
      <c r="E2974" s="116" t="n"/>
      <c r="F2974" s="115" t="n"/>
      <c r="G2974" s="117">
        <f>IF(COUNTA(B2974:E2974)=0,"",IF(COUNTA(B2974:E2974)&lt;4,"⚠ กรอกไม่ครบ",IF(NOT(ISNUMBER(B2974)),"⚠ วันที่ไม่ถูกต้อง",IF(COUNTIFS(Setup!$L$6:$L$60,D2974,Setup!$M$6:$M$60,C2974)=0,"⚠ หมวดไม่ตรงประเภท","✓"))))</f>
        <v/>
      </c>
    </row>
    <row r="2975">
      <c r="B2975" s="113" t="n"/>
      <c r="C2975" s="114" t="n"/>
      <c r="D2975" s="115" t="n"/>
      <c r="E2975" s="116" t="n"/>
      <c r="F2975" s="115" t="n"/>
      <c r="G2975" s="117">
        <f>IF(COUNTA(B2975:E2975)=0,"",IF(COUNTA(B2975:E2975)&lt;4,"⚠ กรอกไม่ครบ",IF(NOT(ISNUMBER(B2975)),"⚠ วันที่ไม่ถูกต้อง",IF(COUNTIFS(Setup!$L$6:$L$60,D2975,Setup!$M$6:$M$60,C2975)=0,"⚠ หมวดไม่ตรงประเภท","✓"))))</f>
        <v/>
      </c>
    </row>
    <row r="2976">
      <c r="B2976" s="113" t="n"/>
      <c r="C2976" s="114" t="n"/>
      <c r="D2976" s="115" t="n"/>
      <c r="E2976" s="116" t="n"/>
      <c r="F2976" s="115" t="n"/>
      <c r="G2976" s="117">
        <f>IF(COUNTA(B2976:E2976)=0,"",IF(COUNTA(B2976:E2976)&lt;4,"⚠ กรอกไม่ครบ",IF(NOT(ISNUMBER(B2976)),"⚠ วันที่ไม่ถูกต้อง",IF(COUNTIFS(Setup!$L$6:$L$60,D2976,Setup!$M$6:$M$60,C2976)=0,"⚠ หมวดไม่ตรงประเภท","✓"))))</f>
        <v/>
      </c>
    </row>
    <row r="2977">
      <c r="B2977" s="113" t="n"/>
      <c r="C2977" s="114" t="n"/>
      <c r="D2977" s="115" t="n"/>
      <c r="E2977" s="116" t="n"/>
      <c r="F2977" s="115" t="n"/>
      <c r="G2977" s="117">
        <f>IF(COUNTA(B2977:E2977)=0,"",IF(COUNTA(B2977:E2977)&lt;4,"⚠ กรอกไม่ครบ",IF(NOT(ISNUMBER(B2977)),"⚠ วันที่ไม่ถูกต้อง",IF(COUNTIFS(Setup!$L$6:$L$60,D2977,Setup!$M$6:$M$60,C2977)=0,"⚠ หมวดไม่ตรงประเภท","✓"))))</f>
        <v/>
      </c>
    </row>
    <row r="2978">
      <c r="B2978" s="113" t="n"/>
      <c r="C2978" s="114" t="n"/>
      <c r="D2978" s="115" t="n"/>
      <c r="E2978" s="116" t="n"/>
      <c r="F2978" s="115" t="n"/>
      <c r="G2978" s="117">
        <f>IF(COUNTA(B2978:E2978)=0,"",IF(COUNTA(B2978:E2978)&lt;4,"⚠ กรอกไม่ครบ",IF(NOT(ISNUMBER(B2978)),"⚠ วันที่ไม่ถูกต้อง",IF(COUNTIFS(Setup!$L$6:$L$60,D2978,Setup!$M$6:$M$60,C2978)=0,"⚠ หมวดไม่ตรงประเภท","✓"))))</f>
        <v/>
      </c>
    </row>
    <row r="2979">
      <c r="B2979" s="113" t="n"/>
      <c r="C2979" s="114" t="n"/>
      <c r="D2979" s="115" t="n"/>
      <c r="E2979" s="116" t="n"/>
      <c r="F2979" s="115" t="n"/>
      <c r="G2979" s="117">
        <f>IF(COUNTA(B2979:E2979)=0,"",IF(COUNTA(B2979:E2979)&lt;4,"⚠ กรอกไม่ครบ",IF(NOT(ISNUMBER(B2979)),"⚠ วันที่ไม่ถูกต้อง",IF(COUNTIFS(Setup!$L$6:$L$60,D2979,Setup!$M$6:$M$60,C2979)=0,"⚠ หมวดไม่ตรงประเภท","✓"))))</f>
        <v/>
      </c>
    </row>
    <row r="2980">
      <c r="B2980" s="113" t="n"/>
      <c r="C2980" s="114" t="n"/>
      <c r="D2980" s="115" t="n"/>
      <c r="E2980" s="116" t="n"/>
      <c r="F2980" s="115" t="n"/>
      <c r="G2980" s="117">
        <f>IF(COUNTA(B2980:E2980)=0,"",IF(COUNTA(B2980:E2980)&lt;4,"⚠ กรอกไม่ครบ",IF(NOT(ISNUMBER(B2980)),"⚠ วันที่ไม่ถูกต้อง",IF(COUNTIFS(Setup!$L$6:$L$60,D2980,Setup!$M$6:$M$60,C2980)=0,"⚠ หมวดไม่ตรงประเภท","✓"))))</f>
        <v/>
      </c>
    </row>
    <row r="2981">
      <c r="B2981" s="113" t="n"/>
      <c r="C2981" s="114" t="n"/>
      <c r="D2981" s="115" t="n"/>
      <c r="E2981" s="116" t="n"/>
      <c r="F2981" s="115" t="n"/>
      <c r="G2981" s="117">
        <f>IF(COUNTA(B2981:E2981)=0,"",IF(COUNTA(B2981:E2981)&lt;4,"⚠ กรอกไม่ครบ",IF(NOT(ISNUMBER(B2981)),"⚠ วันที่ไม่ถูกต้อง",IF(COUNTIFS(Setup!$L$6:$L$60,D2981,Setup!$M$6:$M$60,C2981)=0,"⚠ หมวดไม่ตรงประเภท","✓"))))</f>
        <v/>
      </c>
    </row>
    <row r="2982">
      <c r="B2982" s="113" t="n"/>
      <c r="C2982" s="114" t="n"/>
      <c r="D2982" s="115" t="n"/>
      <c r="E2982" s="116" t="n"/>
      <c r="F2982" s="115" t="n"/>
      <c r="G2982" s="117">
        <f>IF(COUNTA(B2982:E2982)=0,"",IF(COUNTA(B2982:E2982)&lt;4,"⚠ กรอกไม่ครบ",IF(NOT(ISNUMBER(B2982)),"⚠ วันที่ไม่ถูกต้อง",IF(COUNTIFS(Setup!$L$6:$L$60,D2982,Setup!$M$6:$M$60,C2982)=0,"⚠ หมวดไม่ตรงประเภท","✓"))))</f>
        <v/>
      </c>
    </row>
    <row r="2983">
      <c r="B2983" s="113" t="n"/>
      <c r="C2983" s="114" t="n"/>
      <c r="D2983" s="115" t="n"/>
      <c r="E2983" s="116" t="n"/>
      <c r="F2983" s="115" t="n"/>
      <c r="G2983" s="117">
        <f>IF(COUNTA(B2983:E2983)=0,"",IF(COUNTA(B2983:E2983)&lt;4,"⚠ กรอกไม่ครบ",IF(NOT(ISNUMBER(B2983)),"⚠ วันที่ไม่ถูกต้อง",IF(COUNTIFS(Setup!$L$6:$L$60,D2983,Setup!$M$6:$M$60,C2983)=0,"⚠ หมวดไม่ตรงประเภท","✓"))))</f>
        <v/>
      </c>
    </row>
    <row r="2984">
      <c r="B2984" s="113" t="n"/>
      <c r="C2984" s="114" t="n"/>
      <c r="D2984" s="115" t="n"/>
      <c r="E2984" s="116" t="n"/>
      <c r="F2984" s="115" t="n"/>
      <c r="G2984" s="117">
        <f>IF(COUNTA(B2984:E2984)=0,"",IF(COUNTA(B2984:E2984)&lt;4,"⚠ กรอกไม่ครบ",IF(NOT(ISNUMBER(B2984)),"⚠ วันที่ไม่ถูกต้อง",IF(COUNTIFS(Setup!$L$6:$L$60,D2984,Setup!$M$6:$M$60,C2984)=0,"⚠ หมวดไม่ตรงประเภท","✓"))))</f>
        <v/>
      </c>
    </row>
    <row r="2985">
      <c r="B2985" s="113" t="n"/>
      <c r="C2985" s="114" t="n"/>
      <c r="D2985" s="115" t="n"/>
      <c r="E2985" s="116" t="n"/>
      <c r="F2985" s="115" t="n"/>
      <c r="G2985" s="117">
        <f>IF(COUNTA(B2985:E2985)=0,"",IF(COUNTA(B2985:E2985)&lt;4,"⚠ กรอกไม่ครบ",IF(NOT(ISNUMBER(B2985)),"⚠ วันที่ไม่ถูกต้อง",IF(COUNTIFS(Setup!$L$6:$L$60,D2985,Setup!$M$6:$M$60,C2985)=0,"⚠ หมวดไม่ตรงประเภท","✓"))))</f>
        <v/>
      </c>
    </row>
    <row r="2986">
      <c r="B2986" s="113" t="n"/>
      <c r="C2986" s="114" t="n"/>
      <c r="D2986" s="115" t="n"/>
      <c r="E2986" s="116" t="n"/>
      <c r="F2986" s="115" t="n"/>
      <c r="G2986" s="117">
        <f>IF(COUNTA(B2986:E2986)=0,"",IF(COUNTA(B2986:E2986)&lt;4,"⚠ กรอกไม่ครบ",IF(NOT(ISNUMBER(B2986)),"⚠ วันที่ไม่ถูกต้อง",IF(COUNTIFS(Setup!$L$6:$L$60,D2986,Setup!$M$6:$M$60,C2986)=0,"⚠ หมวดไม่ตรงประเภท","✓"))))</f>
        <v/>
      </c>
    </row>
    <row r="2987">
      <c r="B2987" s="113" t="n"/>
      <c r="C2987" s="114" t="n"/>
      <c r="D2987" s="115" t="n"/>
      <c r="E2987" s="116" t="n"/>
      <c r="F2987" s="115" t="n"/>
      <c r="G2987" s="117">
        <f>IF(COUNTA(B2987:E2987)=0,"",IF(COUNTA(B2987:E2987)&lt;4,"⚠ กรอกไม่ครบ",IF(NOT(ISNUMBER(B2987)),"⚠ วันที่ไม่ถูกต้อง",IF(COUNTIFS(Setup!$L$6:$L$60,D2987,Setup!$M$6:$M$60,C2987)=0,"⚠ หมวดไม่ตรงประเภท","✓"))))</f>
        <v/>
      </c>
    </row>
    <row r="2988">
      <c r="B2988" s="113" t="n"/>
      <c r="C2988" s="114" t="n"/>
      <c r="D2988" s="115" t="n"/>
      <c r="E2988" s="116" t="n"/>
      <c r="F2988" s="115" t="n"/>
      <c r="G2988" s="117">
        <f>IF(COUNTA(B2988:E2988)=0,"",IF(COUNTA(B2988:E2988)&lt;4,"⚠ กรอกไม่ครบ",IF(NOT(ISNUMBER(B2988)),"⚠ วันที่ไม่ถูกต้อง",IF(COUNTIFS(Setup!$L$6:$L$60,D2988,Setup!$M$6:$M$60,C2988)=0,"⚠ หมวดไม่ตรงประเภท","✓"))))</f>
        <v/>
      </c>
    </row>
    <row r="2989">
      <c r="B2989" s="113" t="n"/>
      <c r="C2989" s="114" t="n"/>
      <c r="D2989" s="115" t="n"/>
      <c r="E2989" s="116" t="n"/>
      <c r="F2989" s="115" t="n"/>
      <c r="G2989" s="117">
        <f>IF(COUNTA(B2989:E2989)=0,"",IF(COUNTA(B2989:E2989)&lt;4,"⚠ กรอกไม่ครบ",IF(NOT(ISNUMBER(B2989)),"⚠ วันที่ไม่ถูกต้อง",IF(COUNTIFS(Setup!$L$6:$L$60,D2989,Setup!$M$6:$M$60,C2989)=0,"⚠ หมวดไม่ตรงประเภท","✓"))))</f>
        <v/>
      </c>
    </row>
    <row r="2990">
      <c r="B2990" s="113" t="n"/>
      <c r="C2990" s="114" t="n"/>
      <c r="D2990" s="115" t="n"/>
      <c r="E2990" s="116" t="n"/>
      <c r="F2990" s="115" t="n"/>
      <c r="G2990" s="117">
        <f>IF(COUNTA(B2990:E2990)=0,"",IF(COUNTA(B2990:E2990)&lt;4,"⚠ กรอกไม่ครบ",IF(NOT(ISNUMBER(B2990)),"⚠ วันที่ไม่ถูกต้อง",IF(COUNTIFS(Setup!$L$6:$L$60,D2990,Setup!$M$6:$M$60,C2990)=0,"⚠ หมวดไม่ตรงประเภท","✓"))))</f>
        <v/>
      </c>
    </row>
    <row r="2991">
      <c r="B2991" s="113" t="n"/>
      <c r="C2991" s="114" t="n"/>
      <c r="D2991" s="115" t="n"/>
      <c r="E2991" s="116" t="n"/>
      <c r="F2991" s="115" t="n"/>
      <c r="G2991" s="117">
        <f>IF(COUNTA(B2991:E2991)=0,"",IF(COUNTA(B2991:E2991)&lt;4,"⚠ กรอกไม่ครบ",IF(NOT(ISNUMBER(B2991)),"⚠ วันที่ไม่ถูกต้อง",IF(COUNTIFS(Setup!$L$6:$L$60,D2991,Setup!$M$6:$M$60,C2991)=0,"⚠ หมวดไม่ตรงประเภท","✓"))))</f>
        <v/>
      </c>
    </row>
    <row r="2992">
      <c r="B2992" s="113" t="n"/>
      <c r="C2992" s="114" t="n"/>
      <c r="D2992" s="115" t="n"/>
      <c r="E2992" s="116" t="n"/>
      <c r="F2992" s="115" t="n"/>
      <c r="G2992" s="117">
        <f>IF(COUNTA(B2992:E2992)=0,"",IF(COUNTA(B2992:E2992)&lt;4,"⚠ กรอกไม่ครบ",IF(NOT(ISNUMBER(B2992)),"⚠ วันที่ไม่ถูกต้อง",IF(COUNTIFS(Setup!$L$6:$L$60,D2992,Setup!$M$6:$M$60,C2992)=0,"⚠ หมวดไม่ตรงประเภท","✓"))))</f>
        <v/>
      </c>
    </row>
    <row r="2993">
      <c r="B2993" s="113" t="n"/>
      <c r="C2993" s="114" t="n"/>
      <c r="D2993" s="115" t="n"/>
      <c r="E2993" s="116" t="n"/>
      <c r="F2993" s="115" t="n"/>
      <c r="G2993" s="117">
        <f>IF(COUNTA(B2993:E2993)=0,"",IF(COUNTA(B2993:E2993)&lt;4,"⚠ กรอกไม่ครบ",IF(NOT(ISNUMBER(B2993)),"⚠ วันที่ไม่ถูกต้อง",IF(COUNTIFS(Setup!$L$6:$L$60,D2993,Setup!$M$6:$M$60,C2993)=0,"⚠ หมวดไม่ตรงประเภท","✓"))))</f>
        <v/>
      </c>
    </row>
    <row r="2994">
      <c r="B2994" s="113" t="n"/>
      <c r="C2994" s="114" t="n"/>
      <c r="D2994" s="115" t="n"/>
      <c r="E2994" s="116" t="n"/>
      <c r="F2994" s="115" t="n"/>
      <c r="G2994" s="117">
        <f>IF(COUNTA(B2994:E2994)=0,"",IF(COUNTA(B2994:E2994)&lt;4,"⚠ กรอกไม่ครบ",IF(NOT(ISNUMBER(B2994)),"⚠ วันที่ไม่ถูกต้อง",IF(COUNTIFS(Setup!$L$6:$L$60,D2994,Setup!$M$6:$M$60,C2994)=0,"⚠ หมวดไม่ตรงประเภท","✓"))))</f>
        <v/>
      </c>
    </row>
    <row r="2995">
      <c r="B2995" s="113" t="n"/>
      <c r="C2995" s="114" t="n"/>
      <c r="D2995" s="115" t="n"/>
      <c r="E2995" s="116" t="n"/>
      <c r="F2995" s="115" t="n"/>
      <c r="G2995" s="117">
        <f>IF(COUNTA(B2995:E2995)=0,"",IF(COUNTA(B2995:E2995)&lt;4,"⚠ กรอกไม่ครบ",IF(NOT(ISNUMBER(B2995)),"⚠ วันที่ไม่ถูกต้อง",IF(COUNTIFS(Setup!$L$6:$L$60,D2995,Setup!$M$6:$M$60,C2995)=0,"⚠ หมวดไม่ตรงประเภท","✓"))))</f>
        <v/>
      </c>
    </row>
    <row r="2996">
      <c r="B2996" s="113" t="n"/>
      <c r="C2996" s="114" t="n"/>
      <c r="D2996" s="115" t="n"/>
      <c r="E2996" s="116" t="n"/>
      <c r="F2996" s="115" t="n"/>
      <c r="G2996" s="117">
        <f>IF(COUNTA(B2996:E2996)=0,"",IF(COUNTA(B2996:E2996)&lt;4,"⚠ กรอกไม่ครบ",IF(NOT(ISNUMBER(B2996)),"⚠ วันที่ไม่ถูกต้อง",IF(COUNTIFS(Setup!$L$6:$L$60,D2996,Setup!$M$6:$M$60,C2996)=0,"⚠ หมวดไม่ตรงประเภท","✓"))))</f>
        <v/>
      </c>
    </row>
    <row r="2997">
      <c r="B2997" s="113" t="n"/>
      <c r="C2997" s="114" t="n"/>
      <c r="D2997" s="115" t="n"/>
      <c r="E2997" s="116" t="n"/>
      <c r="F2997" s="115" t="n"/>
      <c r="G2997" s="117">
        <f>IF(COUNTA(B2997:E2997)=0,"",IF(COUNTA(B2997:E2997)&lt;4,"⚠ กรอกไม่ครบ",IF(NOT(ISNUMBER(B2997)),"⚠ วันที่ไม่ถูกต้อง",IF(COUNTIFS(Setup!$L$6:$L$60,D2997,Setup!$M$6:$M$60,C2997)=0,"⚠ หมวดไม่ตรงประเภท","✓"))))</f>
        <v/>
      </c>
    </row>
    <row r="2998">
      <c r="B2998" s="113" t="n"/>
      <c r="C2998" s="114" t="n"/>
      <c r="D2998" s="115" t="n"/>
      <c r="E2998" s="116" t="n"/>
      <c r="F2998" s="115" t="n"/>
      <c r="G2998" s="117">
        <f>IF(COUNTA(B2998:E2998)=0,"",IF(COUNTA(B2998:E2998)&lt;4,"⚠ กรอกไม่ครบ",IF(NOT(ISNUMBER(B2998)),"⚠ วันที่ไม่ถูกต้อง",IF(COUNTIFS(Setup!$L$6:$L$60,D2998,Setup!$M$6:$M$60,C2998)=0,"⚠ หมวดไม่ตรงประเภท","✓"))))</f>
        <v/>
      </c>
    </row>
    <row r="2999">
      <c r="B2999" s="113" t="n"/>
      <c r="C2999" s="114" t="n"/>
      <c r="D2999" s="115" t="n"/>
      <c r="E2999" s="116" t="n"/>
      <c r="F2999" s="115" t="n"/>
      <c r="G2999" s="117">
        <f>IF(COUNTA(B2999:E2999)=0,"",IF(COUNTA(B2999:E2999)&lt;4,"⚠ กรอกไม่ครบ",IF(NOT(ISNUMBER(B2999)),"⚠ วันที่ไม่ถูกต้อง",IF(COUNTIFS(Setup!$L$6:$L$60,D2999,Setup!$M$6:$M$60,C2999)=0,"⚠ หมวดไม่ตรงประเภท","✓"))))</f>
        <v/>
      </c>
    </row>
    <row r="3000">
      <c r="B3000" s="113" t="n"/>
      <c r="C3000" s="114" t="n"/>
      <c r="D3000" s="115" t="n"/>
      <c r="E3000" s="116" t="n"/>
      <c r="F3000" s="115" t="n"/>
      <c r="G3000" s="117">
        <f>IF(COUNTA(B3000:E3000)=0,"",IF(COUNTA(B3000:E3000)&lt;4,"⚠ กรอกไม่ครบ",IF(NOT(ISNUMBER(B3000)),"⚠ วันที่ไม่ถูกต้อง",IF(COUNTIFS(Setup!$L$6:$L$60,D3000,Setup!$M$6:$M$60,C3000)=0,"⚠ หมวดไม่ตรงประเภท","✓"))))</f>
        <v/>
      </c>
    </row>
    <row r="3001">
      <c r="B3001" s="113" t="n"/>
      <c r="C3001" s="114" t="n"/>
      <c r="D3001" s="115" t="n"/>
      <c r="E3001" s="116" t="n"/>
      <c r="F3001" s="115" t="n"/>
      <c r="G3001" s="117">
        <f>IF(COUNTA(B3001:E3001)=0,"",IF(COUNTA(B3001:E3001)&lt;4,"⚠ กรอกไม่ครบ",IF(NOT(ISNUMBER(B3001)),"⚠ วันที่ไม่ถูกต้อง",IF(COUNTIFS(Setup!$L$6:$L$60,D3001,Setup!$M$6:$M$60,C3001)=0,"⚠ หมวดไม่ตรงประเภท","✓"))))</f>
        <v/>
      </c>
    </row>
    <row r="3002">
      <c r="B3002" s="113" t="n"/>
      <c r="C3002" s="114" t="n"/>
      <c r="D3002" s="115" t="n"/>
      <c r="E3002" s="116" t="n"/>
      <c r="F3002" s="115" t="n"/>
      <c r="G3002" s="117">
        <f>IF(COUNTA(B3002:E3002)=0,"",IF(COUNTA(B3002:E3002)&lt;4,"⚠ กรอกไม่ครบ",IF(NOT(ISNUMBER(B3002)),"⚠ วันที่ไม่ถูกต้อง",IF(COUNTIFS(Setup!$L$6:$L$60,D3002,Setup!$M$6:$M$60,C3002)=0,"⚠ หมวดไม่ตรงประเภท","✓"))))</f>
        <v/>
      </c>
    </row>
    <row r="3003">
      <c r="B3003" s="113" t="n"/>
      <c r="C3003" s="114" t="n"/>
      <c r="D3003" s="115" t="n"/>
      <c r="E3003" s="116" t="n"/>
      <c r="F3003" s="115" t="n"/>
      <c r="G3003" s="117">
        <f>IF(COUNTA(B3003:E3003)=0,"",IF(COUNTA(B3003:E3003)&lt;4,"⚠ กรอกไม่ครบ",IF(NOT(ISNUMBER(B3003)),"⚠ วันที่ไม่ถูกต้อง",IF(COUNTIFS(Setup!$L$6:$L$60,D3003,Setup!$M$6:$M$60,C3003)=0,"⚠ หมวดไม่ตรงประเภท","✓"))))</f>
        <v/>
      </c>
    </row>
    <row r="3004">
      <c r="B3004" s="113" t="n"/>
      <c r="C3004" s="114" t="n"/>
      <c r="D3004" s="115" t="n"/>
      <c r="E3004" s="116" t="n"/>
      <c r="F3004" s="115" t="n"/>
      <c r="G3004" s="117">
        <f>IF(COUNTA(B3004:E3004)=0,"",IF(COUNTA(B3004:E3004)&lt;4,"⚠ กรอกไม่ครบ",IF(NOT(ISNUMBER(B3004)),"⚠ วันที่ไม่ถูกต้อง",IF(COUNTIFS(Setup!$L$6:$L$60,D3004,Setup!$M$6:$M$60,C3004)=0,"⚠ หมวดไม่ตรงประเภท","✓"))))</f>
        <v/>
      </c>
    </row>
    <row r="3005">
      <c r="B3005" s="113" t="n"/>
      <c r="C3005" s="114" t="n"/>
      <c r="D3005" s="115" t="n"/>
      <c r="E3005" s="116" t="n"/>
      <c r="F3005" s="115" t="n"/>
      <c r="G3005" s="117">
        <f>IF(COUNTA(B3005:E3005)=0,"",IF(COUNTA(B3005:E3005)&lt;4,"⚠ กรอกไม่ครบ",IF(NOT(ISNUMBER(B3005)),"⚠ วันที่ไม่ถูกต้อง",IF(COUNTIFS(Setup!$L$6:$L$60,D3005,Setup!$M$6:$M$60,C3005)=0,"⚠ หมวดไม่ตรงประเภท","✓"))))</f>
        <v/>
      </c>
    </row>
    <row r="3006">
      <c r="B3006" s="113" t="n"/>
      <c r="C3006" s="114" t="n"/>
      <c r="D3006" s="115" t="n"/>
      <c r="E3006" s="116" t="n"/>
      <c r="F3006" s="115" t="n"/>
      <c r="G3006" s="117">
        <f>IF(COUNTA(B3006:E3006)=0,"",IF(COUNTA(B3006:E3006)&lt;4,"⚠ กรอกไม่ครบ",IF(NOT(ISNUMBER(B3006)),"⚠ วันที่ไม่ถูกต้อง",IF(COUNTIFS(Setup!$L$6:$L$60,D3006,Setup!$M$6:$M$60,C3006)=0,"⚠ หมวดไม่ตรงประเภท","✓"))))</f>
        <v/>
      </c>
    </row>
    <row r="3007">
      <c r="B3007" s="113" t="n"/>
      <c r="C3007" s="114" t="n"/>
      <c r="D3007" s="115" t="n"/>
      <c r="E3007" s="116" t="n"/>
      <c r="F3007" s="115" t="n"/>
      <c r="G3007" s="117">
        <f>IF(COUNTA(B3007:E3007)=0,"",IF(COUNTA(B3007:E3007)&lt;4,"⚠ กรอกไม่ครบ",IF(NOT(ISNUMBER(B3007)),"⚠ วันที่ไม่ถูกต้อง",IF(COUNTIFS(Setup!$L$6:$L$60,D3007,Setup!$M$6:$M$60,C3007)=0,"⚠ หมวดไม่ตรงประเภท","✓"))))</f>
        <v/>
      </c>
    </row>
    <row r="3008">
      <c r="B3008" s="113" t="n"/>
      <c r="C3008" s="114" t="n"/>
      <c r="D3008" s="115" t="n"/>
      <c r="E3008" s="116" t="n"/>
      <c r="F3008" s="115" t="n"/>
      <c r="G3008" s="117">
        <f>IF(COUNTA(B3008:E3008)=0,"",IF(COUNTA(B3008:E3008)&lt;4,"⚠ กรอกไม่ครบ",IF(NOT(ISNUMBER(B3008)),"⚠ วันที่ไม่ถูกต้อง",IF(COUNTIFS(Setup!$L$6:$L$60,D3008,Setup!$M$6:$M$60,C3008)=0,"⚠ หมวดไม่ตรงประเภท","✓"))))</f>
        <v/>
      </c>
    </row>
    <row r="3009">
      <c r="B3009" s="113" t="n"/>
      <c r="C3009" s="114" t="n"/>
      <c r="D3009" s="115" t="n"/>
      <c r="E3009" s="116" t="n"/>
      <c r="F3009" s="115" t="n"/>
      <c r="G3009" s="117">
        <f>IF(COUNTA(B3009:E3009)=0,"",IF(COUNTA(B3009:E3009)&lt;4,"⚠ กรอกไม่ครบ",IF(NOT(ISNUMBER(B3009)),"⚠ วันที่ไม่ถูกต้อง",IF(COUNTIFS(Setup!$L$6:$L$60,D3009,Setup!$M$6:$M$60,C3009)=0,"⚠ หมวดไม่ตรงประเภท","✓"))))</f>
        <v/>
      </c>
    </row>
    <row r="3010">
      <c r="B3010" s="113" t="n"/>
      <c r="C3010" s="114" t="n"/>
      <c r="D3010" s="115" t="n"/>
      <c r="E3010" s="116" t="n"/>
      <c r="F3010" s="115" t="n"/>
      <c r="G3010" s="117">
        <f>IF(COUNTA(B3010:E3010)=0,"",IF(COUNTA(B3010:E3010)&lt;4,"⚠ กรอกไม่ครบ",IF(NOT(ISNUMBER(B3010)),"⚠ วันที่ไม่ถูกต้อง",IF(COUNTIFS(Setup!$L$6:$L$60,D3010,Setup!$M$6:$M$60,C3010)=0,"⚠ หมวดไม่ตรงประเภท","✓"))))</f>
        <v/>
      </c>
    </row>
    <row r="3011">
      <c r="B3011" s="113" t="n"/>
      <c r="C3011" s="114" t="n"/>
      <c r="D3011" s="115" t="n"/>
      <c r="E3011" s="116" t="n"/>
      <c r="F3011" s="115" t="n"/>
      <c r="G3011" s="117">
        <f>IF(COUNTA(B3011:E3011)=0,"",IF(COUNTA(B3011:E3011)&lt;4,"⚠ กรอกไม่ครบ",IF(NOT(ISNUMBER(B3011)),"⚠ วันที่ไม่ถูกต้อง",IF(COUNTIFS(Setup!$L$6:$L$60,D3011,Setup!$M$6:$M$60,C3011)=0,"⚠ หมวดไม่ตรงประเภท","✓"))))</f>
        <v/>
      </c>
    </row>
    <row r="3012">
      <c r="B3012" s="113" t="n"/>
      <c r="C3012" s="114" t="n"/>
      <c r="D3012" s="115" t="n"/>
      <c r="E3012" s="116" t="n"/>
      <c r="F3012" s="115" t="n"/>
      <c r="G3012" s="117">
        <f>IF(COUNTA(B3012:E3012)=0,"",IF(COUNTA(B3012:E3012)&lt;4,"⚠ กรอกไม่ครบ",IF(NOT(ISNUMBER(B3012)),"⚠ วันที่ไม่ถูกต้อง",IF(COUNTIFS(Setup!$L$6:$L$60,D3012,Setup!$M$6:$M$60,C3012)=0,"⚠ หมวดไม่ตรงประเภท","✓"))))</f>
        <v/>
      </c>
    </row>
    <row r="3013">
      <c r="B3013" s="113" t="n"/>
      <c r="C3013" s="114" t="n"/>
      <c r="D3013" s="115" t="n"/>
      <c r="E3013" s="116" t="n"/>
      <c r="F3013" s="115" t="n"/>
      <c r="G3013" s="117">
        <f>IF(COUNTA(B3013:E3013)=0,"",IF(COUNTA(B3013:E3013)&lt;4,"⚠ กรอกไม่ครบ",IF(NOT(ISNUMBER(B3013)),"⚠ วันที่ไม่ถูกต้อง",IF(COUNTIFS(Setup!$L$6:$L$60,D3013,Setup!$M$6:$M$60,C3013)=0,"⚠ หมวดไม่ตรงประเภท","✓"))))</f>
        <v/>
      </c>
    </row>
    <row r="3014">
      <c r="B3014" s="113" t="n"/>
      <c r="C3014" s="114" t="n"/>
      <c r="D3014" s="115" t="n"/>
      <c r="E3014" s="116" t="n"/>
      <c r="F3014" s="115" t="n"/>
      <c r="G3014" s="117">
        <f>IF(COUNTA(B3014:E3014)=0,"",IF(COUNTA(B3014:E3014)&lt;4,"⚠ กรอกไม่ครบ",IF(NOT(ISNUMBER(B3014)),"⚠ วันที่ไม่ถูกต้อง",IF(COUNTIFS(Setup!$L$6:$L$60,D3014,Setup!$M$6:$M$60,C3014)=0,"⚠ หมวดไม่ตรงประเภท","✓"))))</f>
        <v/>
      </c>
    </row>
    <row r="3015">
      <c r="B3015" s="113" t="n"/>
      <c r="C3015" s="114" t="n"/>
      <c r="D3015" s="115" t="n"/>
      <c r="E3015" s="116" t="n"/>
      <c r="F3015" s="115" t="n"/>
      <c r="G3015" s="117">
        <f>IF(COUNTA(B3015:E3015)=0,"",IF(COUNTA(B3015:E3015)&lt;4,"⚠ กรอกไม่ครบ",IF(NOT(ISNUMBER(B3015)),"⚠ วันที่ไม่ถูกต้อง",IF(COUNTIFS(Setup!$L$6:$L$60,D3015,Setup!$M$6:$M$60,C3015)=0,"⚠ หมวดไม่ตรงประเภท","✓"))))</f>
        <v/>
      </c>
    </row>
    <row r="3016">
      <c r="B3016" s="113" t="n"/>
      <c r="C3016" s="114" t="n"/>
      <c r="D3016" s="115" t="n"/>
      <c r="E3016" s="116" t="n"/>
      <c r="F3016" s="115" t="n"/>
      <c r="G3016" s="117">
        <f>IF(COUNTA(B3016:E3016)=0,"",IF(COUNTA(B3016:E3016)&lt;4,"⚠ กรอกไม่ครบ",IF(NOT(ISNUMBER(B3016)),"⚠ วันที่ไม่ถูกต้อง",IF(COUNTIFS(Setup!$L$6:$L$60,D3016,Setup!$M$6:$M$60,C3016)=0,"⚠ หมวดไม่ตรงประเภท","✓"))))</f>
        <v/>
      </c>
    </row>
    <row r="3017">
      <c r="B3017" s="113" t="n"/>
      <c r="C3017" s="114" t="n"/>
      <c r="D3017" s="115" t="n"/>
      <c r="E3017" s="116" t="n"/>
      <c r="F3017" s="115" t="n"/>
      <c r="G3017" s="117">
        <f>IF(COUNTA(B3017:E3017)=0,"",IF(COUNTA(B3017:E3017)&lt;4,"⚠ กรอกไม่ครบ",IF(NOT(ISNUMBER(B3017)),"⚠ วันที่ไม่ถูกต้อง",IF(COUNTIFS(Setup!$L$6:$L$60,D3017,Setup!$M$6:$M$60,C3017)=0,"⚠ หมวดไม่ตรงประเภท","✓"))))</f>
        <v/>
      </c>
    </row>
    <row r="3018">
      <c r="B3018" s="113" t="n"/>
      <c r="C3018" s="114" t="n"/>
      <c r="D3018" s="115" t="n"/>
      <c r="E3018" s="116" t="n"/>
      <c r="F3018" s="115" t="n"/>
      <c r="G3018" s="117">
        <f>IF(COUNTA(B3018:E3018)=0,"",IF(COUNTA(B3018:E3018)&lt;4,"⚠ กรอกไม่ครบ",IF(NOT(ISNUMBER(B3018)),"⚠ วันที่ไม่ถูกต้อง",IF(COUNTIFS(Setup!$L$6:$L$60,D3018,Setup!$M$6:$M$60,C3018)=0,"⚠ หมวดไม่ตรงประเภท","✓"))))</f>
        <v/>
      </c>
    </row>
    <row r="3019">
      <c r="B3019" s="113" t="n"/>
      <c r="C3019" s="114" t="n"/>
      <c r="D3019" s="115" t="n"/>
      <c r="E3019" s="116" t="n"/>
      <c r="F3019" s="115" t="n"/>
      <c r="G3019" s="117">
        <f>IF(COUNTA(B3019:E3019)=0,"",IF(COUNTA(B3019:E3019)&lt;4,"⚠ กรอกไม่ครบ",IF(NOT(ISNUMBER(B3019)),"⚠ วันที่ไม่ถูกต้อง",IF(COUNTIFS(Setup!$L$6:$L$60,D3019,Setup!$M$6:$M$60,C3019)=0,"⚠ หมวดไม่ตรงประเภท","✓"))))</f>
        <v/>
      </c>
    </row>
    <row r="3020">
      <c r="B3020" s="113" t="n"/>
      <c r="C3020" s="114" t="n"/>
      <c r="D3020" s="115" t="n"/>
      <c r="E3020" s="116" t="n"/>
      <c r="F3020" s="115" t="n"/>
      <c r="G3020" s="117">
        <f>IF(COUNTA(B3020:E3020)=0,"",IF(COUNTA(B3020:E3020)&lt;4,"⚠ กรอกไม่ครบ",IF(NOT(ISNUMBER(B3020)),"⚠ วันที่ไม่ถูกต้อง",IF(COUNTIFS(Setup!$L$6:$L$60,D3020,Setup!$M$6:$M$60,C3020)=0,"⚠ หมวดไม่ตรงประเภท","✓"))))</f>
        <v/>
      </c>
    </row>
    <row r="3021">
      <c r="B3021" s="113" t="n"/>
      <c r="C3021" s="114" t="n"/>
      <c r="D3021" s="115" t="n"/>
      <c r="E3021" s="116" t="n"/>
      <c r="F3021" s="115" t="n"/>
      <c r="G3021" s="117">
        <f>IF(COUNTA(B3021:E3021)=0,"",IF(COUNTA(B3021:E3021)&lt;4,"⚠ กรอกไม่ครบ",IF(NOT(ISNUMBER(B3021)),"⚠ วันที่ไม่ถูกต้อง",IF(COUNTIFS(Setup!$L$6:$L$60,D3021,Setup!$M$6:$M$60,C3021)=0,"⚠ หมวดไม่ตรงประเภท","✓"))))</f>
        <v/>
      </c>
    </row>
    <row r="3022">
      <c r="B3022" s="113" t="n"/>
      <c r="C3022" s="114" t="n"/>
      <c r="D3022" s="115" t="n"/>
      <c r="E3022" s="116" t="n"/>
      <c r="F3022" s="115" t="n"/>
      <c r="G3022" s="117">
        <f>IF(COUNTA(B3022:E3022)=0,"",IF(COUNTA(B3022:E3022)&lt;4,"⚠ กรอกไม่ครบ",IF(NOT(ISNUMBER(B3022)),"⚠ วันที่ไม่ถูกต้อง",IF(COUNTIFS(Setup!$L$6:$L$60,D3022,Setup!$M$6:$M$60,C3022)=0,"⚠ หมวดไม่ตรงประเภท","✓"))))</f>
        <v/>
      </c>
    </row>
    <row r="3023">
      <c r="B3023" s="113" t="n"/>
      <c r="C3023" s="114" t="n"/>
      <c r="D3023" s="115" t="n"/>
      <c r="E3023" s="116" t="n"/>
      <c r="F3023" s="115" t="n"/>
      <c r="G3023" s="117">
        <f>IF(COUNTA(B3023:E3023)=0,"",IF(COUNTA(B3023:E3023)&lt;4,"⚠ กรอกไม่ครบ",IF(NOT(ISNUMBER(B3023)),"⚠ วันที่ไม่ถูกต้อง",IF(COUNTIFS(Setup!$L$6:$L$60,D3023,Setup!$M$6:$M$60,C3023)=0,"⚠ หมวดไม่ตรงประเภท","✓"))))</f>
        <v/>
      </c>
    </row>
    <row r="3024">
      <c r="B3024" s="113" t="n"/>
      <c r="C3024" s="114" t="n"/>
      <c r="D3024" s="115" t="n"/>
      <c r="E3024" s="116" t="n"/>
      <c r="F3024" s="115" t="n"/>
      <c r="G3024" s="117">
        <f>IF(COUNTA(B3024:E3024)=0,"",IF(COUNTA(B3024:E3024)&lt;4,"⚠ กรอกไม่ครบ",IF(NOT(ISNUMBER(B3024)),"⚠ วันที่ไม่ถูกต้อง",IF(COUNTIFS(Setup!$L$6:$L$60,D3024,Setup!$M$6:$M$60,C3024)=0,"⚠ หมวดไม่ตรงประเภท","✓"))))</f>
        <v/>
      </c>
    </row>
    <row r="3025">
      <c r="B3025" s="113" t="n"/>
      <c r="C3025" s="114" t="n"/>
      <c r="D3025" s="115" t="n"/>
      <c r="E3025" s="116" t="n"/>
      <c r="F3025" s="115" t="n"/>
      <c r="G3025" s="117">
        <f>IF(COUNTA(B3025:E3025)=0,"",IF(COUNTA(B3025:E3025)&lt;4,"⚠ กรอกไม่ครบ",IF(NOT(ISNUMBER(B3025)),"⚠ วันที่ไม่ถูกต้อง",IF(COUNTIFS(Setup!$L$6:$L$60,D3025,Setup!$M$6:$M$60,C3025)=0,"⚠ หมวดไม่ตรงประเภท","✓"))))</f>
        <v/>
      </c>
    </row>
    <row r="3026">
      <c r="B3026" s="113" t="n"/>
      <c r="C3026" s="114" t="n"/>
      <c r="D3026" s="115" t="n"/>
      <c r="E3026" s="116" t="n"/>
      <c r="F3026" s="115" t="n"/>
      <c r="G3026" s="117">
        <f>IF(COUNTA(B3026:E3026)=0,"",IF(COUNTA(B3026:E3026)&lt;4,"⚠ กรอกไม่ครบ",IF(NOT(ISNUMBER(B3026)),"⚠ วันที่ไม่ถูกต้อง",IF(COUNTIFS(Setup!$L$6:$L$60,D3026,Setup!$M$6:$M$60,C3026)=0,"⚠ หมวดไม่ตรงประเภท","✓"))))</f>
        <v/>
      </c>
    </row>
    <row r="3027">
      <c r="B3027" s="113" t="n"/>
      <c r="C3027" s="114" t="n"/>
      <c r="D3027" s="115" t="n"/>
      <c r="E3027" s="116" t="n"/>
      <c r="F3027" s="115" t="n"/>
      <c r="G3027" s="117">
        <f>IF(COUNTA(B3027:E3027)=0,"",IF(COUNTA(B3027:E3027)&lt;4,"⚠ กรอกไม่ครบ",IF(NOT(ISNUMBER(B3027)),"⚠ วันที่ไม่ถูกต้อง",IF(COUNTIFS(Setup!$L$6:$L$60,D3027,Setup!$M$6:$M$60,C3027)=0,"⚠ หมวดไม่ตรงประเภท","✓"))))</f>
        <v/>
      </c>
    </row>
    <row r="3028">
      <c r="B3028" s="113" t="n"/>
      <c r="C3028" s="114" t="n"/>
      <c r="D3028" s="115" t="n"/>
      <c r="E3028" s="116" t="n"/>
      <c r="F3028" s="115" t="n"/>
      <c r="G3028" s="117">
        <f>IF(COUNTA(B3028:E3028)=0,"",IF(COUNTA(B3028:E3028)&lt;4,"⚠ กรอกไม่ครบ",IF(NOT(ISNUMBER(B3028)),"⚠ วันที่ไม่ถูกต้อง",IF(COUNTIFS(Setup!$L$6:$L$60,D3028,Setup!$M$6:$M$60,C3028)=0,"⚠ หมวดไม่ตรงประเภท","✓"))))</f>
        <v/>
      </c>
    </row>
    <row r="3029">
      <c r="B3029" s="113" t="n"/>
      <c r="C3029" s="114" t="n"/>
      <c r="D3029" s="115" t="n"/>
      <c r="E3029" s="116" t="n"/>
      <c r="F3029" s="115" t="n"/>
      <c r="G3029" s="117">
        <f>IF(COUNTA(B3029:E3029)=0,"",IF(COUNTA(B3029:E3029)&lt;4,"⚠ กรอกไม่ครบ",IF(NOT(ISNUMBER(B3029)),"⚠ วันที่ไม่ถูกต้อง",IF(COUNTIFS(Setup!$L$6:$L$60,D3029,Setup!$M$6:$M$60,C3029)=0,"⚠ หมวดไม่ตรงประเภท","✓"))))</f>
        <v/>
      </c>
    </row>
    <row r="3030">
      <c r="B3030" s="113" t="n"/>
      <c r="C3030" s="114" t="n"/>
      <c r="D3030" s="115" t="n"/>
      <c r="E3030" s="116" t="n"/>
      <c r="F3030" s="115" t="n"/>
      <c r="G3030" s="117">
        <f>IF(COUNTA(B3030:E3030)=0,"",IF(COUNTA(B3030:E3030)&lt;4,"⚠ กรอกไม่ครบ",IF(NOT(ISNUMBER(B3030)),"⚠ วันที่ไม่ถูกต้อง",IF(COUNTIFS(Setup!$L$6:$L$60,D3030,Setup!$M$6:$M$60,C3030)=0,"⚠ หมวดไม่ตรงประเภท","✓"))))</f>
        <v/>
      </c>
    </row>
    <row r="3031">
      <c r="B3031" s="113" t="n"/>
      <c r="C3031" s="114" t="n"/>
      <c r="D3031" s="115" t="n"/>
      <c r="E3031" s="116" t="n"/>
      <c r="F3031" s="115" t="n"/>
      <c r="G3031" s="117">
        <f>IF(COUNTA(B3031:E3031)=0,"",IF(COUNTA(B3031:E3031)&lt;4,"⚠ กรอกไม่ครบ",IF(NOT(ISNUMBER(B3031)),"⚠ วันที่ไม่ถูกต้อง",IF(COUNTIFS(Setup!$L$6:$L$60,D3031,Setup!$M$6:$M$60,C3031)=0,"⚠ หมวดไม่ตรงประเภท","✓"))))</f>
        <v/>
      </c>
    </row>
    <row r="3032">
      <c r="B3032" s="113" t="n"/>
      <c r="C3032" s="114" t="n"/>
      <c r="D3032" s="115" t="n"/>
      <c r="E3032" s="116" t="n"/>
      <c r="F3032" s="115" t="n"/>
      <c r="G3032" s="117">
        <f>IF(COUNTA(B3032:E3032)=0,"",IF(COUNTA(B3032:E3032)&lt;4,"⚠ กรอกไม่ครบ",IF(NOT(ISNUMBER(B3032)),"⚠ วันที่ไม่ถูกต้อง",IF(COUNTIFS(Setup!$L$6:$L$60,D3032,Setup!$M$6:$M$60,C3032)=0,"⚠ หมวดไม่ตรงประเภท","✓"))))</f>
        <v/>
      </c>
    </row>
    <row r="3033">
      <c r="B3033" s="113" t="n"/>
      <c r="C3033" s="114" t="n"/>
      <c r="D3033" s="115" t="n"/>
      <c r="E3033" s="116" t="n"/>
      <c r="F3033" s="115" t="n"/>
      <c r="G3033" s="117">
        <f>IF(COUNTA(B3033:E3033)=0,"",IF(COUNTA(B3033:E3033)&lt;4,"⚠ กรอกไม่ครบ",IF(NOT(ISNUMBER(B3033)),"⚠ วันที่ไม่ถูกต้อง",IF(COUNTIFS(Setup!$L$6:$L$60,D3033,Setup!$M$6:$M$60,C3033)=0,"⚠ หมวดไม่ตรงประเภท","✓"))))</f>
        <v/>
      </c>
    </row>
    <row r="3034">
      <c r="B3034" s="113" t="n"/>
      <c r="C3034" s="114" t="n"/>
      <c r="D3034" s="115" t="n"/>
      <c r="E3034" s="116" t="n"/>
      <c r="F3034" s="115" t="n"/>
      <c r="G3034" s="117">
        <f>IF(COUNTA(B3034:E3034)=0,"",IF(COUNTA(B3034:E3034)&lt;4,"⚠ กรอกไม่ครบ",IF(NOT(ISNUMBER(B3034)),"⚠ วันที่ไม่ถูกต้อง",IF(COUNTIFS(Setup!$L$6:$L$60,D3034,Setup!$M$6:$M$60,C3034)=0,"⚠ หมวดไม่ตรงประเภท","✓"))))</f>
        <v/>
      </c>
    </row>
    <row r="3035">
      <c r="B3035" s="113" t="n"/>
      <c r="C3035" s="114" t="n"/>
      <c r="D3035" s="115" t="n"/>
      <c r="E3035" s="116" t="n"/>
      <c r="F3035" s="115" t="n"/>
      <c r="G3035" s="117">
        <f>IF(COUNTA(B3035:E3035)=0,"",IF(COUNTA(B3035:E3035)&lt;4,"⚠ กรอกไม่ครบ",IF(NOT(ISNUMBER(B3035)),"⚠ วันที่ไม่ถูกต้อง",IF(COUNTIFS(Setup!$L$6:$L$60,D3035,Setup!$M$6:$M$60,C3035)=0,"⚠ หมวดไม่ตรงประเภท","✓"))))</f>
        <v/>
      </c>
    </row>
    <row r="3036">
      <c r="B3036" s="113" t="n"/>
      <c r="C3036" s="114" t="n"/>
      <c r="D3036" s="115" t="n"/>
      <c r="E3036" s="116" t="n"/>
      <c r="F3036" s="115" t="n"/>
      <c r="G3036" s="117">
        <f>IF(COUNTA(B3036:E3036)=0,"",IF(COUNTA(B3036:E3036)&lt;4,"⚠ กรอกไม่ครบ",IF(NOT(ISNUMBER(B3036)),"⚠ วันที่ไม่ถูกต้อง",IF(COUNTIFS(Setup!$L$6:$L$60,D3036,Setup!$M$6:$M$60,C3036)=0,"⚠ หมวดไม่ตรงประเภท","✓"))))</f>
        <v/>
      </c>
    </row>
    <row r="3037">
      <c r="B3037" s="113" t="n"/>
      <c r="C3037" s="114" t="n"/>
      <c r="D3037" s="115" t="n"/>
      <c r="E3037" s="116" t="n"/>
      <c r="F3037" s="115" t="n"/>
      <c r="G3037" s="117">
        <f>IF(COUNTA(B3037:E3037)=0,"",IF(COUNTA(B3037:E3037)&lt;4,"⚠ กรอกไม่ครบ",IF(NOT(ISNUMBER(B3037)),"⚠ วันที่ไม่ถูกต้อง",IF(COUNTIFS(Setup!$L$6:$L$60,D3037,Setup!$M$6:$M$60,C3037)=0,"⚠ หมวดไม่ตรงประเภท","✓"))))</f>
        <v/>
      </c>
    </row>
    <row r="3038">
      <c r="B3038" s="113" t="n"/>
      <c r="C3038" s="114" t="n"/>
      <c r="D3038" s="115" t="n"/>
      <c r="E3038" s="116" t="n"/>
      <c r="F3038" s="115" t="n"/>
      <c r="G3038" s="117">
        <f>IF(COUNTA(B3038:E3038)=0,"",IF(COUNTA(B3038:E3038)&lt;4,"⚠ กรอกไม่ครบ",IF(NOT(ISNUMBER(B3038)),"⚠ วันที่ไม่ถูกต้อง",IF(COUNTIFS(Setup!$L$6:$L$60,D3038,Setup!$M$6:$M$60,C3038)=0,"⚠ หมวดไม่ตรงประเภท","✓"))))</f>
        <v/>
      </c>
    </row>
    <row r="3039">
      <c r="B3039" s="113" t="n"/>
      <c r="C3039" s="114" t="n"/>
      <c r="D3039" s="115" t="n"/>
      <c r="E3039" s="116" t="n"/>
      <c r="F3039" s="115" t="n"/>
      <c r="G3039" s="117">
        <f>IF(COUNTA(B3039:E3039)=0,"",IF(COUNTA(B3039:E3039)&lt;4,"⚠ กรอกไม่ครบ",IF(NOT(ISNUMBER(B3039)),"⚠ วันที่ไม่ถูกต้อง",IF(COUNTIFS(Setup!$L$6:$L$60,D3039,Setup!$M$6:$M$60,C3039)=0,"⚠ หมวดไม่ตรงประเภท","✓"))))</f>
        <v/>
      </c>
    </row>
    <row r="3040">
      <c r="B3040" s="113" t="n"/>
      <c r="C3040" s="114" t="n"/>
      <c r="D3040" s="115" t="n"/>
      <c r="E3040" s="116" t="n"/>
      <c r="F3040" s="115" t="n"/>
      <c r="G3040" s="117">
        <f>IF(COUNTA(B3040:E3040)=0,"",IF(COUNTA(B3040:E3040)&lt;4,"⚠ กรอกไม่ครบ",IF(NOT(ISNUMBER(B3040)),"⚠ วันที่ไม่ถูกต้อง",IF(COUNTIFS(Setup!$L$6:$L$60,D3040,Setup!$M$6:$M$60,C3040)=0,"⚠ หมวดไม่ตรงประเภท","✓"))))</f>
        <v/>
      </c>
    </row>
    <row r="3041">
      <c r="B3041" s="113" t="n"/>
      <c r="C3041" s="114" t="n"/>
      <c r="D3041" s="115" t="n"/>
      <c r="E3041" s="116" t="n"/>
      <c r="F3041" s="115" t="n"/>
      <c r="G3041" s="117">
        <f>IF(COUNTA(B3041:E3041)=0,"",IF(COUNTA(B3041:E3041)&lt;4,"⚠ กรอกไม่ครบ",IF(NOT(ISNUMBER(B3041)),"⚠ วันที่ไม่ถูกต้อง",IF(COUNTIFS(Setup!$L$6:$L$60,D3041,Setup!$M$6:$M$60,C3041)=0,"⚠ หมวดไม่ตรงประเภท","✓"))))</f>
        <v/>
      </c>
    </row>
    <row r="3042">
      <c r="B3042" s="113" t="n"/>
      <c r="C3042" s="114" t="n"/>
      <c r="D3042" s="115" t="n"/>
      <c r="E3042" s="116" t="n"/>
      <c r="F3042" s="115" t="n"/>
      <c r="G3042" s="117">
        <f>IF(COUNTA(B3042:E3042)=0,"",IF(COUNTA(B3042:E3042)&lt;4,"⚠ กรอกไม่ครบ",IF(NOT(ISNUMBER(B3042)),"⚠ วันที่ไม่ถูกต้อง",IF(COUNTIFS(Setup!$L$6:$L$60,D3042,Setup!$M$6:$M$60,C3042)=0,"⚠ หมวดไม่ตรงประเภท","✓"))))</f>
        <v/>
      </c>
    </row>
    <row r="3043">
      <c r="B3043" s="113" t="n"/>
      <c r="C3043" s="114" t="n"/>
      <c r="D3043" s="115" t="n"/>
      <c r="E3043" s="116" t="n"/>
      <c r="F3043" s="115" t="n"/>
      <c r="G3043" s="117">
        <f>IF(COUNTA(B3043:E3043)=0,"",IF(COUNTA(B3043:E3043)&lt;4,"⚠ กรอกไม่ครบ",IF(NOT(ISNUMBER(B3043)),"⚠ วันที่ไม่ถูกต้อง",IF(COUNTIFS(Setup!$L$6:$L$60,D3043,Setup!$M$6:$M$60,C3043)=0,"⚠ หมวดไม่ตรงประเภท","✓"))))</f>
        <v/>
      </c>
    </row>
    <row r="3044">
      <c r="B3044" s="113" t="n"/>
      <c r="C3044" s="114" t="n"/>
      <c r="D3044" s="115" t="n"/>
      <c r="E3044" s="116" t="n"/>
      <c r="F3044" s="115" t="n"/>
      <c r="G3044" s="117">
        <f>IF(COUNTA(B3044:E3044)=0,"",IF(COUNTA(B3044:E3044)&lt;4,"⚠ กรอกไม่ครบ",IF(NOT(ISNUMBER(B3044)),"⚠ วันที่ไม่ถูกต้อง",IF(COUNTIFS(Setup!$L$6:$L$60,D3044,Setup!$M$6:$M$60,C3044)=0,"⚠ หมวดไม่ตรงประเภท","✓"))))</f>
        <v/>
      </c>
    </row>
    <row r="3045">
      <c r="B3045" s="113" t="n"/>
      <c r="C3045" s="114" t="n"/>
      <c r="D3045" s="115" t="n"/>
      <c r="E3045" s="116" t="n"/>
      <c r="F3045" s="115" t="n"/>
      <c r="G3045" s="117">
        <f>IF(COUNTA(B3045:E3045)=0,"",IF(COUNTA(B3045:E3045)&lt;4,"⚠ กรอกไม่ครบ",IF(NOT(ISNUMBER(B3045)),"⚠ วันที่ไม่ถูกต้อง",IF(COUNTIFS(Setup!$L$6:$L$60,D3045,Setup!$M$6:$M$60,C3045)=0,"⚠ หมวดไม่ตรงประเภท","✓"))))</f>
        <v/>
      </c>
    </row>
    <row r="3046">
      <c r="B3046" s="113" t="n"/>
      <c r="C3046" s="114" t="n"/>
      <c r="D3046" s="115" t="n"/>
      <c r="E3046" s="116" t="n"/>
      <c r="F3046" s="115" t="n"/>
      <c r="G3046" s="117">
        <f>IF(COUNTA(B3046:E3046)=0,"",IF(COUNTA(B3046:E3046)&lt;4,"⚠ กรอกไม่ครบ",IF(NOT(ISNUMBER(B3046)),"⚠ วันที่ไม่ถูกต้อง",IF(COUNTIFS(Setup!$L$6:$L$60,D3046,Setup!$M$6:$M$60,C3046)=0,"⚠ หมวดไม่ตรงประเภท","✓"))))</f>
        <v/>
      </c>
    </row>
    <row r="3047">
      <c r="B3047" s="113" t="n"/>
      <c r="C3047" s="114" t="n"/>
      <c r="D3047" s="115" t="n"/>
      <c r="E3047" s="116" t="n"/>
      <c r="F3047" s="115" t="n"/>
      <c r="G3047" s="117">
        <f>IF(COUNTA(B3047:E3047)=0,"",IF(COUNTA(B3047:E3047)&lt;4,"⚠ กรอกไม่ครบ",IF(NOT(ISNUMBER(B3047)),"⚠ วันที่ไม่ถูกต้อง",IF(COUNTIFS(Setup!$L$6:$L$60,D3047,Setup!$M$6:$M$60,C3047)=0,"⚠ หมวดไม่ตรงประเภท","✓"))))</f>
        <v/>
      </c>
    </row>
    <row r="3048">
      <c r="B3048" s="113" t="n"/>
      <c r="C3048" s="114" t="n"/>
      <c r="D3048" s="115" t="n"/>
      <c r="E3048" s="116" t="n"/>
      <c r="F3048" s="115" t="n"/>
      <c r="G3048" s="117">
        <f>IF(COUNTA(B3048:E3048)=0,"",IF(COUNTA(B3048:E3048)&lt;4,"⚠ กรอกไม่ครบ",IF(NOT(ISNUMBER(B3048)),"⚠ วันที่ไม่ถูกต้อง",IF(COUNTIFS(Setup!$L$6:$L$60,D3048,Setup!$M$6:$M$60,C3048)=0,"⚠ หมวดไม่ตรงประเภท","✓"))))</f>
        <v/>
      </c>
    </row>
    <row r="3049">
      <c r="B3049" s="113" t="n"/>
      <c r="C3049" s="114" t="n"/>
      <c r="D3049" s="115" t="n"/>
      <c r="E3049" s="116" t="n"/>
      <c r="F3049" s="115" t="n"/>
      <c r="G3049" s="117">
        <f>IF(COUNTA(B3049:E3049)=0,"",IF(COUNTA(B3049:E3049)&lt;4,"⚠ กรอกไม่ครบ",IF(NOT(ISNUMBER(B3049)),"⚠ วันที่ไม่ถูกต้อง",IF(COUNTIFS(Setup!$L$6:$L$60,D3049,Setup!$M$6:$M$60,C3049)=0,"⚠ หมวดไม่ตรงประเภท","✓"))))</f>
        <v/>
      </c>
    </row>
    <row r="3050">
      <c r="B3050" s="113" t="n"/>
      <c r="C3050" s="114" t="n"/>
      <c r="D3050" s="115" t="n"/>
      <c r="E3050" s="116" t="n"/>
      <c r="F3050" s="115" t="n"/>
      <c r="G3050" s="117">
        <f>IF(COUNTA(B3050:E3050)=0,"",IF(COUNTA(B3050:E3050)&lt;4,"⚠ กรอกไม่ครบ",IF(NOT(ISNUMBER(B3050)),"⚠ วันที่ไม่ถูกต้อง",IF(COUNTIFS(Setup!$L$6:$L$60,D3050,Setup!$M$6:$M$60,C3050)=0,"⚠ หมวดไม่ตรงประเภท","✓"))))</f>
        <v/>
      </c>
    </row>
    <row r="3051">
      <c r="B3051" s="113" t="n"/>
      <c r="C3051" s="114" t="n"/>
      <c r="D3051" s="115" t="n"/>
      <c r="E3051" s="116" t="n"/>
      <c r="F3051" s="115" t="n"/>
      <c r="G3051" s="117">
        <f>IF(COUNTA(B3051:E3051)=0,"",IF(COUNTA(B3051:E3051)&lt;4,"⚠ กรอกไม่ครบ",IF(NOT(ISNUMBER(B3051)),"⚠ วันที่ไม่ถูกต้อง",IF(COUNTIFS(Setup!$L$6:$L$60,D3051,Setup!$M$6:$M$60,C3051)=0,"⚠ หมวดไม่ตรงประเภท","✓"))))</f>
        <v/>
      </c>
    </row>
    <row r="3052">
      <c r="B3052" s="113" t="n"/>
      <c r="C3052" s="114" t="n"/>
      <c r="D3052" s="115" t="n"/>
      <c r="E3052" s="116" t="n"/>
      <c r="F3052" s="115" t="n"/>
      <c r="G3052" s="117">
        <f>IF(COUNTA(B3052:E3052)=0,"",IF(COUNTA(B3052:E3052)&lt;4,"⚠ กรอกไม่ครบ",IF(NOT(ISNUMBER(B3052)),"⚠ วันที่ไม่ถูกต้อง",IF(COUNTIFS(Setup!$L$6:$L$60,D3052,Setup!$M$6:$M$60,C3052)=0,"⚠ หมวดไม่ตรงประเภท","✓"))))</f>
        <v/>
      </c>
    </row>
    <row r="3053">
      <c r="B3053" s="113" t="n"/>
      <c r="C3053" s="114" t="n"/>
      <c r="D3053" s="115" t="n"/>
      <c r="E3053" s="116" t="n"/>
      <c r="F3053" s="115" t="n"/>
      <c r="G3053" s="117">
        <f>IF(COUNTA(B3053:E3053)=0,"",IF(COUNTA(B3053:E3053)&lt;4,"⚠ กรอกไม่ครบ",IF(NOT(ISNUMBER(B3053)),"⚠ วันที่ไม่ถูกต้อง",IF(COUNTIFS(Setup!$L$6:$L$60,D3053,Setup!$M$6:$M$60,C3053)=0,"⚠ หมวดไม่ตรงประเภท","✓"))))</f>
        <v/>
      </c>
    </row>
    <row r="3054">
      <c r="B3054" s="113" t="n"/>
      <c r="C3054" s="114" t="n"/>
      <c r="D3054" s="115" t="n"/>
      <c r="E3054" s="116" t="n"/>
      <c r="F3054" s="115" t="n"/>
      <c r="G3054" s="117">
        <f>IF(COUNTA(B3054:E3054)=0,"",IF(COUNTA(B3054:E3054)&lt;4,"⚠ กรอกไม่ครบ",IF(NOT(ISNUMBER(B3054)),"⚠ วันที่ไม่ถูกต้อง",IF(COUNTIFS(Setup!$L$6:$L$60,D3054,Setup!$M$6:$M$60,C3054)=0,"⚠ หมวดไม่ตรงประเภท","✓"))))</f>
        <v/>
      </c>
    </row>
    <row r="3055">
      <c r="B3055" s="113" t="n"/>
      <c r="C3055" s="114" t="n"/>
      <c r="D3055" s="115" t="n"/>
      <c r="E3055" s="116" t="n"/>
      <c r="F3055" s="115" t="n"/>
      <c r="G3055" s="117">
        <f>IF(COUNTA(B3055:E3055)=0,"",IF(COUNTA(B3055:E3055)&lt;4,"⚠ กรอกไม่ครบ",IF(NOT(ISNUMBER(B3055)),"⚠ วันที่ไม่ถูกต้อง",IF(COUNTIFS(Setup!$L$6:$L$60,D3055,Setup!$M$6:$M$60,C3055)=0,"⚠ หมวดไม่ตรงประเภท","✓"))))</f>
        <v/>
      </c>
    </row>
    <row r="3056">
      <c r="B3056" s="113" t="n"/>
      <c r="C3056" s="114" t="n"/>
      <c r="D3056" s="115" t="n"/>
      <c r="E3056" s="116" t="n"/>
      <c r="F3056" s="115" t="n"/>
      <c r="G3056" s="117">
        <f>IF(COUNTA(B3056:E3056)=0,"",IF(COUNTA(B3056:E3056)&lt;4,"⚠ กรอกไม่ครบ",IF(NOT(ISNUMBER(B3056)),"⚠ วันที่ไม่ถูกต้อง",IF(COUNTIFS(Setup!$L$6:$L$60,D3056,Setup!$M$6:$M$60,C3056)=0,"⚠ หมวดไม่ตรงประเภท","✓"))))</f>
        <v/>
      </c>
    </row>
    <row r="3057">
      <c r="B3057" s="113" t="n"/>
      <c r="C3057" s="114" t="n"/>
      <c r="D3057" s="115" t="n"/>
      <c r="E3057" s="116" t="n"/>
      <c r="F3057" s="115" t="n"/>
      <c r="G3057" s="117">
        <f>IF(COUNTA(B3057:E3057)=0,"",IF(COUNTA(B3057:E3057)&lt;4,"⚠ กรอกไม่ครบ",IF(NOT(ISNUMBER(B3057)),"⚠ วันที่ไม่ถูกต้อง",IF(COUNTIFS(Setup!$L$6:$L$60,D3057,Setup!$M$6:$M$60,C3057)=0,"⚠ หมวดไม่ตรงประเภท","✓"))))</f>
        <v/>
      </c>
    </row>
    <row r="3058">
      <c r="B3058" s="113" t="n"/>
      <c r="C3058" s="114" t="n"/>
      <c r="D3058" s="115" t="n"/>
      <c r="E3058" s="116" t="n"/>
      <c r="F3058" s="115" t="n"/>
      <c r="G3058" s="117">
        <f>IF(COUNTA(B3058:E3058)=0,"",IF(COUNTA(B3058:E3058)&lt;4,"⚠ กรอกไม่ครบ",IF(NOT(ISNUMBER(B3058)),"⚠ วันที่ไม่ถูกต้อง",IF(COUNTIFS(Setup!$L$6:$L$60,D3058,Setup!$M$6:$M$60,C3058)=0,"⚠ หมวดไม่ตรงประเภท","✓"))))</f>
        <v/>
      </c>
    </row>
    <row r="3059">
      <c r="B3059" s="113" t="n"/>
      <c r="C3059" s="114" t="n"/>
      <c r="D3059" s="115" t="n"/>
      <c r="E3059" s="116" t="n"/>
      <c r="F3059" s="115" t="n"/>
      <c r="G3059" s="117">
        <f>IF(COUNTA(B3059:E3059)=0,"",IF(COUNTA(B3059:E3059)&lt;4,"⚠ กรอกไม่ครบ",IF(NOT(ISNUMBER(B3059)),"⚠ วันที่ไม่ถูกต้อง",IF(COUNTIFS(Setup!$L$6:$L$60,D3059,Setup!$M$6:$M$60,C3059)=0,"⚠ หมวดไม่ตรงประเภท","✓"))))</f>
        <v/>
      </c>
    </row>
    <row r="3060">
      <c r="B3060" s="113" t="n"/>
      <c r="C3060" s="114" t="n"/>
      <c r="D3060" s="115" t="n"/>
      <c r="E3060" s="116" t="n"/>
      <c r="F3060" s="115" t="n"/>
      <c r="G3060" s="117">
        <f>IF(COUNTA(B3060:E3060)=0,"",IF(COUNTA(B3060:E3060)&lt;4,"⚠ กรอกไม่ครบ",IF(NOT(ISNUMBER(B3060)),"⚠ วันที่ไม่ถูกต้อง",IF(COUNTIFS(Setup!$L$6:$L$60,D3060,Setup!$M$6:$M$60,C3060)=0,"⚠ หมวดไม่ตรงประเภท","✓"))))</f>
        <v/>
      </c>
    </row>
    <row r="3061">
      <c r="B3061" s="113" t="n"/>
      <c r="C3061" s="114" t="n"/>
      <c r="D3061" s="115" t="n"/>
      <c r="E3061" s="116" t="n"/>
      <c r="F3061" s="115" t="n"/>
      <c r="G3061" s="117">
        <f>IF(COUNTA(B3061:E3061)=0,"",IF(COUNTA(B3061:E3061)&lt;4,"⚠ กรอกไม่ครบ",IF(NOT(ISNUMBER(B3061)),"⚠ วันที่ไม่ถูกต้อง",IF(COUNTIFS(Setup!$L$6:$L$60,D3061,Setup!$M$6:$M$60,C3061)=0,"⚠ หมวดไม่ตรงประเภท","✓"))))</f>
        <v/>
      </c>
    </row>
    <row r="3062">
      <c r="B3062" s="113" t="n"/>
      <c r="C3062" s="114" t="n"/>
      <c r="D3062" s="115" t="n"/>
      <c r="E3062" s="116" t="n"/>
      <c r="F3062" s="115" t="n"/>
      <c r="G3062" s="117">
        <f>IF(COUNTA(B3062:E3062)=0,"",IF(COUNTA(B3062:E3062)&lt;4,"⚠ กรอกไม่ครบ",IF(NOT(ISNUMBER(B3062)),"⚠ วันที่ไม่ถูกต้อง",IF(COUNTIFS(Setup!$L$6:$L$60,D3062,Setup!$M$6:$M$60,C3062)=0,"⚠ หมวดไม่ตรงประเภท","✓"))))</f>
        <v/>
      </c>
    </row>
    <row r="3063">
      <c r="B3063" s="113" t="n"/>
      <c r="C3063" s="114" t="n"/>
      <c r="D3063" s="115" t="n"/>
      <c r="E3063" s="116" t="n"/>
      <c r="F3063" s="115" t="n"/>
      <c r="G3063" s="117">
        <f>IF(COUNTA(B3063:E3063)=0,"",IF(COUNTA(B3063:E3063)&lt;4,"⚠ กรอกไม่ครบ",IF(NOT(ISNUMBER(B3063)),"⚠ วันที่ไม่ถูกต้อง",IF(COUNTIFS(Setup!$L$6:$L$60,D3063,Setup!$M$6:$M$60,C3063)=0,"⚠ หมวดไม่ตรงประเภท","✓"))))</f>
        <v/>
      </c>
    </row>
    <row r="3064">
      <c r="B3064" s="113" t="n"/>
      <c r="C3064" s="114" t="n"/>
      <c r="D3064" s="115" t="n"/>
      <c r="E3064" s="116" t="n"/>
      <c r="F3064" s="115" t="n"/>
      <c r="G3064" s="117">
        <f>IF(COUNTA(B3064:E3064)=0,"",IF(COUNTA(B3064:E3064)&lt;4,"⚠ กรอกไม่ครบ",IF(NOT(ISNUMBER(B3064)),"⚠ วันที่ไม่ถูกต้อง",IF(COUNTIFS(Setup!$L$6:$L$60,D3064,Setup!$M$6:$M$60,C3064)=0,"⚠ หมวดไม่ตรงประเภท","✓"))))</f>
        <v/>
      </c>
    </row>
    <row r="3065">
      <c r="B3065" s="113" t="n"/>
      <c r="C3065" s="114" t="n"/>
      <c r="D3065" s="115" t="n"/>
      <c r="E3065" s="116" t="n"/>
      <c r="F3065" s="115" t="n"/>
      <c r="G3065" s="117">
        <f>IF(COUNTA(B3065:E3065)=0,"",IF(COUNTA(B3065:E3065)&lt;4,"⚠ กรอกไม่ครบ",IF(NOT(ISNUMBER(B3065)),"⚠ วันที่ไม่ถูกต้อง",IF(COUNTIFS(Setup!$L$6:$L$60,D3065,Setup!$M$6:$M$60,C3065)=0,"⚠ หมวดไม่ตรงประเภท","✓"))))</f>
        <v/>
      </c>
    </row>
    <row r="3066">
      <c r="B3066" s="113" t="n"/>
      <c r="C3066" s="114" t="n"/>
      <c r="D3066" s="115" t="n"/>
      <c r="E3066" s="116" t="n"/>
      <c r="F3066" s="115" t="n"/>
      <c r="G3066" s="117">
        <f>IF(COUNTA(B3066:E3066)=0,"",IF(COUNTA(B3066:E3066)&lt;4,"⚠ กรอกไม่ครบ",IF(NOT(ISNUMBER(B3066)),"⚠ วันที่ไม่ถูกต้อง",IF(COUNTIFS(Setup!$L$6:$L$60,D3066,Setup!$M$6:$M$60,C3066)=0,"⚠ หมวดไม่ตรงประเภท","✓"))))</f>
        <v/>
      </c>
    </row>
    <row r="3067">
      <c r="B3067" s="113" t="n"/>
      <c r="C3067" s="114" t="n"/>
      <c r="D3067" s="115" t="n"/>
      <c r="E3067" s="116" t="n"/>
      <c r="F3067" s="115" t="n"/>
      <c r="G3067" s="117">
        <f>IF(COUNTA(B3067:E3067)=0,"",IF(COUNTA(B3067:E3067)&lt;4,"⚠ กรอกไม่ครบ",IF(NOT(ISNUMBER(B3067)),"⚠ วันที่ไม่ถูกต้อง",IF(COUNTIFS(Setup!$L$6:$L$60,D3067,Setup!$M$6:$M$60,C3067)=0,"⚠ หมวดไม่ตรงประเภท","✓"))))</f>
        <v/>
      </c>
    </row>
    <row r="3068">
      <c r="B3068" s="113" t="n"/>
      <c r="C3068" s="114" t="n"/>
      <c r="D3068" s="115" t="n"/>
      <c r="E3068" s="116" t="n"/>
      <c r="F3068" s="115" t="n"/>
      <c r="G3068" s="117">
        <f>IF(COUNTA(B3068:E3068)=0,"",IF(COUNTA(B3068:E3068)&lt;4,"⚠ กรอกไม่ครบ",IF(NOT(ISNUMBER(B3068)),"⚠ วันที่ไม่ถูกต้อง",IF(COUNTIFS(Setup!$L$6:$L$60,D3068,Setup!$M$6:$M$60,C3068)=0,"⚠ หมวดไม่ตรงประเภท","✓"))))</f>
        <v/>
      </c>
    </row>
    <row r="3069">
      <c r="B3069" s="113" t="n"/>
      <c r="C3069" s="114" t="n"/>
      <c r="D3069" s="115" t="n"/>
      <c r="E3069" s="116" t="n"/>
      <c r="F3069" s="115" t="n"/>
      <c r="G3069" s="117">
        <f>IF(COUNTA(B3069:E3069)=0,"",IF(COUNTA(B3069:E3069)&lt;4,"⚠ กรอกไม่ครบ",IF(NOT(ISNUMBER(B3069)),"⚠ วันที่ไม่ถูกต้อง",IF(COUNTIFS(Setup!$L$6:$L$60,D3069,Setup!$M$6:$M$60,C3069)=0,"⚠ หมวดไม่ตรงประเภท","✓"))))</f>
        <v/>
      </c>
    </row>
    <row r="3070">
      <c r="B3070" s="113" t="n"/>
      <c r="C3070" s="114" t="n"/>
      <c r="D3070" s="115" t="n"/>
      <c r="E3070" s="116" t="n"/>
      <c r="F3070" s="115" t="n"/>
      <c r="G3070" s="117">
        <f>IF(COUNTA(B3070:E3070)=0,"",IF(COUNTA(B3070:E3070)&lt;4,"⚠ กรอกไม่ครบ",IF(NOT(ISNUMBER(B3070)),"⚠ วันที่ไม่ถูกต้อง",IF(COUNTIFS(Setup!$L$6:$L$60,D3070,Setup!$M$6:$M$60,C3070)=0,"⚠ หมวดไม่ตรงประเภท","✓"))))</f>
        <v/>
      </c>
    </row>
    <row r="3071">
      <c r="B3071" s="113" t="n"/>
      <c r="C3071" s="114" t="n"/>
      <c r="D3071" s="115" t="n"/>
      <c r="E3071" s="116" t="n"/>
      <c r="F3071" s="115" t="n"/>
      <c r="G3071" s="117">
        <f>IF(COUNTA(B3071:E3071)=0,"",IF(COUNTA(B3071:E3071)&lt;4,"⚠ กรอกไม่ครบ",IF(NOT(ISNUMBER(B3071)),"⚠ วันที่ไม่ถูกต้อง",IF(COUNTIFS(Setup!$L$6:$L$60,D3071,Setup!$M$6:$M$60,C3071)=0,"⚠ หมวดไม่ตรงประเภท","✓"))))</f>
        <v/>
      </c>
    </row>
    <row r="3072">
      <c r="B3072" s="113" t="n"/>
      <c r="C3072" s="114" t="n"/>
      <c r="D3072" s="115" t="n"/>
      <c r="E3072" s="116" t="n"/>
      <c r="F3072" s="115" t="n"/>
      <c r="G3072" s="117">
        <f>IF(COUNTA(B3072:E3072)=0,"",IF(COUNTA(B3072:E3072)&lt;4,"⚠ กรอกไม่ครบ",IF(NOT(ISNUMBER(B3072)),"⚠ วันที่ไม่ถูกต้อง",IF(COUNTIFS(Setup!$L$6:$L$60,D3072,Setup!$M$6:$M$60,C3072)=0,"⚠ หมวดไม่ตรงประเภท","✓"))))</f>
        <v/>
      </c>
    </row>
    <row r="3073">
      <c r="B3073" s="113" t="n"/>
      <c r="C3073" s="114" t="n"/>
      <c r="D3073" s="115" t="n"/>
      <c r="E3073" s="116" t="n"/>
      <c r="F3073" s="115" t="n"/>
      <c r="G3073" s="117">
        <f>IF(COUNTA(B3073:E3073)=0,"",IF(COUNTA(B3073:E3073)&lt;4,"⚠ กรอกไม่ครบ",IF(NOT(ISNUMBER(B3073)),"⚠ วันที่ไม่ถูกต้อง",IF(COUNTIFS(Setup!$L$6:$L$60,D3073,Setup!$M$6:$M$60,C3073)=0,"⚠ หมวดไม่ตรงประเภท","✓"))))</f>
        <v/>
      </c>
    </row>
    <row r="3074">
      <c r="B3074" s="113" t="n"/>
      <c r="C3074" s="114" t="n"/>
      <c r="D3074" s="115" t="n"/>
      <c r="E3074" s="116" t="n"/>
      <c r="F3074" s="115" t="n"/>
      <c r="G3074" s="117">
        <f>IF(COUNTA(B3074:E3074)=0,"",IF(COUNTA(B3074:E3074)&lt;4,"⚠ กรอกไม่ครบ",IF(NOT(ISNUMBER(B3074)),"⚠ วันที่ไม่ถูกต้อง",IF(COUNTIFS(Setup!$L$6:$L$60,D3074,Setup!$M$6:$M$60,C3074)=0,"⚠ หมวดไม่ตรงประเภท","✓"))))</f>
        <v/>
      </c>
    </row>
    <row r="3075">
      <c r="B3075" s="113" t="n"/>
      <c r="C3075" s="114" t="n"/>
      <c r="D3075" s="115" t="n"/>
      <c r="E3075" s="116" t="n"/>
      <c r="F3075" s="115" t="n"/>
      <c r="G3075" s="117">
        <f>IF(COUNTA(B3075:E3075)=0,"",IF(COUNTA(B3075:E3075)&lt;4,"⚠ กรอกไม่ครบ",IF(NOT(ISNUMBER(B3075)),"⚠ วันที่ไม่ถูกต้อง",IF(COUNTIFS(Setup!$L$6:$L$60,D3075,Setup!$M$6:$M$60,C3075)=0,"⚠ หมวดไม่ตรงประเภท","✓"))))</f>
        <v/>
      </c>
    </row>
    <row r="3076">
      <c r="B3076" s="113" t="n"/>
      <c r="C3076" s="114" t="n"/>
      <c r="D3076" s="115" t="n"/>
      <c r="E3076" s="116" t="n"/>
      <c r="F3076" s="115" t="n"/>
      <c r="G3076" s="117">
        <f>IF(COUNTA(B3076:E3076)=0,"",IF(COUNTA(B3076:E3076)&lt;4,"⚠ กรอกไม่ครบ",IF(NOT(ISNUMBER(B3076)),"⚠ วันที่ไม่ถูกต้อง",IF(COUNTIFS(Setup!$L$6:$L$60,D3076,Setup!$M$6:$M$60,C3076)=0,"⚠ หมวดไม่ตรงประเภท","✓"))))</f>
        <v/>
      </c>
    </row>
    <row r="3077">
      <c r="B3077" s="113" t="n"/>
      <c r="C3077" s="114" t="n"/>
      <c r="D3077" s="115" t="n"/>
      <c r="E3077" s="116" t="n"/>
      <c r="F3077" s="115" t="n"/>
      <c r="G3077" s="117">
        <f>IF(COUNTA(B3077:E3077)=0,"",IF(COUNTA(B3077:E3077)&lt;4,"⚠ กรอกไม่ครบ",IF(NOT(ISNUMBER(B3077)),"⚠ วันที่ไม่ถูกต้อง",IF(COUNTIFS(Setup!$L$6:$L$60,D3077,Setup!$M$6:$M$60,C3077)=0,"⚠ หมวดไม่ตรงประเภท","✓"))))</f>
        <v/>
      </c>
    </row>
    <row r="3078">
      <c r="B3078" s="113" t="n"/>
      <c r="C3078" s="114" t="n"/>
      <c r="D3078" s="115" t="n"/>
      <c r="E3078" s="116" t="n"/>
      <c r="F3078" s="115" t="n"/>
      <c r="G3078" s="117">
        <f>IF(COUNTA(B3078:E3078)=0,"",IF(COUNTA(B3078:E3078)&lt;4,"⚠ กรอกไม่ครบ",IF(NOT(ISNUMBER(B3078)),"⚠ วันที่ไม่ถูกต้อง",IF(COUNTIFS(Setup!$L$6:$L$60,D3078,Setup!$M$6:$M$60,C3078)=0,"⚠ หมวดไม่ตรงประเภท","✓"))))</f>
        <v/>
      </c>
    </row>
    <row r="3079">
      <c r="B3079" s="113" t="n"/>
      <c r="C3079" s="114" t="n"/>
      <c r="D3079" s="115" t="n"/>
      <c r="E3079" s="116" t="n"/>
      <c r="F3079" s="115" t="n"/>
      <c r="G3079" s="117">
        <f>IF(COUNTA(B3079:E3079)=0,"",IF(COUNTA(B3079:E3079)&lt;4,"⚠ กรอกไม่ครบ",IF(NOT(ISNUMBER(B3079)),"⚠ วันที่ไม่ถูกต้อง",IF(COUNTIFS(Setup!$L$6:$L$60,D3079,Setup!$M$6:$M$60,C3079)=0,"⚠ หมวดไม่ตรงประเภท","✓"))))</f>
        <v/>
      </c>
    </row>
    <row r="3080">
      <c r="B3080" s="113" t="n"/>
      <c r="C3080" s="114" t="n"/>
      <c r="D3080" s="115" t="n"/>
      <c r="E3080" s="116" t="n"/>
      <c r="F3080" s="115" t="n"/>
      <c r="G3080" s="117">
        <f>IF(COUNTA(B3080:E3080)=0,"",IF(COUNTA(B3080:E3080)&lt;4,"⚠ กรอกไม่ครบ",IF(NOT(ISNUMBER(B3080)),"⚠ วันที่ไม่ถูกต้อง",IF(COUNTIFS(Setup!$L$6:$L$60,D3080,Setup!$M$6:$M$60,C3080)=0,"⚠ หมวดไม่ตรงประเภท","✓"))))</f>
        <v/>
      </c>
    </row>
    <row r="3081">
      <c r="B3081" s="113" t="n"/>
      <c r="C3081" s="114" t="n"/>
      <c r="D3081" s="115" t="n"/>
      <c r="E3081" s="116" t="n"/>
      <c r="F3081" s="115" t="n"/>
      <c r="G3081" s="117">
        <f>IF(COUNTA(B3081:E3081)=0,"",IF(COUNTA(B3081:E3081)&lt;4,"⚠ กรอกไม่ครบ",IF(NOT(ISNUMBER(B3081)),"⚠ วันที่ไม่ถูกต้อง",IF(COUNTIFS(Setup!$L$6:$L$60,D3081,Setup!$M$6:$M$60,C3081)=0,"⚠ หมวดไม่ตรงประเภท","✓"))))</f>
        <v/>
      </c>
    </row>
    <row r="3082">
      <c r="B3082" s="113" t="n"/>
      <c r="C3082" s="114" t="n"/>
      <c r="D3082" s="115" t="n"/>
      <c r="E3082" s="116" t="n"/>
      <c r="F3082" s="115" t="n"/>
      <c r="G3082" s="117">
        <f>IF(COUNTA(B3082:E3082)=0,"",IF(COUNTA(B3082:E3082)&lt;4,"⚠ กรอกไม่ครบ",IF(NOT(ISNUMBER(B3082)),"⚠ วันที่ไม่ถูกต้อง",IF(COUNTIFS(Setup!$L$6:$L$60,D3082,Setup!$M$6:$M$60,C3082)=0,"⚠ หมวดไม่ตรงประเภท","✓"))))</f>
        <v/>
      </c>
    </row>
    <row r="3083">
      <c r="B3083" s="113" t="n"/>
      <c r="C3083" s="114" t="n"/>
      <c r="D3083" s="115" t="n"/>
      <c r="E3083" s="116" t="n"/>
      <c r="F3083" s="115" t="n"/>
      <c r="G3083" s="117">
        <f>IF(COUNTA(B3083:E3083)=0,"",IF(COUNTA(B3083:E3083)&lt;4,"⚠ กรอกไม่ครบ",IF(NOT(ISNUMBER(B3083)),"⚠ วันที่ไม่ถูกต้อง",IF(COUNTIFS(Setup!$L$6:$L$60,D3083,Setup!$M$6:$M$60,C3083)=0,"⚠ หมวดไม่ตรงประเภท","✓"))))</f>
        <v/>
      </c>
    </row>
    <row r="3084">
      <c r="B3084" s="113" t="n"/>
      <c r="C3084" s="114" t="n"/>
      <c r="D3084" s="115" t="n"/>
      <c r="E3084" s="116" t="n"/>
      <c r="F3084" s="115" t="n"/>
      <c r="G3084" s="117">
        <f>IF(COUNTA(B3084:E3084)=0,"",IF(COUNTA(B3084:E3084)&lt;4,"⚠ กรอกไม่ครบ",IF(NOT(ISNUMBER(B3084)),"⚠ วันที่ไม่ถูกต้อง",IF(COUNTIFS(Setup!$L$6:$L$60,D3084,Setup!$M$6:$M$60,C3084)=0,"⚠ หมวดไม่ตรงประเภท","✓"))))</f>
        <v/>
      </c>
    </row>
    <row r="3085">
      <c r="B3085" s="113" t="n"/>
      <c r="C3085" s="114" t="n"/>
      <c r="D3085" s="115" t="n"/>
      <c r="E3085" s="116" t="n"/>
      <c r="F3085" s="115" t="n"/>
      <c r="G3085" s="117">
        <f>IF(COUNTA(B3085:E3085)=0,"",IF(COUNTA(B3085:E3085)&lt;4,"⚠ กรอกไม่ครบ",IF(NOT(ISNUMBER(B3085)),"⚠ วันที่ไม่ถูกต้อง",IF(COUNTIFS(Setup!$L$6:$L$60,D3085,Setup!$M$6:$M$60,C3085)=0,"⚠ หมวดไม่ตรงประเภท","✓"))))</f>
        <v/>
      </c>
    </row>
    <row r="3086">
      <c r="B3086" s="113" t="n"/>
      <c r="C3086" s="114" t="n"/>
      <c r="D3086" s="115" t="n"/>
      <c r="E3086" s="116" t="n"/>
      <c r="F3086" s="115" t="n"/>
      <c r="G3086" s="117">
        <f>IF(COUNTA(B3086:E3086)=0,"",IF(COUNTA(B3086:E3086)&lt;4,"⚠ กรอกไม่ครบ",IF(NOT(ISNUMBER(B3086)),"⚠ วันที่ไม่ถูกต้อง",IF(COUNTIFS(Setup!$L$6:$L$60,D3086,Setup!$M$6:$M$60,C3086)=0,"⚠ หมวดไม่ตรงประเภท","✓"))))</f>
        <v/>
      </c>
    </row>
    <row r="3087">
      <c r="B3087" s="113" t="n"/>
      <c r="C3087" s="114" t="n"/>
      <c r="D3087" s="115" t="n"/>
      <c r="E3087" s="116" t="n"/>
      <c r="F3087" s="115" t="n"/>
      <c r="G3087" s="117">
        <f>IF(COUNTA(B3087:E3087)=0,"",IF(COUNTA(B3087:E3087)&lt;4,"⚠ กรอกไม่ครบ",IF(NOT(ISNUMBER(B3087)),"⚠ วันที่ไม่ถูกต้อง",IF(COUNTIFS(Setup!$L$6:$L$60,D3087,Setup!$M$6:$M$60,C3087)=0,"⚠ หมวดไม่ตรงประเภท","✓"))))</f>
        <v/>
      </c>
    </row>
    <row r="3088">
      <c r="B3088" s="113" t="n"/>
      <c r="C3088" s="114" t="n"/>
      <c r="D3088" s="115" t="n"/>
      <c r="E3088" s="116" t="n"/>
      <c r="F3088" s="115" t="n"/>
      <c r="G3088" s="117">
        <f>IF(COUNTA(B3088:E3088)=0,"",IF(COUNTA(B3088:E3088)&lt;4,"⚠ กรอกไม่ครบ",IF(NOT(ISNUMBER(B3088)),"⚠ วันที่ไม่ถูกต้อง",IF(COUNTIFS(Setup!$L$6:$L$60,D3088,Setup!$M$6:$M$60,C3088)=0,"⚠ หมวดไม่ตรงประเภท","✓"))))</f>
        <v/>
      </c>
    </row>
    <row r="3089">
      <c r="B3089" s="113" t="n"/>
      <c r="C3089" s="114" t="n"/>
      <c r="D3089" s="115" t="n"/>
      <c r="E3089" s="116" t="n"/>
      <c r="F3089" s="115" t="n"/>
      <c r="G3089" s="117">
        <f>IF(COUNTA(B3089:E3089)=0,"",IF(COUNTA(B3089:E3089)&lt;4,"⚠ กรอกไม่ครบ",IF(NOT(ISNUMBER(B3089)),"⚠ วันที่ไม่ถูกต้อง",IF(COUNTIFS(Setup!$L$6:$L$60,D3089,Setup!$M$6:$M$60,C3089)=0,"⚠ หมวดไม่ตรงประเภท","✓"))))</f>
        <v/>
      </c>
    </row>
    <row r="3090">
      <c r="B3090" s="113" t="n"/>
      <c r="C3090" s="114" t="n"/>
      <c r="D3090" s="115" t="n"/>
      <c r="E3090" s="116" t="n"/>
      <c r="F3090" s="115" t="n"/>
      <c r="G3090" s="117">
        <f>IF(COUNTA(B3090:E3090)=0,"",IF(COUNTA(B3090:E3090)&lt;4,"⚠ กรอกไม่ครบ",IF(NOT(ISNUMBER(B3090)),"⚠ วันที่ไม่ถูกต้อง",IF(COUNTIFS(Setup!$L$6:$L$60,D3090,Setup!$M$6:$M$60,C3090)=0,"⚠ หมวดไม่ตรงประเภท","✓"))))</f>
        <v/>
      </c>
    </row>
    <row r="3091">
      <c r="B3091" s="113" t="n"/>
      <c r="C3091" s="114" t="n"/>
      <c r="D3091" s="115" t="n"/>
      <c r="E3091" s="116" t="n"/>
      <c r="F3091" s="115" t="n"/>
      <c r="G3091" s="117">
        <f>IF(COUNTA(B3091:E3091)=0,"",IF(COUNTA(B3091:E3091)&lt;4,"⚠ กรอกไม่ครบ",IF(NOT(ISNUMBER(B3091)),"⚠ วันที่ไม่ถูกต้อง",IF(COUNTIFS(Setup!$L$6:$L$60,D3091,Setup!$M$6:$M$60,C3091)=0,"⚠ หมวดไม่ตรงประเภท","✓"))))</f>
        <v/>
      </c>
    </row>
    <row r="3092">
      <c r="B3092" s="113" t="n"/>
      <c r="C3092" s="114" t="n"/>
      <c r="D3092" s="115" t="n"/>
      <c r="E3092" s="116" t="n"/>
      <c r="F3092" s="115" t="n"/>
      <c r="G3092" s="117">
        <f>IF(COUNTA(B3092:E3092)=0,"",IF(COUNTA(B3092:E3092)&lt;4,"⚠ กรอกไม่ครบ",IF(NOT(ISNUMBER(B3092)),"⚠ วันที่ไม่ถูกต้อง",IF(COUNTIFS(Setup!$L$6:$L$60,D3092,Setup!$M$6:$M$60,C3092)=0,"⚠ หมวดไม่ตรงประเภท","✓"))))</f>
        <v/>
      </c>
    </row>
    <row r="3093">
      <c r="B3093" s="113" t="n"/>
      <c r="C3093" s="114" t="n"/>
      <c r="D3093" s="115" t="n"/>
      <c r="E3093" s="116" t="n"/>
      <c r="F3093" s="115" t="n"/>
      <c r="G3093" s="117">
        <f>IF(COUNTA(B3093:E3093)=0,"",IF(COUNTA(B3093:E3093)&lt;4,"⚠ กรอกไม่ครบ",IF(NOT(ISNUMBER(B3093)),"⚠ วันที่ไม่ถูกต้อง",IF(COUNTIFS(Setup!$L$6:$L$60,D3093,Setup!$M$6:$M$60,C3093)=0,"⚠ หมวดไม่ตรงประเภท","✓"))))</f>
        <v/>
      </c>
    </row>
    <row r="3094">
      <c r="B3094" s="113" t="n"/>
      <c r="C3094" s="114" t="n"/>
      <c r="D3094" s="115" t="n"/>
      <c r="E3094" s="116" t="n"/>
      <c r="F3094" s="115" t="n"/>
      <c r="G3094" s="117">
        <f>IF(COUNTA(B3094:E3094)=0,"",IF(COUNTA(B3094:E3094)&lt;4,"⚠ กรอกไม่ครบ",IF(NOT(ISNUMBER(B3094)),"⚠ วันที่ไม่ถูกต้อง",IF(COUNTIFS(Setup!$L$6:$L$60,D3094,Setup!$M$6:$M$60,C3094)=0,"⚠ หมวดไม่ตรงประเภท","✓"))))</f>
        <v/>
      </c>
    </row>
    <row r="3095">
      <c r="B3095" s="113" t="n"/>
      <c r="C3095" s="114" t="n"/>
      <c r="D3095" s="115" t="n"/>
      <c r="E3095" s="116" t="n"/>
      <c r="F3095" s="115" t="n"/>
      <c r="G3095" s="117">
        <f>IF(COUNTA(B3095:E3095)=0,"",IF(COUNTA(B3095:E3095)&lt;4,"⚠ กรอกไม่ครบ",IF(NOT(ISNUMBER(B3095)),"⚠ วันที่ไม่ถูกต้อง",IF(COUNTIFS(Setup!$L$6:$L$60,D3095,Setup!$M$6:$M$60,C3095)=0,"⚠ หมวดไม่ตรงประเภท","✓"))))</f>
        <v/>
      </c>
    </row>
    <row r="3096">
      <c r="B3096" s="113" t="n"/>
      <c r="C3096" s="114" t="n"/>
      <c r="D3096" s="115" t="n"/>
      <c r="E3096" s="116" t="n"/>
      <c r="F3096" s="115" t="n"/>
      <c r="G3096" s="117">
        <f>IF(COUNTA(B3096:E3096)=0,"",IF(COUNTA(B3096:E3096)&lt;4,"⚠ กรอกไม่ครบ",IF(NOT(ISNUMBER(B3096)),"⚠ วันที่ไม่ถูกต้อง",IF(COUNTIFS(Setup!$L$6:$L$60,D3096,Setup!$M$6:$M$60,C3096)=0,"⚠ หมวดไม่ตรงประเภท","✓"))))</f>
        <v/>
      </c>
    </row>
    <row r="3097">
      <c r="B3097" s="113" t="n"/>
      <c r="C3097" s="114" t="n"/>
      <c r="D3097" s="115" t="n"/>
      <c r="E3097" s="116" t="n"/>
      <c r="F3097" s="115" t="n"/>
      <c r="G3097" s="117">
        <f>IF(COUNTA(B3097:E3097)=0,"",IF(COUNTA(B3097:E3097)&lt;4,"⚠ กรอกไม่ครบ",IF(NOT(ISNUMBER(B3097)),"⚠ วันที่ไม่ถูกต้อง",IF(COUNTIFS(Setup!$L$6:$L$60,D3097,Setup!$M$6:$M$60,C3097)=0,"⚠ หมวดไม่ตรงประเภท","✓"))))</f>
        <v/>
      </c>
    </row>
    <row r="3098">
      <c r="B3098" s="113" t="n"/>
      <c r="C3098" s="114" t="n"/>
      <c r="D3098" s="115" t="n"/>
      <c r="E3098" s="116" t="n"/>
      <c r="F3098" s="115" t="n"/>
      <c r="G3098" s="117">
        <f>IF(COUNTA(B3098:E3098)=0,"",IF(COUNTA(B3098:E3098)&lt;4,"⚠ กรอกไม่ครบ",IF(NOT(ISNUMBER(B3098)),"⚠ วันที่ไม่ถูกต้อง",IF(COUNTIFS(Setup!$L$6:$L$60,D3098,Setup!$M$6:$M$60,C3098)=0,"⚠ หมวดไม่ตรงประเภท","✓"))))</f>
        <v/>
      </c>
    </row>
    <row r="3099">
      <c r="B3099" s="113" t="n"/>
      <c r="C3099" s="114" t="n"/>
      <c r="D3099" s="115" t="n"/>
      <c r="E3099" s="116" t="n"/>
      <c r="F3099" s="115" t="n"/>
      <c r="G3099" s="117">
        <f>IF(COUNTA(B3099:E3099)=0,"",IF(COUNTA(B3099:E3099)&lt;4,"⚠ กรอกไม่ครบ",IF(NOT(ISNUMBER(B3099)),"⚠ วันที่ไม่ถูกต้อง",IF(COUNTIFS(Setup!$L$6:$L$60,D3099,Setup!$M$6:$M$60,C3099)=0,"⚠ หมวดไม่ตรงประเภท","✓"))))</f>
        <v/>
      </c>
    </row>
    <row r="3100">
      <c r="B3100" s="113" t="n"/>
      <c r="C3100" s="114" t="n"/>
      <c r="D3100" s="115" t="n"/>
      <c r="E3100" s="116" t="n"/>
      <c r="F3100" s="115" t="n"/>
      <c r="G3100" s="117">
        <f>IF(COUNTA(B3100:E3100)=0,"",IF(COUNTA(B3100:E3100)&lt;4,"⚠ กรอกไม่ครบ",IF(NOT(ISNUMBER(B3100)),"⚠ วันที่ไม่ถูกต้อง",IF(COUNTIFS(Setup!$L$6:$L$60,D3100,Setup!$M$6:$M$60,C3100)=0,"⚠ หมวดไม่ตรงประเภท","✓"))))</f>
        <v/>
      </c>
    </row>
    <row r="3101">
      <c r="B3101" s="113" t="n"/>
      <c r="C3101" s="114" t="n"/>
      <c r="D3101" s="115" t="n"/>
      <c r="E3101" s="116" t="n"/>
      <c r="F3101" s="115" t="n"/>
      <c r="G3101" s="117">
        <f>IF(COUNTA(B3101:E3101)=0,"",IF(COUNTA(B3101:E3101)&lt;4,"⚠ กรอกไม่ครบ",IF(NOT(ISNUMBER(B3101)),"⚠ วันที่ไม่ถูกต้อง",IF(COUNTIFS(Setup!$L$6:$L$60,D3101,Setup!$M$6:$M$60,C3101)=0,"⚠ หมวดไม่ตรงประเภท","✓"))))</f>
        <v/>
      </c>
    </row>
    <row r="3102">
      <c r="B3102" s="113" t="n"/>
      <c r="C3102" s="114" t="n"/>
      <c r="D3102" s="115" t="n"/>
      <c r="E3102" s="116" t="n"/>
      <c r="F3102" s="115" t="n"/>
      <c r="G3102" s="117">
        <f>IF(COUNTA(B3102:E3102)=0,"",IF(COUNTA(B3102:E3102)&lt;4,"⚠ กรอกไม่ครบ",IF(NOT(ISNUMBER(B3102)),"⚠ วันที่ไม่ถูกต้อง",IF(COUNTIFS(Setup!$L$6:$L$60,D3102,Setup!$M$6:$M$60,C3102)=0,"⚠ หมวดไม่ตรงประเภท","✓"))))</f>
        <v/>
      </c>
    </row>
    <row r="3103">
      <c r="B3103" s="113" t="n"/>
      <c r="C3103" s="114" t="n"/>
      <c r="D3103" s="115" t="n"/>
      <c r="E3103" s="116" t="n"/>
      <c r="F3103" s="115" t="n"/>
      <c r="G3103" s="117">
        <f>IF(COUNTA(B3103:E3103)=0,"",IF(COUNTA(B3103:E3103)&lt;4,"⚠ กรอกไม่ครบ",IF(NOT(ISNUMBER(B3103)),"⚠ วันที่ไม่ถูกต้อง",IF(COUNTIFS(Setup!$L$6:$L$60,D3103,Setup!$M$6:$M$60,C3103)=0,"⚠ หมวดไม่ตรงประเภท","✓"))))</f>
        <v/>
      </c>
    </row>
    <row r="3104">
      <c r="B3104" s="113" t="n"/>
      <c r="C3104" s="114" t="n"/>
      <c r="D3104" s="115" t="n"/>
      <c r="E3104" s="116" t="n"/>
      <c r="F3104" s="115" t="n"/>
      <c r="G3104" s="117">
        <f>IF(COUNTA(B3104:E3104)=0,"",IF(COUNTA(B3104:E3104)&lt;4,"⚠ กรอกไม่ครบ",IF(NOT(ISNUMBER(B3104)),"⚠ วันที่ไม่ถูกต้อง",IF(COUNTIFS(Setup!$L$6:$L$60,D3104,Setup!$M$6:$M$60,C3104)=0,"⚠ หมวดไม่ตรงประเภท","✓"))))</f>
        <v/>
      </c>
    </row>
    <row r="3105">
      <c r="B3105" s="113" t="n"/>
      <c r="C3105" s="114" t="n"/>
      <c r="D3105" s="115" t="n"/>
      <c r="E3105" s="116" t="n"/>
      <c r="F3105" s="115" t="n"/>
      <c r="G3105" s="117">
        <f>IF(COUNTA(B3105:E3105)=0,"",IF(COUNTA(B3105:E3105)&lt;4,"⚠ กรอกไม่ครบ",IF(NOT(ISNUMBER(B3105)),"⚠ วันที่ไม่ถูกต้อง",IF(COUNTIFS(Setup!$L$6:$L$60,D3105,Setup!$M$6:$M$60,C3105)=0,"⚠ หมวดไม่ตรงประเภท","✓"))))</f>
        <v/>
      </c>
    </row>
    <row r="3106">
      <c r="B3106" s="113" t="n"/>
      <c r="C3106" s="114" t="n"/>
      <c r="D3106" s="115" t="n"/>
      <c r="E3106" s="116" t="n"/>
      <c r="F3106" s="115" t="n"/>
      <c r="G3106" s="117">
        <f>IF(COUNTA(B3106:E3106)=0,"",IF(COUNTA(B3106:E3106)&lt;4,"⚠ กรอกไม่ครบ",IF(NOT(ISNUMBER(B3106)),"⚠ วันที่ไม่ถูกต้อง",IF(COUNTIFS(Setup!$L$6:$L$60,D3106,Setup!$M$6:$M$60,C3106)=0,"⚠ หมวดไม่ตรงประเภท","✓"))))</f>
        <v/>
      </c>
    </row>
    <row r="3107">
      <c r="B3107" s="113" t="n"/>
      <c r="C3107" s="114" t="n"/>
      <c r="D3107" s="115" t="n"/>
      <c r="E3107" s="116" t="n"/>
      <c r="F3107" s="115" t="n"/>
      <c r="G3107" s="117">
        <f>IF(COUNTA(B3107:E3107)=0,"",IF(COUNTA(B3107:E3107)&lt;4,"⚠ กรอกไม่ครบ",IF(NOT(ISNUMBER(B3107)),"⚠ วันที่ไม่ถูกต้อง",IF(COUNTIFS(Setup!$L$6:$L$60,D3107,Setup!$M$6:$M$60,C3107)=0,"⚠ หมวดไม่ตรงประเภท","✓"))))</f>
        <v/>
      </c>
    </row>
    <row r="3108">
      <c r="B3108" s="113" t="n"/>
      <c r="C3108" s="114" t="n"/>
      <c r="D3108" s="115" t="n"/>
      <c r="E3108" s="116" t="n"/>
      <c r="F3108" s="115" t="n"/>
      <c r="G3108" s="117">
        <f>IF(COUNTA(B3108:E3108)=0,"",IF(COUNTA(B3108:E3108)&lt;4,"⚠ กรอกไม่ครบ",IF(NOT(ISNUMBER(B3108)),"⚠ วันที่ไม่ถูกต้อง",IF(COUNTIFS(Setup!$L$6:$L$60,D3108,Setup!$M$6:$M$60,C3108)=0,"⚠ หมวดไม่ตรงประเภท","✓"))))</f>
        <v/>
      </c>
    </row>
    <row r="3109">
      <c r="B3109" s="113" t="n"/>
      <c r="C3109" s="114" t="n"/>
      <c r="D3109" s="115" t="n"/>
      <c r="E3109" s="116" t="n"/>
      <c r="F3109" s="115" t="n"/>
      <c r="G3109" s="117">
        <f>IF(COUNTA(B3109:E3109)=0,"",IF(COUNTA(B3109:E3109)&lt;4,"⚠ กรอกไม่ครบ",IF(NOT(ISNUMBER(B3109)),"⚠ วันที่ไม่ถูกต้อง",IF(COUNTIFS(Setup!$L$6:$L$60,D3109,Setup!$M$6:$M$60,C3109)=0,"⚠ หมวดไม่ตรงประเภท","✓"))))</f>
        <v/>
      </c>
    </row>
    <row r="3110">
      <c r="B3110" s="113" t="n"/>
      <c r="C3110" s="114" t="n"/>
      <c r="D3110" s="115" t="n"/>
      <c r="E3110" s="116" t="n"/>
      <c r="F3110" s="115" t="n"/>
      <c r="G3110" s="117">
        <f>IF(COUNTA(B3110:E3110)=0,"",IF(COUNTA(B3110:E3110)&lt;4,"⚠ กรอกไม่ครบ",IF(NOT(ISNUMBER(B3110)),"⚠ วันที่ไม่ถูกต้อง",IF(COUNTIFS(Setup!$L$6:$L$60,D3110,Setup!$M$6:$M$60,C3110)=0,"⚠ หมวดไม่ตรงประเภท","✓"))))</f>
        <v/>
      </c>
    </row>
    <row r="3111">
      <c r="B3111" s="113" t="n"/>
      <c r="C3111" s="114" t="n"/>
      <c r="D3111" s="115" t="n"/>
      <c r="E3111" s="116" t="n"/>
      <c r="F3111" s="115" t="n"/>
      <c r="G3111" s="117">
        <f>IF(COUNTA(B3111:E3111)=0,"",IF(COUNTA(B3111:E3111)&lt;4,"⚠ กรอกไม่ครบ",IF(NOT(ISNUMBER(B3111)),"⚠ วันที่ไม่ถูกต้อง",IF(COUNTIFS(Setup!$L$6:$L$60,D3111,Setup!$M$6:$M$60,C3111)=0,"⚠ หมวดไม่ตรงประเภท","✓"))))</f>
        <v/>
      </c>
    </row>
    <row r="3112">
      <c r="B3112" s="113" t="n"/>
      <c r="C3112" s="114" t="n"/>
      <c r="D3112" s="115" t="n"/>
      <c r="E3112" s="116" t="n"/>
      <c r="F3112" s="115" t="n"/>
      <c r="G3112" s="117">
        <f>IF(COUNTA(B3112:E3112)=0,"",IF(COUNTA(B3112:E3112)&lt;4,"⚠ กรอกไม่ครบ",IF(NOT(ISNUMBER(B3112)),"⚠ วันที่ไม่ถูกต้อง",IF(COUNTIFS(Setup!$L$6:$L$60,D3112,Setup!$M$6:$M$60,C3112)=0,"⚠ หมวดไม่ตรงประเภท","✓"))))</f>
        <v/>
      </c>
    </row>
    <row r="3113">
      <c r="B3113" s="113" t="n"/>
      <c r="C3113" s="114" t="n"/>
      <c r="D3113" s="115" t="n"/>
      <c r="E3113" s="116" t="n"/>
      <c r="F3113" s="115" t="n"/>
      <c r="G3113" s="117">
        <f>IF(COUNTA(B3113:E3113)=0,"",IF(COUNTA(B3113:E3113)&lt;4,"⚠ กรอกไม่ครบ",IF(NOT(ISNUMBER(B3113)),"⚠ วันที่ไม่ถูกต้อง",IF(COUNTIFS(Setup!$L$6:$L$60,D3113,Setup!$M$6:$M$60,C3113)=0,"⚠ หมวดไม่ตรงประเภท","✓"))))</f>
        <v/>
      </c>
    </row>
    <row r="3114">
      <c r="B3114" s="113" t="n"/>
      <c r="C3114" s="114" t="n"/>
      <c r="D3114" s="115" t="n"/>
      <c r="E3114" s="116" t="n"/>
      <c r="F3114" s="115" t="n"/>
      <c r="G3114" s="117">
        <f>IF(COUNTA(B3114:E3114)=0,"",IF(COUNTA(B3114:E3114)&lt;4,"⚠ กรอกไม่ครบ",IF(NOT(ISNUMBER(B3114)),"⚠ วันที่ไม่ถูกต้อง",IF(COUNTIFS(Setup!$L$6:$L$60,D3114,Setup!$M$6:$M$60,C3114)=0,"⚠ หมวดไม่ตรงประเภท","✓"))))</f>
        <v/>
      </c>
    </row>
    <row r="3115">
      <c r="B3115" s="113" t="n"/>
      <c r="C3115" s="114" t="n"/>
      <c r="D3115" s="115" t="n"/>
      <c r="E3115" s="116" t="n"/>
      <c r="F3115" s="115" t="n"/>
      <c r="G3115" s="117">
        <f>IF(COUNTA(B3115:E3115)=0,"",IF(COUNTA(B3115:E3115)&lt;4,"⚠ กรอกไม่ครบ",IF(NOT(ISNUMBER(B3115)),"⚠ วันที่ไม่ถูกต้อง",IF(COUNTIFS(Setup!$L$6:$L$60,D3115,Setup!$M$6:$M$60,C3115)=0,"⚠ หมวดไม่ตรงประเภท","✓"))))</f>
        <v/>
      </c>
    </row>
    <row r="3116">
      <c r="B3116" s="113" t="n"/>
      <c r="C3116" s="114" t="n"/>
      <c r="D3116" s="115" t="n"/>
      <c r="E3116" s="116" t="n"/>
      <c r="F3116" s="115" t="n"/>
      <c r="G3116" s="117">
        <f>IF(COUNTA(B3116:E3116)=0,"",IF(COUNTA(B3116:E3116)&lt;4,"⚠ กรอกไม่ครบ",IF(NOT(ISNUMBER(B3116)),"⚠ วันที่ไม่ถูกต้อง",IF(COUNTIFS(Setup!$L$6:$L$60,D3116,Setup!$M$6:$M$60,C3116)=0,"⚠ หมวดไม่ตรงประเภท","✓"))))</f>
        <v/>
      </c>
    </row>
    <row r="3117">
      <c r="B3117" s="113" t="n"/>
      <c r="C3117" s="114" t="n"/>
      <c r="D3117" s="115" t="n"/>
      <c r="E3117" s="116" t="n"/>
      <c r="F3117" s="115" t="n"/>
      <c r="G3117" s="117">
        <f>IF(COUNTA(B3117:E3117)=0,"",IF(COUNTA(B3117:E3117)&lt;4,"⚠ กรอกไม่ครบ",IF(NOT(ISNUMBER(B3117)),"⚠ วันที่ไม่ถูกต้อง",IF(COUNTIFS(Setup!$L$6:$L$60,D3117,Setup!$M$6:$M$60,C3117)=0,"⚠ หมวดไม่ตรงประเภท","✓"))))</f>
        <v/>
      </c>
    </row>
    <row r="3118">
      <c r="B3118" s="113" t="n"/>
      <c r="C3118" s="114" t="n"/>
      <c r="D3118" s="115" t="n"/>
      <c r="E3118" s="116" t="n"/>
      <c r="F3118" s="115" t="n"/>
      <c r="G3118" s="117">
        <f>IF(COUNTA(B3118:E3118)=0,"",IF(COUNTA(B3118:E3118)&lt;4,"⚠ กรอกไม่ครบ",IF(NOT(ISNUMBER(B3118)),"⚠ วันที่ไม่ถูกต้อง",IF(COUNTIFS(Setup!$L$6:$L$60,D3118,Setup!$M$6:$M$60,C3118)=0,"⚠ หมวดไม่ตรงประเภท","✓"))))</f>
        <v/>
      </c>
    </row>
    <row r="3119">
      <c r="B3119" s="113" t="n"/>
      <c r="C3119" s="114" t="n"/>
      <c r="D3119" s="115" t="n"/>
      <c r="E3119" s="116" t="n"/>
      <c r="F3119" s="115" t="n"/>
      <c r="G3119" s="117">
        <f>IF(COUNTA(B3119:E3119)=0,"",IF(COUNTA(B3119:E3119)&lt;4,"⚠ กรอกไม่ครบ",IF(NOT(ISNUMBER(B3119)),"⚠ วันที่ไม่ถูกต้อง",IF(COUNTIFS(Setup!$L$6:$L$60,D3119,Setup!$M$6:$M$60,C3119)=0,"⚠ หมวดไม่ตรงประเภท","✓"))))</f>
        <v/>
      </c>
    </row>
    <row r="3120">
      <c r="B3120" s="113" t="n"/>
      <c r="C3120" s="114" t="n"/>
      <c r="D3120" s="115" t="n"/>
      <c r="E3120" s="116" t="n"/>
      <c r="F3120" s="115" t="n"/>
      <c r="G3120" s="117">
        <f>IF(COUNTA(B3120:E3120)=0,"",IF(COUNTA(B3120:E3120)&lt;4,"⚠ กรอกไม่ครบ",IF(NOT(ISNUMBER(B3120)),"⚠ วันที่ไม่ถูกต้อง",IF(COUNTIFS(Setup!$L$6:$L$60,D3120,Setup!$M$6:$M$60,C3120)=0,"⚠ หมวดไม่ตรงประเภท","✓"))))</f>
        <v/>
      </c>
    </row>
    <row r="3121">
      <c r="B3121" s="113" t="n"/>
      <c r="C3121" s="114" t="n"/>
      <c r="D3121" s="115" t="n"/>
      <c r="E3121" s="116" t="n"/>
      <c r="F3121" s="115" t="n"/>
      <c r="G3121" s="117">
        <f>IF(COUNTA(B3121:E3121)=0,"",IF(COUNTA(B3121:E3121)&lt;4,"⚠ กรอกไม่ครบ",IF(NOT(ISNUMBER(B3121)),"⚠ วันที่ไม่ถูกต้อง",IF(COUNTIFS(Setup!$L$6:$L$60,D3121,Setup!$M$6:$M$60,C3121)=0,"⚠ หมวดไม่ตรงประเภท","✓"))))</f>
        <v/>
      </c>
    </row>
    <row r="3122">
      <c r="B3122" s="113" t="n"/>
      <c r="C3122" s="114" t="n"/>
      <c r="D3122" s="115" t="n"/>
      <c r="E3122" s="116" t="n"/>
      <c r="F3122" s="115" t="n"/>
      <c r="G3122" s="117">
        <f>IF(COUNTA(B3122:E3122)=0,"",IF(COUNTA(B3122:E3122)&lt;4,"⚠ กรอกไม่ครบ",IF(NOT(ISNUMBER(B3122)),"⚠ วันที่ไม่ถูกต้อง",IF(COUNTIFS(Setup!$L$6:$L$60,D3122,Setup!$M$6:$M$60,C3122)=0,"⚠ หมวดไม่ตรงประเภท","✓"))))</f>
        <v/>
      </c>
    </row>
    <row r="3123">
      <c r="B3123" s="113" t="n"/>
      <c r="C3123" s="114" t="n"/>
      <c r="D3123" s="115" t="n"/>
      <c r="E3123" s="116" t="n"/>
      <c r="F3123" s="115" t="n"/>
      <c r="G3123" s="117">
        <f>IF(COUNTA(B3123:E3123)=0,"",IF(COUNTA(B3123:E3123)&lt;4,"⚠ กรอกไม่ครบ",IF(NOT(ISNUMBER(B3123)),"⚠ วันที่ไม่ถูกต้อง",IF(COUNTIFS(Setup!$L$6:$L$60,D3123,Setup!$M$6:$M$60,C3123)=0,"⚠ หมวดไม่ตรงประเภท","✓"))))</f>
        <v/>
      </c>
    </row>
    <row r="3124">
      <c r="B3124" s="113" t="n"/>
      <c r="C3124" s="114" t="n"/>
      <c r="D3124" s="115" t="n"/>
      <c r="E3124" s="116" t="n"/>
      <c r="F3124" s="115" t="n"/>
      <c r="G3124" s="117">
        <f>IF(COUNTA(B3124:E3124)=0,"",IF(COUNTA(B3124:E3124)&lt;4,"⚠ กรอกไม่ครบ",IF(NOT(ISNUMBER(B3124)),"⚠ วันที่ไม่ถูกต้อง",IF(COUNTIFS(Setup!$L$6:$L$60,D3124,Setup!$M$6:$M$60,C3124)=0,"⚠ หมวดไม่ตรงประเภท","✓"))))</f>
        <v/>
      </c>
    </row>
    <row r="3125">
      <c r="B3125" s="113" t="n"/>
      <c r="C3125" s="114" t="n"/>
      <c r="D3125" s="115" t="n"/>
      <c r="E3125" s="116" t="n"/>
      <c r="F3125" s="115" t="n"/>
      <c r="G3125" s="117">
        <f>IF(COUNTA(B3125:E3125)=0,"",IF(COUNTA(B3125:E3125)&lt;4,"⚠ กรอกไม่ครบ",IF(NOT(ISNUMBER(B3125)),"⚠ วันที่ไม่ถูกต้อง",IF(COUNTIFS(Setup!$L$6:$L$60,D3125,Setup!$M$6:$M$60,C3125)=0,"⚠ หมวดไม่ตรงประเภท","✓"))))</f>
        <v/>
      </c>
    </row>
    <row r="3126">
      <c r="B3126" s="113" t="n"/>
      <c r="C3126" s="114" t="n"/>
      <c r="D3126" s="115" t="n"/>
      <c r="E3126" s="116" t="n"/>
      <c r="F3126" s="115" t="n"/>
      <c r="G3126" s="117">
        <f>IF(COUNTA(B3126:E3126)=0,"",IF(COUNTA(B3126:E3126)&lt;4,"⚠ กรอกไม่ครบ",IF(NOT(ISNUMBER(B3126)),"⚠ วันที่ไม่ถูกต้อง",IF(COUNTIFS(Setup!$L$6:$L$60,D3126,Setup!$M$6:$M$60,C3126)=0,"⚠ หมวดไม่ตรงประเภท","✓"))))</f>
        <v/>
      </c>
    </row>
    <row r="3127">
      <c r="B3127" s="113" t="n"/>
      <c r="C3127" s="114" t="n"/>
      <c r="D3127" s="115" t="n"/>
      <c r="E3127" s="116" t="n"/>
      <c r="F3127" s="115" t="n"/>
      <c r="G3127" s="117">
        <f>IF(COUNTA(B3127:E3127)=0,"",IF(COUNTA(B3127:E3127)&lt;4,"⚠ กรอกไม่ครบ",IF(NOT(ISNUMBER(B3127)),"⚠ วันที่ไม่ถูกต้อง",IF(COUNTIFS(Setup!$L$6:$L$60,D3127,Setup!$M$6:$M$60,C3127)=0,"⚠ หมวดไม่ตรงประเภท","✓"))))</f>
        <v/>
      </c>
    </row>
    <row r="3128">
      <c r="B3128" s="113" t="n"/>
      <c r="C3128" s="114" t="n"/>
      <c r="D3128" s="115" t="n"/>
      <c r="E3128" s="116" t="n"/>
      <c r="F3128" s="115" t="n"/>
      <c r="G3128" s="117">
        <f>IF(COUNTA(B3128:E3128)=0,"",IF(COUNTA(B3128:E3128)&lt;4,"⚠ กรอกไม่ครบ",IF(NOT(ISNUMBER(B3128)),"⚠ วันที่ไม่ถูกต้อง",IF(COUNTIFS(Setup!$L$6:$L$60,D3128,Setup!$M$6:$M$60,C3128)=0,"⚠ หมวดไม่ตรงประเภท","✓"))))</f>
        <v/>
      </c>
    </row>
    <row r="3129">
      <c r="B3129" s="113" t="n"/>
      <c r="C3129" s="114" t="n"/>
      <c r="D3129" s="115" t="n"/>
      <c r="E3129" s="116" t="n"/>
      <c r="F3129" s="115" t="n"/>
      <c r="G3129" s="117">
        <f>IF(COUNTA(B3129:E3129)=0,"",IF(COUNTA(B3129:E3129)&lt;4,"⚠ กรอกไม่ครบ",IF(NOT(ISNUMBER(B3129)),"⚠ วันที่ไม่ถูกต้อง",IF(COUNTIFS(Setup!$L$6:$L$60,D3129,Setup!$M$6:$M$60,C3129)=0,"⚠ หมวดไม่ตรงประเภท","✓"))))</f>
        <v/>
      </c>
    </row>
    <row r="3130">
      <c r="B3130" s="113" t="n"/>
      <c r="C3130" s="114" t="n"/>
      <c r="D3130" s="115" t="n"/>
      <c r="E3130" s="116" t="n"/>
      <c r="F3130" s="115" t="n"/>
      <c r="G3130" s="117">
        <f>IF(COUNTA(B3130:E3130)=0,"",IF(COUNTA(B3130:E3130)&lt;4,"⚠ กรอกไม่ครบ",IF(NOT(ISNUMBER(B3130)),"⚠ วันที่ไม่ถูกต้อง",IF(COUNTIFS(Setup!$L$6:$L$60,D3130,Setup!$M$6:$M$60,C3130)=0,"⚠ หมวดไม่ตรงประเภท","✓"))))</f>
        <v/>
      </c>
    </row>
    <row r="3131">
      <c r="B3131" s="113" t="n"/>
      <c r="C3131" s="114" t="n"/>
      <c r="D3131" s="115" t="n"/>
      <c r="E3131" s="116" t="n"/>
      <c r="F3131" s="115" t="n"/>
      <c r="G3131" s="117">
        <f>IF(COUNTA(B3131:E3131)=0,"",IF(COUNTA(B3131:E3131)&lt;4,"⚠ กรอกไม่ครบ",IF(NOT(ISNUMBER(B3131)),"⚠ วันที่ไม่ถูกต้อง",IF(COUNTIFS(Setup!$L$6:$L$60,D3131,Setup!$M$6:$M$60,C3131)=0,"⚠ หมวดไม่ตรงประเภท","✓"))))</f>
        <v/>
      </c>
    </row>
    <row r="3132">
      <c r="B3132" s="113" t="n"/>
      <c r="C3132" s="114" t="n"/>
      <c r="D3132" s="115" t="n"/>
      <c r="E3132" s="116" t="n"/>
      <c r="F3132" s="115" t="n"/>
      <c r="G3132" s="117">
        <f>IF(COUNTA(B3132:E3132)=0,"",IF(COUNTA(B3132:E3132)&lt;4,"⚠ กรอกไม่ครบ",IF(NOT(ISNUMBER(B3132)),"⚠ วันที่ไม่ถูกต้อง",IF(COUNTIFS(Setup!$L$6:$L$60,D3132,Setup!$M$6:$M$60,C3132)=0,"⚠ หมวดไม่ตรงประเภท","✓"))))</f>
        <v/>
      </c>
    </row>
    <row r="3133">
      <c r="B3133" s="113" t="n"/>
      <c r="C3133" s="114" t="n"/>
      <c r="D3133" s="115" t="n"/>
      <c r="E3133" s="116" t="n"/>
      <c r="F3133" s="115" t="n"/>
      <c r="G3133" s="117">
        <f>IF(COUNTA(B3133:E3133)=0,"",IF(COUNTA(B3133:E3133)&lt;4,"⚠ กรอกไม่ครบ",IF(NOT(ISNUMBER(B3133)),"⚠ วันที่ไม่ถูกต้อง",IF(COUNTIFS(Setup!$L$6:$L$60,D3133,Setup!$M$6:$M$60,C3133)=0,"⚠ หมวดไม่ตรงประเภท","✓"))))</f>
        <v/>
      </c>
    </row>
    <row r="3134">
      <c r="B3134" s="113" t="n"/>
      <c r="C3134" s="114" t="n"/>
      <c r="D3134" s="115" t="n"/>
      <c r="E3134" s="116" t="n"/>
      <c r="F3134" s="115" t="n"/>
      <c r="G3134" s="117">
        <f>IF(COUNTA(B3134:E3134)=0,"",IF(COUNTA(B3134:E3134)&lt;4,"⚠ กรอกไม่ครบ",IF(NOT(ISNUMBER(B3134)),"⚠ วันที่ไม่ถูกต้อง",IF(COUNTIFS(Setup!$L$6:$L$60,D3134,Setup!$M$6:$M$60,C3134)=0,"⚠ หมวดไม่ตรงประเภท","✓"))))</f>
        <v/>
      </c>
    </row>
    <row r="3135">
      <c r="B3135" s="113" t="n"/>
      <c r="C3135" s="114" t="n"/>
      <c r="D3135" s="115" t="n"/>
      <c r="E3135" s="116" t="n"/>
      <c r="F3135" s="115" t="n"/>
      <c r="G3135" s="117">
        <f>IF(COUNTA(B3135:E3135)=0,"",IF(COUNTA(B3135:E3135)&lt;4,"⚠ กรอกไม่ครบ",IF(NOT(ISNUMBER(B3135)),"⚠ วันที่ไม่ถูกต้อง",IF(COUNTIFS(Setup!$L$6:$L$60,D3135,Setup!$M$6:$M$60,C3135)=0,"⚠ หมวดไม่ตรงประเภท","✓"))))</f>
        <v/>
      </c>
    </row>
    <row r="3136">
      <c r="B3136" s="113" t="n"/>
      <c r="C3136" s="114" t="n"/>
      <c r="D3136" s="115" t="n"/>
      <c r="E3136" s="116" t="n"/>
      <c r="F3136" s="115" t="n"/>
      <c r="G3136" s="117">
        <f>IF(COUNTA(B3136:E3136)=0,"",IF(COUNTA(B3136:E3136)&lt;4,"⚠ กรอกไม่ครบ",IF(NOT(ISNUMBER(B3136)),"⚠ วันที่ไม่ถูกต้อง",IF(COUNTIFS(Setup!$L$6:$L$60,D3136,Setup!$M$6:$M$60,C3136)=0,"⚠ หมวดไม่ตรงประเภท","✓"))))</f>
        <v/>
      </c>
    </row>
    <row r="3137">
      <c r="B3137" s="113" t="n"/>
      <c r="C3137" s="114" t="n"/>
      <c r="D3137" s="115" t="n"/>
      <c r="E3137" s="116" t="n"/>
      <c r="F3137" s="115" t="n"/>
      <c r="G3137" s="117">
        <f>IF(COUNTA(B3137:E3137)=0,"",IF(COUNTA(B3137:E3137)&lt;4,"⚠ กรอกไม่ครบ",IF(NOT(ISNUMBER(B3137)),"⚠ วันที่ไม่ถูกต้อง",IF(COUNTIFS(Setup!$L$6:$L$60,D3137,Setup!$M$6:$M$60,C3137)=0,"⚠ หมวดไม่ตรงประเภท","✓"))))</f>
        <v/>
      </c>
    </row>
    <row r="3138">
      <c r="B3138" s="113" t="n"/>
      <c r="C3138" s="114" t="n"/>
      <c r="D3138" s="115" t="n"/>
      <c r="E3138" s="116" t="n"/>
      <c r="F3138" s="115" t="n"/>
      <c r="G3138" s="117">
        <f>IF(COUNTA(B3138:E3138)=0,"",IF(COUNTA(B3138:E3138)&lt;4,"⚠ กรอกไม่ครบ",IF(NOT(ISNUMBER(B3138)),"⚠ วันที่ไม่ถูกต้อง",IF(COUNTIFS(Setup!$L$6:$L$60,D3138,Setup!$M$6:$M$60,C3138)=0,"⚠ หมวดไม่ตรงประเภท","✓"))))</f>
        <v/>
      </c>
    </row>
    <row r="3139">
      <c r="B3139" s="113" t="n"/>
      <c r="C3139" s="114" t="n"/>
      <c r="D3139" s="115" t="n"/>
      <c r="E3139" s="116" t="n"/>
      <c r="F3139" s="115" t="n"/>
      <c r="G3139" s="117">
        <f>IF(COUNTA(B3139:E3139)=0,"",IF(COUNTA(B3139:E3139)&lt;4,"⚠ กรอกไม่ครบ",IF(NOT(ISNUMBER(B3139)),"⚠ วันที่ไม่ถูกต้อง",IF(COUNTIFS(Setup!$L$6:$L$60,D3139,Setup!$M$6:$M$60,C3139)=0,"⚠ หมวดไม่ตรงประเภท","✓"))))</f>
        <v/>
      </c>
    </row>
    <row r="3140">
      <c r="B3140" s="113" t="n"/>
      <c r="C3140" s="114" t="n"/>
      <c r="D3140" s="115" t="n"/>
      <c r="E3140" s="116" t="n"/>
      <c r="F3140" s="115" t="n"/>
      <c r="G3140" s="117">
        <f>IF(COUNTA(B3140:E3140)=0,"",IF(COUNTA(B3140:E3140)&lt;4,"⚠ กรอกไม่ครบ",IF(NOT(ISNUMBER(B3140)),"⚠ วันที่ไม่ถูกต้อง",IF(COUNTIFS(Setup!$L$6:$L$60,D3140,Setup!$M$6:$M$60,C3140)=0,"⚠ หมวดไม่ตรงประเภท","✓"))))</f>
        <v/>
      </c>
    </row>
    <row r="3141">
      <c r="B3141" s="113" t="n"/>
      <c r="C3141" s="114" t="n"/>
      <c r="D3141" s="115" t="n"/>
      <c r="E3141" s="116" t="n"/>
      <c r="F3141" s="115" t="n"/>
      <c r="G3141" s="117">
        <f>IF(COUNTA(B3141:E3141)=0,"",IF(COUNTA(B3141:E3141)&lt;4,"⚠ กรอกไม่ครบ",IF(NOT(ISNUMBER(B3141)),"⚠ วันที่ไม่ถูกต้อง",IF(COUNTIFS(Setup!$L$6:$L$60,D3141,Setup!$M$6:$M$60,C3141)=0,"⚠ หมวดไม่ตรงประเภท","✓"))))</f>
        <v/>
      </c>
    </row>
    <row r="3142">
      <c r="B3142" s="113" t="n"/>
      <c r="C3142" s="114" t="n"/>
      <c r="D3142" s="115" t="n"/>
      <c r="E3142" s="116" t="n"/>
      <c r="F3142" s="115" t="n"/>
      <c r="G3142" s="117">
        <f>IF(COUNTA(B3142:E3142)=0,"",IF(COUNTA(B3142:E3142)&lt;4,"⚠ กรอกไม่ครบ",IF(NOT(ISNUMBER(B3142)),"⚠ วันที่ไม่ถูกต้อง",IF(COUNTIFS(Setup!$L$6:$L$60,D3142,Setup!$M$6:$M$60,C3142)=0,"⚠ หมวดไม่ตรงประเภท","✓"))))</f>
        <v/>
      </c>
    </row>
    <row r="3143">
      <c r="B3143" s="113" t="n"/>
      <c r="C3143" s="114" t="n"/>
      <c r="D3143" s="115" t="n"/>
      <c r="E3143" s="116" t="n"/>
      <c r="F3143" s="115" t="n"/>
      <c r="G3143" s="117">
        <f>IF(COUNTA(B3143:E3143)=0,"",IF(COUNTA(B3143:E3143)&lt;4,"⚠ กรอกไม่ครบ",IF(NOT(ISNUMBER(B3143)),"⚠ วันที่ไม่ถูกต้อง",IF(COUNTIFS(Setup!$L$6:$L$60,D3143,Setup!$M$6:$M$60,C3143)=0,"⚠ หมวดไม่ตรงประเภท","✓"))))</f>
        <v/>
      </c>
    </row>
    <row r="3144">
      <c r="B3144" s="113" t="n"/>
      <c r="C3144" s="114" t="n"/>
      <c r="D3144" s="115" t="n"/>
      <c r="E3144" s="116" t="n"/>
      <c r="F3144" s="115" t="n"/>
      <c r="G3144" s="117">
        <f>IF(COUNTA(B3144:E3144)=0,"",IF(COUNTA(B3144:E3144)&lt;4,"⚠ กรอกไม่ครบ",IF(NOT(ISNUMBER(B3144)),"⚠ วันที่ไม่ถูกต้อง",IF(COUNTIFS(Setup!$L$6:$L$60,D3144,Setup!$M$6:$M$60,C3144)=0,"⚠ หมวดไม่ตรงประเภท","✓"))))</f>
        <v/>
      </c>
    </row>
    <row r="3145">
      <c r="B3145" s="113" t="n"/>
      <c r="C3145" s="114" t="n"/>
      <c r="D3145" s="115" t="n"/>
      <c r="E3145" s="116" t="n"/>
      <c r="F3145" s="115" t="n"/>
      <c r="G3145" s="117">
        <f>IF(COUNTA(B3145:E3145)=0,"",IF(COUNTA(B3145:E3145)&lt;4,"⚠ กรอกไม่ครบ",IF(NOT(ISNUMBER(B3145)),"⚠ วันที่ไม่ถูกต้อง",IF(COUNTIFS(Setup!$L$6:$L$60,D3145,Setup!$M$6:$M$60,C3145)=0,"⚠ หมวดไม่ตรงประเภท","✓"))))</f>
        <v/>
      </c>
    </row>
    <row r="3146">
      <c r="B3146" s="113" t="n"/>
      <c r="C3146" s="114" t="n"/>
      <c r="D3146" s="115" t="n"/>
      <c r="E3146" s="116" t="n"/>
      <c r="F3146" s="115" t="n"/>
      <c r="G3146" s="117">
        <f>IF(COUNTA(B3146:E3146)=0,"",IF(COUNTA(B3146:E3146)&lt;4,"⚠ กรอกไม่ครบ",IF(NOT(ISNUMBER(B3146)),"⚠ วันที่ไม่ถูกต้อง",IF(COUNTIFS(Setup!$L$6:$L$60,D3146,Setup!$M$6:$M$60,C3146)=0,"⚠ หมวดไม่ตรงประเภท","✓"))))</f>
        <v/>
      </c>
    </row>
    <row r="3147">
      <c r="B3147" s="113" t="n"/>
      <c r="C3147" s="114" t="n"/>
      <c r="D3147" s="115" t="n"/>
      <c r="E3147" s="116" t="n"/>
      <c r="F3147" s="115" t="n"/>
      <c r="G3147" s="117">
        <f>IF(COUNTA(B3147:E3147)=0,"",IF(COUNTA(B3147:E3147)&lt;4,"⚠ กรอกไม่ครบ",IF(NOT(ISNUMBER(B3147)),"⚠ วันที่ไม่ถูกต้อง",IF(COUNTIFS(Setup!$L$6:$L$60,D3147,Setup!$M$6:$M$60,C3147)=0,"⚠ หมวดไม่ตรงประเภท","✓"))))</f>
        <v/>
      </c>
    </row>
    <row r="3148">
      <c r="B3148" s="113" t="n"/>
      <c r="C3148" s="114" t="n"/>
      <c r="D3148" s="115" t="n"/>
      <c r="E3148" s="116" t="n"/>
      <c r="F3148" s="115" t="n"/>
      <c r="G3148" s="117">
        <f>IF(COUNTA(B3148:E3148)=0,"",IF(COUNTA(B3148:E3148)&lt;4,"⚠ กรอกไม่ครบ",IF(NOT(ISNUMBER(B3148)),"⚠ วันที่ไม่ถูกต้อง",IF(COUNTIFS(Setup!$L$6:$L$60,D3148,Setup!$M$6:$M$60,C3148)=0,"⚠ หมวดไม่ตรงประเภท","✓"))))</f>
        <v/>
      </c>
    </row>
    <row r="3149">
      <c r="B3149" s="113" t="n"/>
      <c r="C3149" s="114" t="n"/>
      <c r="D3149" s="115" t="n"/>
      <c r="E3149" s="116" t="n"/>
      <c r="F3149" s="115" t="n"/>
      <c r="G3149" s="117">
        <f>IF(COUNTA(B3149:E3149)=0,"",IF(COUNTA(B3149:E3149)&lt;4,"⚠ กรอกไม่ครบ",IF(NOT(ISNUMBER(B3149)),"⚠ วันที่ไม่ถูกต้อง",IF(COUNTIFS(Setup!$L$6:$L$60,D3149,Setup!$M$6:$M$60,C3149)=0,"⚠ หมวดไม่ตรงประเภท","✓"))))</f>
        <v/>
      </c>
    </row>
    <row r="3150">
      <c r="B3150" s="113" t="n"/>
      <c r="C3150" s="114" t="n"/>
      <c r="D3150" s="115" t="n"/>
      <c r="E3150" s="116" t="n"/>
      <c r="F3150" s="115" t="n"/>
      <c r="G3150" s="117">
        <f>IF(COUNTA(B3150:E3150)=0,"",IF(COUNTA(B3150:E3150)&lt;4,"⚠ กรอกไม่ครบ",IF(NOT(ISNUMBER(B3150)),"⚠ วันที่ไม่ถูกต้อง",IF(COUNTIFS(Setup!$L$6:$L$60,D3150,Setup!$M$6:$M$60,C3150)=0,"⚠ หมวดไม่ตรงประเภท","✓"))))</f>
        <v/>
      </c>
    </row>
    <row r="3151">
      <c r="B3151" s="113" t="n"/>
      <c r="C3151" s="114" t="n"/>
      <c r="D3151" s="115" t="n"/>
      <c r="E3151" s="116" t="n"/>
      <c r="F3151" s="115" t="n"/>
      <c r="G3151" s="117">
        <f>IF(COUNTA(B3151:E3151)=0,"",IF(COUNTA(B3151:E3151)&lt;4,"⚠ กรอกไม่ครบ",IF(NOT(ISNUMBER(B3151)),"⚠ วันที่ไม่ถูกต้อง",IF(COUNTIFS(Setup!$L$6:$L$60,D3151,Setup!$M$6:$M$60,C3151)=0,"⚠ หมวดไม่ตรงประเภท","✓"))))</f>
        <v/>
      </c>
    </row>
    <row r="3152">
      <c r="B3152" s="113" t="n"/>
      <c r="C3152" s="114" t="n"/>
      <c r="D3152" s="115" t="n"/>
      <c r="E3152" s="116" t="n"/>
      <c r="F3152" s="115" t="n"/>
      <c r="G3152" s="117">
        <f>IF(COUNTA(B3152:E3152)=0,"",IF(COUNTA(B3152:E3152)&lt;4,"⚠ กรอกไม่ครบ",IF(NOT(ISNUMBER(B3152)),"⚠ วันที่ไม่ถูกต้อง",IF(COUNTIFS(Setup!$L$6:$L$60,D3152,Setup!$M$6:$M$60,C3152)=0,"⚠ หมวดไม่ตรงประเภท","✓"))))</f>
        <v/>
      </c>
    </row>
    <row r="3153">
      <c r="B3153" s="113" t="n"/>
      <c r="C3153" s="114" t="n"/>
      <c r="D3153" s="115" t="n"/>
      <c r="E3153" s="116" t="n"/>
      <c r="F3153" s="115" t="n"/>
      <c r="G3153" s="117">
        <f>IF(COUNTA(B3153:E3153)=0,"",IF(COUNTA(B3153:E3153)&lt;4,"⚠ กรอกไม่ครบ",IF(NOT(ISNUMBER(B3153)),"⚠ วันที่ไม่ถูกต้อง",IF(COUNTIFS(Setup!$L$6:$L$60,D3153,Setup!$M$6:$M$60,C3153)=0,"⚠ หมวดไม่ตรงประเภท","✓"))))</f>
        <v/>
      </c>
    </row>
    <row r="3154">
      <c r="B3154" s="113" t="n"/>
      <c r="C3154" s="114" t="n"/>
      <c r="D3154" s="115" t="n"/>
      <c r="E3154" s="116" t="n"/>
      <c r="F3154" s="115" t="n"/>
      <c r="G3154" s="117">
        <f>IF(COUNTA(B3154:E3154)=0,"",IF(COUNTA(B3154:E3154)&lt;4,"⚠ กรอกไม่ครบ",IF(NOT(ISNUMBER(B3154)),"⚠ วันที่ไม่ถูกต้อง",IF(COUNTIFS(Setup!$L$6:$L$60,D3154,Setup!$M$6:$M$60,C3154)=0,"⚠ หมวดไม่ตรงประเภท","✓"))))</f>
        <v/>
      </c>
    </row>
    <row r="3155">
      <c r="B3155" s="113" t="n"/>
      <c r="C3155" s="114" t="n"/>
      <c r="D3155" s="115" t="n"/>
      <c r="E3155" s="116" t="n"/>
      <c r="F3155" s="115" t="n"/>
      <c r="G3155" s="117">
        <f>IF(COUNTA(B3155:E3155)=0,"",IF(COUNTA(B3155:E3155)&lt;4,"⚠ กรอกไม่ครบ",IF(NOT(ISNUMBER(B3155)),"⚠ วันที่ไม่ถูกต้อง",IF(COUNTIFS(Setup!$L$6:$L$60,D3155,Setup!$M$6:$M$60,C3155)=0,"⚠ หมวดไม่ตรงประเภท","✓"))))</f>
        <v/>
      </c>
    </row>
    <row r="3156">
      <c r="B3156" s="113" t="n"/>
      <c r="C3156" s="114" t="n"/>
      <c r="D3156" s="115" t="n"/>
      <c r="E3156" s="116" t="n"/>
      <c r="F3156" s="115" t="n"/>
      <c r="G3156" s="117">
        <f>IF(COUNTA(B3156:E3156)=0,"",IF(COUNTA(B3156:E3156)&lt;4,"⚠ กรอกไม่ครบ",IF(NOT(ISNUMBER(B3156)),"⚠ วันที่ไม่ถูกต้อง",IF(COUNTIFS(Setup!$L$6:$L$60,D3156,Setup!$M$6:$M$60,C3156)=0,"⚠ หมวดไม่ตรงประเภท","✓"))))</f>
        <v/>
      </c>
    </row>
    <row r="3157">
      <c r="B3157" s="113" t="n"/>
      <c r="C3157" s="114" t="n"/>
      <c r="D3157" s="115" t="n"/>
      <c r="E3157" s="116" t="n"/>
      <c r="F3157" s="115" t="n"/>
      <c r="G3157" s="117">
        <f>IF(COUNTA(B3157:E3157)=0,"",IF(COUNTA(B3157:E3157)&lt;4,"⚠ กรอกไม่ครบ",IF(NOT(ISNUMBER(B3157)),"⚠ วันที่ไม่ถูกต้อง",IF(COUNTIFS(Setup!$L$6:$L$60,D3157,Setup!$M$6:$M$60,C3157)=0,"⚠ หมวดไม่ตรงประเภท","✓"))))</f>
        <v/>
      </c>
    </row>
    <row r="3158">
      <c r="B3158" s="113" t="n"/>
      <c r="C3158" s="114" t="n"/>
      <c r="D3158" s="115" t="n"/>
      <c r="E3158" s="116" t="n"/>
      <c r="F3158" s="115" t="n"/>
      <c r="G3158" s="117">
        <f>IF(COUNTA(B3158:E3158)=0,"",IF(COUNTA(B3158:E3158)&lt;4,"⚠ กรอกไม่ครบ",IF(NOT(ISNUMBER(B3158)),"⚠ วันที่ไม่ถูกต้อง",IF(COUNTIFS(Setup!$L$6:$L$60,D3158,Setup!$M$6:$M$60,C3158)=0,"⚠ หมวดไม่ตรงประเภท","✓"))))</f>
        <v/>
      </c>
    </row>
    <row r="3159">
      <c r="B3159" s="113" t="n"/>
      <c r="C3159" s="114" t="n"/>
      <c r="D3159" s="115" t="n"/>
      <c r="E3159" s="116" t="n"/>
      <c r="F3159" s="115" t="n"/>
      <c r="G3159" s="117">
        <f>IF(COUNTA(B3159:E3159)=0,"",IF(COUNTA(B3159:E3159)&lt;4,"⚠ กรอกไม่ครบ",IF(NOT(ISNUMBER(B3159)),"⚠ วันที่ไม่ถูกต้อง",IF(COUNTIFS(Setup!$L$6:$L$60,D3159,Setup!$M$6:$M$60,C3159)=0,"⚠ หมวดไม่ตรงประเภท","✓"))))</f>
        <v/>
      </c>
    </row>
    <row r="3160">
      <c r="B3160" s="113" t="n"/>
      <c r="C3160" s="114" t="n"/>
      <c r="D3160" s="115" t="n"/>
      <c r="E3160" s="116" t="n"/>
      <c r="F3160" s="115" t="n"/>
      <c r="G3160" s="117">
        <f>IF(COUNTA(B3160:E3160)=0,"",IF(COUNTA(B3160:E3160)&lt;4,"⚠ กรอกไม่ครบ",IF(NOT(ISNUMBER(B3160)),"⚠ วันที่ไม่ถูกต้อง",IF(COUNTIFS(Setup!$L$6:$L$60,D3160,Setup!$M$6:$M$60,C3160)=0,"⚠ หมวดไม่ตรงประเภท","✓"))))</f>
        <v/>
      </c>
    </row>
    <row r="3161">
      <c r="B3161" s="113" t="n"/>
      <c r="C3161" s="114" t="n"/>
      <c r="D3161" s="115" t="n"/>
      <c r="E3161" s="116" t="n"/>
      <c r="F3161" s="115" t="n"/>
      <c r="G3161" s="117">
        <f>IF(COUNTA(B3161:E3161)=0,"",IF(COUNTA(B3161:E3161)&lt;4,"⚠ กรอกไม่ครบ",IF(NOT(ISNUMBER(B3161)),"⚠ วันที่ไม่ถูกต้อง",IF(COUNTIFS(Setup!$L$6:$L$60,D3161,Setup!$M$6:$M$60,C3161)=0,"⚠ หมวดไม่ตรงประเภท","✓"))))</f>
        <v/>
      </c>
    </row>
    <row r="3162">
      <c r="B3162" s="113" t="n"/>
      <c r="C3162" s="114" t="n"/>
      <c r="D3162" s="115" t="n"/>
      <c r="E3162" s="116" t="n"/>
      <c r="F3162" s="115" t="n"/>
      <c r="G3162" s="117">
        <f>IF(COUNTA(B3162:E3162)=0,"",IF(COUNTA(B3162:E3162)&lt;4,"⚠ กรอกไม่ครบ",IF(NOT(ISNUMBER(B3162)),"⚠ วันที่ไม่ถูกต้อง",IF(COUNTIFS(Setup!$L$6:$L$60,D3162,Setup!$M$6:$M$60,C3162)=0,"⚠ หมวดไม่ตรงประเภท","✓"))))</f>
        <v/>
      </c>
    </row>
    <row r="3163">
      <c r="B3163" s="113" t="n"/>
      <c r="C3163" s="114" t="n"/>
      <c r="D3163" s="115" t="n"/>
      <c r="E3163" s="116" t="n"/>
      <c r="F3163" s="115" t="n"/>
      <c r="G3163" s="117">
        <f>IF(COUNTA(B3163:E3163)=0,"",IF(COUNTA(B3163:E3163)&lt;4,"⚠ กรอกไม่ครบ",IF(NOT(ISNUMBER(B3163)),"⚠ วันที่ไม่ถูกต้อง",IF(COUNTIFS(Setup!$L$6:$L$60,D3163,Setup!$M$6:$M$60,C3163)=0,"⚠ หมวดไม่ตรงประเภท","✓"))))</f>
        <v/>
      </c>
    </row>
    <row r="3164">
      <c r="B3164" s="113" t="n"/>
      <c r="C3164" s="114" t="n"/>
      <c r="D3164" s="115" t="n"/>
      <c r="E3164" s="116" t="n"/>
      <c r="F3164" s="115" t="n"/>
      <c r="G3164" s="117">
        <f>IF(COUNTA(B3164:E3164)=0,"",IF(COUNTA(B3164:E3164)&lt;4,"⚠ กรอกไม่ครบ",IF(NOT(ISNUMBER(B3164)),"⚠ วันที่ไม่ถูกต้อง",IF(COUNTIFS(Setup!$L$6:$L$60,D3164,Setup!$M$6:$M$60,C3164)=0,"⚠ หมวดไม่ตรงประเภท","✓"))))</f>
        <v/>
      </c>
    </row>
    <row r="3165">
      <c r="B3165" s="113" t="n"/>
      <c r="C3165" s="114" t="n"/>
      <c r="D3165" s="115" t="n"/>
      <c r="E3165" s="116" t="n"/>
      <c r="F3165" s="115" t="n"/>
      <c r="G3165" s="117">
        <f>IF(COUNTA(B3165:E3165)=0,"",IF(COUNTA(B3165:E3165)&lt;4,"⚠ กรอกไม่ครบ",IF(NOT(ISNUMBER(B3165)),"⚠ วันที่ไม่ถูกต้อง",IF(COUNTIFS(Setup!$L$6:$L$60,D3165,Setup!$M$6:$M$60,C3165)=0,"⚠ หมวดไม่ตรงประเภท","✓"))))</f>
        <v/>
      </c>
    </row>
    <row r="3166">
      <c r="B3166" s="113" t="n"/>
      <c r="C3166" s="114" t="n"/>
      <c r="D3166" s="115" t="n"/>
      <c r="E3166" s="116" t="n"/>
      <c r="F3166" s="115" t="n"/>
      <c r="G3166" s="117">
        <f>IF(COUNTA(B3166:E3166)=0,"",IF(COUNTA(B3166:E3166)&lt;4,"⚠ กรอกไม่ครบ",IF(NOT(ISNUMBER(B3166)),"⚠ วันที่ไม่ถูกต้อง",IF(COUNTIFS(Setup!$L$6:$L$60,D3166,Setup!$M$6:$M$60,C3166)=0,"⚠ หมวดไม่ตรงประเภท","✓"))))</f>
        <v/>
      </c>
    </row>
    <row r="3167">
      <c r="B3167" s="113" t="n"/>
      <c r="C3167" s="114" t="n"/>
      <c r="D3167" s="115" t="n"/>
      <c r="E3167" s="116" t="n"/>
      <c r="F3167" s="115" t="n"/>
      <c r="G3167" s="117">
        <f>IF(COUNTA(B3167:E3167)=0,"",IF(COUNTA(B3167:E3167)&lt;4,"⚠ กรอกไม่ครบ",IF(NOT(ISNUMBER(B3167)),"⚠ วันที่ไม่ถูกต้อง",IF(COUNTIFS(Setup!$L$6:$L$60,D3167,Setup!$M$6:$M$60,C3167)=0,"⚠ หมวดไม่ตรงประเภท","✓"))))</f>
        <v/>
      </c>
    </row>
    <row r="3168">
      <c r="B3168" s="113" t="n"/>
      <c r="C3168" s="114" t="n"/>
      <c r="D3168" s="115" t="n"/>
      <c r="E3168" s="116" t="n"/>
      <c r="F3168" s="115" t="n"/>
      <c r="G3168" s="117">
        <f>IF(COUNTA(B3168:E3168)=0,"",IF(COUNTA(B3168:E3168)&lt;4,"⚠ กรอกไม่ครบ",IF(NOT(ISNUMBER(B3168)),"⚠ วันที่ไม่ถูกต้อง",IF(COUNTIFS(Setup!$L$6:$L$60,D3168,Setup!$M$6:$M$60,C3168)=0,"⚠ หมวดไม่ตรงประเภท","✓"))))</f>
        <v/>
      </c>
    </row>
    <row r="3169">
      <c r="B3169" s="113" t="n"/>
      <c r="C3169" s="114" t="n"/>
      <c r="D3169" s="115" t="n"/>
      <c r="E3169" s="116" t="n"/>
      <c r="F3169" s="115" t="n"/>
      <c r="G3169" s="117">
        <f>IF(COUNTA(B3169:E3169)=0,"",IF(COUNTA(B3169:E3169)&lt;4,"⚠ กรอกไม่ครบ",IF(NOT(ISNUMBER(B3169)),"⚠ วันที่ไม่ถูกต้อง",IF(COUNTIFS(Setup!$L$6:$L$60,D3169,Setup!$M$6:$M$60,C3169)=0,"⚠ หมวดไม่ตรงประเภท","✓"))))</f>
        <v/>
      </c>
    </row>
    <row r="3170">
      <c r="B3170" s="113" t="n"/>
      <c r="C3170" s="114" t="n"/>
      <c r="D3170" s="115" t="n"/>
      <c r="E3170" s="116" t="n"/>
      <c r="F3170" s="115" t="n"/>
      <c r="G3170" s="117">
        <f>IF(COUNTA(B3170:E3170)=0,"",IF(COUNTA(B3170:E3170)&lt;4,"⚠ กรอกไม่ครบ",IF(NOT(ISNUMBER(B3170)),"⚠ วันที่ไม่ถูกต้อง",IF(COUNTIFS(Setup!$L$6:$L$60,D3170,Setup!$M$6:$M$60,C3170)=0,"⚠ หมวดไม่ตรงประเภท","✓"))))</f>
        <v/>
      </c>
    </row>
    <row r="3171">
      <c r="B3171" s="113" t="n"/>
      <c r="C3171" s="114" t="n"/>
      <c r="D3171" s="115" t="n"/>
      <c r="E3171" s="116" t="n"/>
      <c r="F3171" s="115" t="n"/>
      <c r="G3171" s="117">
        <f>IF(COUNTA(B3171:E3171)=0,"",IF(COUNTA(B3171:E3171)&lt;4,"⚠ กรอกไม่ครบ",IF(NOT(ISNUMBER(B3171)),"⚠ วันที่ไม่ถูกต้อง",IF(COUNTIFS(Setup!$L$6:$L$60,D3171,Setup!$M$6:$M$60,C3171)=0,"⚠ หมวดไม่ตรงประเภท","✓"))))</f>
        <v/>
      </c>
    </row>
    <row r="3172">
      <c r="B3172" s="113" t="n"/>
      <c r="C3172" s="114" t="n"/>
      <c r="D3172" s="115" t="n"/>
      <c r="E3172" s="116" t="n"/>
      <c r="F3172" s="115" t="n"/>
      <c r="G3172" s="117">
        <f>IF(COUNTA(B3172:E3172)=0,"",IF(COUNTA(B3172:E3172)&lt;4,"⚠ กรอกไม่ครบ",IF(NOT(ISNUMBER(B3172)),"⚠ วันที่ไม่ถูกต้อง",IF(COUNTIFS(Setup!$L$6:$L$60,D3172,Setup!$M$6:$M$60,C3172)=0,"⚠ หมวดไม่ตรงประเภท","✓"))))</f>
        <v/>
      </c>
    </row>
    <row r="3173">
      <c r="B3173" s="113" t="n"/>
      <c r="C3173" s="114" t="n"/>
      <c r="D3173" s="115" t="n"/>
      <c r="E3173" s="116" t="n"/>
      <c r="F3173" s="115" t="n"/>
      <c r="G3173" s="117">
        <f>IF(COUNTA(B3173:E3173)=0,"",IF(COUNTA(B3173:E3173)&lt;4,"⚠ กรอกไม่ครบ",IF(NOT(ISNUMBER(B3173)),"⚠ วันที่ไม่ถูกต้อง",IF(COUNTIFS(Setup!$L$6:$L$60,D3173,Setup!$M$6:$M$60,C3173)=0,"⚠ หมวดไม่ตรงประเภท","✓"))))</f>
        <v/>
      </c>
    </row>
    <row r="3174">
      <c r="B3174" s="113" t="n"/>
      <c r="C3174" s="114" t="n"/>
      <c r="D3174" s="115" t="n"/>
      <c r="E3174" s="116" t="n"/>
      <c r="F3174" s="115" t="n"/>
      <c r="G3174" s="117">
        <f>IF(COUNTA(B3174:E3174)=0,"",IF(COUNTA(B3174:E3174)&lt;4,"⚠ กรอกไม่ครบ",IF(NOT(ISNUMBER(B3174)),"⚠ วันที่ไม่ถูกต้อง",IF(COUNTIFS(Setup!$L$6:$L$60,D3174,Setup!$M$6:$M$60,C3174)=0,"⚠ หมวดไม่ตรงประเภท","✓"))))</f>
        <v/>
      </c>
    </row>
    <row r="3175">
      <c r="B3175" s="113" t="n"/>
      <c r="C3175" s="114" t="n"/>
      <c r="D3175" s="115" t="n"/>
      <c r="E3175" s="116" t="n"/>
      <c r="F3175" s="115" t="n"/>
      <c r="G3175" s="117">
        <f>IF(COUNTA(B3175:E3175)=0,"",IF(COUNTA(B3175:E3175)&lt;4,"⚠ กรอกไม่ครบ",IF(NOT(ISNUMBER(B3175)),"⚠ วันที่ไม่ถูกต้อง",IF(COUNTIFS(Setup!$L$6:$L$60,D3175,Setup!$M$6:$M$60,C3175)=0,"⚠ หมวดไม่ตรงประเภท","✓"))))</f>
        <v/>
      </c>
    </row>
    <row r="3176">
      <c r="B3176" s="113" t="n"/>
      <c r="C3176" s="114" t="n"/>
      <c r="D3176" s="115" t="n"/>
      <c r="E3176" s="116" t="n"/>
      <c r="F3176" s="115" t="n"/>
      <c r="G3176" s="117">
        <f>IF(COUNTA(B3176:E3176)=0,"",IF(COUNTA(B3176:E3176)&lt;4,"⚠ กรอกไม่ครบ",IF(NOT(ISNUMBER(B3176)),"⚠ วันที่ไม่ถูกต้อง",IF(COUNTIFS(Setup!$L$6:$L$60,D3176,Setup!$M$6:$M$60,C3176)=0,"⚠ หมวดไม่ตรงประเภท","✓"))))</f>
        <v/>
      </c>
    </row>
    <row r="3177">
      <c r="B3177" s="113" t="n"/>
      <c r="C3177" s="114" t="n"/>
      <c r="D3177" s="115" t="n"/>
      <c r="E3177" s="116" t="n"/>
      <c r="F3177" s="115" t="n"/>
      <c r="G3177" s="117">
        <f>IF(COUNTA(B3177:E3177)=0,"",IF(COUNTA(B3177:E3177)&lt;4,"⚠ กรอกไม่ครบ",IF(NOT(ISNUMBER(B3177)),"⚠ วันที่ไม่ถูกต้อง",IF(COUNTIFS(Setup!$L$6:$L$60,D3177,Setup!$M$6:$M$60,C3177)=0,"⚠ หมวดไม่ตรงประเภท","✓"))))</f>
        <v/>
      </c>
    </row>
    <row r="3178">
      <c r="B3178" s="113" t="n"/>
      <c r="C3178" s="114" t="n"/>
      <c r="D3178" s="115" t="n"/>
      <c r="E3178" s="116" t="n"/>
      <c r="F3178" s="115" t="n"/>
      <c r="G3178" s="117">
        <f>IF(COUNTA(B3178:E3178)=0,"",IF(COUNTA(B3178:E3178)&lt;4,"⚠ กรอกไม่ครบ",IF(NOT(ISNUMBER(B3178)),"⚠ วันที่ไม่ถูกต้อง",IF(COUNTIFS(Setup!$L$6:$L$60,D3178,Setup!$M$6:$M$60,C3178)=0,"⚠ หมวดไม่ตรงประเภท","✓"))))</f>
        <v/>
      </c>
    </row>
    <row r="3179">
      <c r="B3179" s="113" t="n"/>
      <c r="C3179" s="114" t="n"/>
      <c r="D3179" s="115" t="n"/>
      <c r="E3179" s="116" t="n"/>
      <c r="F3179" s="115" t="n"/>
      <c r="G3179" s="117">
        <f>IF(COUNTA(B3179:E3179)=0,"",IF(COUNTA(B3179:E3179)&lt;4,"⚠ กรอกไม่ครบ",IF(NOT(ISNUMBER(B3179)),"⚠ วันที่ไม่ถูกต้อง",IF(COUNTIFS(Setup!$L$6:$L$60,D3179,Setup!$M$6:$M$60,C3179)=0,"⚠ หมวดไม่ตรงประเภท","✓"))))</f>
        <v/>
      </c>
    </row>
    <row r="3180">
      <c r="B3180" s="113" t="n"/>
      <c r="C3180" s="114" t="n"/>
      <c r="D3180" s="115" t="n"/>
      <c r="E3180" s="116" t="n"/>
      <c r="F3180" s="115" t="n"/>
      <c r="G3180" s="117">
        <f>IF(COUNTA(B3180:E3180)=0,"",IF(COUNTA(B3180:E3180)&lt;4,"⚠ กรอกไม่ครบ",IF(NOT(ISNUMBER(B3180)),"⚠ วันที่ไม่ถูกต้อง",IF(COUNTIFS(Setup!$L$6:$L$60,D3180,Setup!$M$6:$M$60,C3180)=0,"⚠ หมวดไม่ตรงประเภท","✓"))))</f>
        <v/>
      </c>
    </row>
    <row r="3181">
      <c r="B3181" s="113" t="n"/>
      <c r="C3181" s="114" t="n"/>
      <c r="D3181" s="115" t="n"/>
      <c r="E3181" s="116" t="n"/>
      <c r="F3181" s="115" t="n"/>
      <c r="G3181" s="117">
        <f>IF(COUNTA(B3181:E3181)=0,"",IF(COUNTA(B3181:E3181)&lt;4,"⚠ กรอกไม่ครบ",IF(NOT(ISNUMBER(B3181)),"⚠ วันที่ไม่ถูกต้อง",IF(COUNTIFS(Setup!$L$6:$L$60,D3181,Setup!$M$6:$M$60,C3181)=0,"⚠ หมวดไม่ตรงประเภท","✓"))))</f>
        <v/>
      </c>
    </row>
    <row r="3182">
      <c r="B3182" s="113" t="n"/>
      <c r="C3182" s="114" t="n"/>
      <c r="D3182" s="115" t="n"/>
      <c r="E3182" s="116" t="n"/>
      <c r="F3182" s="115" t="n"/>
      <c r="G3182" s="117">
        <f>IF(COUNTA(B3182:E3182)=0,"",IF(COUNTA(B3182:E3182)&lt;4,"⚠ กรอกไม่ครบ",IF(NOT(ISNUMBER(B3182)),"⚠ วันที่ไม่ถูกต้อง",IF(COUNTIFS(Setup!$L$6:$L$60,D3182,Setup!$M$6:$M$60,C3182)=0,"⚠ หมวดไม่ตรงประเภท","✓"))))</f>
        <v/>
      </c>
    </row>
    <row r="3183">
      <c r="B3183" s="113" t="n"/>
      <c r="C3183" s="114" t="n"/>
      <c r="D3183" s="115" t="n"/>
      <c r="E3183" s="116" t="n"/>
      <c r="F3183" s="115" t="n"/>
      <c r="G3183" s="117">
        <f>IF(COUNTA(B3183:E3183)=0,"",IF(COUNTA(B3183:E3183)&lt;4,"⚠ กรอกไม่ครบ",IF(NOT(ISNUMBER(B3183)),"⚠ วันที่ไม่ถูกต้อง",IF(COUNTIFS(Setup!$L$6:$L$60,D3183,Setup!$M$6:$M$60,C3183)=0,"⚠ หมวดไม่ตรงประเภท","✓"))))</f>
        <v/>
      </c>
    </row>
    <row r="3184">
      <c r="B3184" s="113" t="n"/>
      <c r="C3184" s="114" t="n"/>
      <c r="D3184" s="115" t="n"/>
      <c r="E3184" s="116" t="n"/>
      <c r="F3184" s="115" t="n"/>
      <c r="G3184" s="117">
        <f>IF(COUNTA(B3184:E3184)=0,"",IF(COUNTA(B3184:E3184)&lt;4,"⚠ กรอกไม่ครบ",IF(NOT(ISNUMBER(B3184)),"⚠ วันที่ไม่ถูกต้อง",IF(COUNTIFS(Setup!$L$6:$L$60,D3184,Setup!$M$6:$M$60,C3184)=0,"⚠ หมวดไม่ตรงประเภท","✓"))))</f>
        <v/>
      </c>
    </row>
    <row r="3185">
      <c r="B3185" s="113" t="n"/>
      <c r="C3185" s="114" t="n"/>
      <c r="D3185" s="115" t="n"/>
      <c r="E3185" s="116" t="n"/>
      <c r="F3185" s="115" t="n"/>
      <c r="G3185" s="117">
        <f>IF(COUNTA(B3185:E3185)=0,"",IF(COUNTA(B3185:E3185)&lt;4,"⚠ กรอกไม่ครบ",IF(NOT(ISNUMBER(B3185)),"⚠ วันที่ไม่ถูกต้อง",IF(COUNTIFS(Setup!$L$6:$L$60,D3185,Setup!$M$6:$M$60,C3185)=0,"⚠ หมวดไม่ตรงประเภท","✓"))))</f>
        <v/>
      </c>
    </row>
    <row r="3186">
      <c r="B3186" s="113" t="n"/>
      <c r="C3186" s="114" t="n"/>
      <c r="D3186" s="115" t="n"/>
      <c r="E3186" s="116" t="n"/>
      <c r="F3186" s="115" t="n"/>
      <c r="G3186" s="117">
        <f>IF(COUNTA(B3186:E3186)=0,"",IF(COUNTA(B3186:E3186)&lt;4,"⚠ กรอกไม่ครบ",IF(NOT(ISNUMBER(B3186)),"⚠ วันที่ไม่ถูกต้อง",IF(COUNTIFS(Setup!$L$6:$L$60,D3186,Setup!$M$6:$M$60,C3186)=0,"⚠ หมวดไม่ตรงประเภท","✓"))))</f>
        <v/>
      </c>
    </row>
    <row r="3187">
      <c r="B3187" s="113" t="n"/>
      <c r="C3187" s="114" t="n"/>
      <c r="D3187" s="115" t="n"/>
      <c r="E3187" s="116" t="n"/>
      <c r="F3187" s="115" t="n"/>
      <c r="G3187" s="117">
        <f>IF(COUNTA(B3187:E3187)=0,"",IF(COUNTA(B3187:E3187)&lt;4,"⚠ กรอกไม่ครบ",IF(NOT(ISNUMBER(B3187)),"⚠ วันที่ไม่ถูกต้อง",IF(COUNTIFS(Setup!$L$6:$L$60,D3187,Setup!$M$6:$M$60,C3187)=0,"⚠ หมวดไม่ตรงประเภท","✓"))))</f>
        <v/>
      </c>
    </row>
    <row r="3188">
      <c r="B3188" s="113" t="n"/>
      <c r="C3188" s="114" t="n"/>
      <c r="D3188" s="115" t="n"/>
      <c r="E3188" s="116" t="n"/>
      <c r="F3188" s="115" t="n"/>
      <c r="G3188" s="117">
        <f>IF(COUNTA(B3188:E3188)=0,"",IF(COUNTA(B3188:E3188)&lt;4,"⚠ กรอกไม่ครบ",IF(NOT(ISNUMBER(B3188)),"⚠ วันที่ไม่ถูกต้อง",IF(COUNTIFS(Setup!$L$6:$L$60,D3188,Setup!$M$6:$M$60,C3188)=0,"⚠ หมวดไม่ตรงประเภท","✓"))))</f>
        <v/>
      </c>
    </row>
    <row r="3189">
      <c r="B3189" s="113" t="n"/>
      <c r="C3189" s="114" t="n"/>
      <c r="D3189" s="115" t="n"/>
      <c r="E3189" s="116" t="n"/>
      <c r="F3189" s="115" t="n"/>
      <c r="G3189" s="117">
        <f>IF(COUNTA(B3189:E3189)=0,"",IF(COUNTA(B3189:E3189)&lt;4,"⚠ กรอกไม่ครบ",IF(NOT(ISNUMBER(B3189)),"⚠ วันที่ไม่ถูกต้อง",IF(COUNTIFS(Setup!$L$6:$L$60,D3189,Setup!$M$6:$M$60,C3189)=0,"⚠ หมวดไม่ตรงประเภท","✓"))))</f>
        <v/>
      </c>
    </row>
    <row r="3190">
      <c r="B3190" s="113" t="n"/>
      <c r="C3190" s="114" t="n"/>
      <c r="D3190" s="115" t="n"/>
      <c r="E3190" s="116" t="n"/>
      <c r="F3190" s="115" t="n"/>
      <c r="G3190" s="117">
        <f>IF(COUNTA(B3190:E3190)=0,"",IF(COUNTA(B3190:E3190)&lt;4,"⚠ กรอกไม่ครบ",IF(NOT(ISNUMBER(B3190)),"⚠ วันที่ไม่ถูกต้อง",IF(COUNTIFS(Setup!$L$6:$L$60,D3190,Setup!$M$6:$M$60,C3190)=0,"⚠ หมวดไม่ตรงประเภท","✓"))))</f>
        <v/>
      </c>
    </row>
    <row r="3191">
      <c r="B3191" s="113" t="n"/>
      <c r="C3191" s="114" t="n"/>
      <c r="D3191" s="115" t="n"/>
      <c r="E3191" s="116" t="n"/>
      <c r="F3191" s="115" t="n"/>
      <c r="G3191" s="117">
        <f>IF(COUNTA(B3191:E3191)=0,"",IF(COUNTA(B3191:E3191)&lt;4,"⚠ กรอกไม่ครบ",IF(NOT(ISNUMBER(B3191)),"⚠ วันที่ไม่ถูกต้อง",IF(COUNTIFS(Setup!$L$6:$L$60,D3191,Setup!$M$6:$M$60,C3191)=0,"⚠ หมวดไม่ตรงประเภท","✓"))))</f>
        <v/>
      </c>
    </row>
    <row r="3192">
      <c r="B3192" s="113" t="n"/>
      <c r="C3192" s="114" t="n"/>
      <c r="D3192" s="115" t="n"/>
      <c r="E3192" s="116" t="n"/>
      <c r="F3192" s="115" t="n"/>
      <c r="G3192" s="117">
        <f>IF(COUNTA(B3192:E3192)=0,"",IF(COUNTA(B3192:E3192)&lt;4,"⚠ กรอกไม่ครบ",IF(NOT(ISNUMBER(B3192)),"⚠ วันที่ไม่ถูกต้อง",IF(COUNTIFS(Setup!$L$6:$L$60,D3192,Setup!$M$6:$M$60,C3192)=0,"⚠ หมวดไม่ตรงประเภท","✓"))))</f>
        <v/>
      </c>
    </row>
    <row r="3193">
      <c r="B3193" s="113" t="n"/>
      <c r="C3193" s="114" t="n"/>
      <c r="D3193" s="115" t="n"/>
      <c r="E3193" s="116" t="n"/>
      <c r="F3193" s="115" t="n"/>
      <c r="G3193" s="117">
        <f>IF(COUNTA(B3193:E3193)=0,"",IF(COUNTA(B3193:E3193)&lt;4,"⚠ กรอกไม่ครบ",IF(NOT(ISNUMBER(B3193)),"⚠ วันที่ไม่ถูกต้อง",IF(COUNTIFS(Setup!$L$6:$L$60,D3193,Setup!$M$6:$M$60,C3193)=0,"⚠ หมวดไม่ตรงประเภท","✓"))))</f>
        <v/>
      </c>
    </row>
    <row r="3194">
      <c r="B3194" s="113" t="n"/>
      <c r="C3194" s="114" t="n"/>
      <c r="D3194" s="115" t="n"/>
      <c r="E3194" s="116" t="n"/>
      <c r="F3194" s="115" t="n"/>
      <c r="G3194" s="117">
        <f>IF(COUNTA(B3194:E3194)=0,"",IF(COUNTA(B3194:E3194)&lt;4,"⚠ กรอกไม่ครบ",IF(NOT(ISNUMBER(B3194)),"⚠ วันที่ไม่ถูกต้อง",IF(COUNTIFS(Setup!$L$6:$L$60,D3194,Setup!$M$6:$M$60,C3194)=0,"⚠ หมวดไม่ตรงประเภท","✓"))))</f>
        <v/>
      </c>
    </row>
    <row r="3195">
      <c r="B3195" s="113" t="n"/>
      <c r="C3195" s="114" t="n"/>
      <c r="D3195" s="115" t="n"/>
      <c r="E3195" s="116" t="n"/>
      <c r="F3195" s="115" t="n"/>
      <c r="G3195" s="117">
        <f>IF(COUNTA(B3195:E3195)=0,"",IF(COUNTA(B3195:E3195)&lt;4,"⚠ กรอกไม่ครบ",IF(NOT(ISNUMBER(B3195)),"⚠ วันที่ไม่ถูกต้อง",IF(COUNTIFS(Setup!$L$6:$L$60,D3195,Setup!$M$6:$M$60,C3195)=0,"⚠ หมวดไม่ตรงประเภท","✓"))))</f>
        <v/>
      </c>
    </row>
    <row r="3196">
      <c r="B3196" s="113" t="n"/>
      <c r="C3196" s="114" t="n"/>
      <c r="D3196" s="115" t="n"/>
      <c r="E3196" s="116" t="n"/>
      <c r="F3196" s="115" t="n"/>
      <c r="G3196" s="117">
        <f>IF(COUNTA(B3196:E3196)=0,"",IF(COUNTA(B3196:E3196)&lt;4,"⚠ กรอกไม่ครบ",IF(NOT(ISNUMBER(B3196)),"⚠ วันที่ไม่ถูกต้อง",IF(COUNTIFS(Setup!$L$6:$L$60,D3196,Setup!$M$6:$M$60,C3196)=0,"⚠ หมวดไม่ตรงประเภท","✓"))))</f>
        <v/>
      </c>
    </row>
    <row r="3197">
      <c r="B3197" s="113" t="n"/>
      <c r="C3197" s="114" t="n"/>
      <c r="D3197" s="115" t="n"/>
      <c r="E3197" s="116" t="n"/>
      <c r="F3197" s="115" t="n"/>
      <c r="G3197" s="117">
        <f>IF(COUNTA(B3197:E3197)=0,"",IF(COUNTA(B3197:E3197)&lt;4,"⚠ กรอกไม่ครบ",IF(NOT(ISNUMBER(B3197)),"⚠ วันที่ไม่ถูกต้อง",IF(COUNTIFS(Setup!$L$6:$L$60,D3197,Setup!$M$6:$M$60,C3197)=0,"⚠ หมวดไม่ตรงประเภท","✓"))))</f>
        <v/>
      </c>
    </row>
    <row r="3198">
      <c r="B3198" s="113" t="n"/>
      <c r="C3198" s="114" t="n"/>
      <c r="D3198" s="115" t="n"/>
      <c r="E3198" s="116" t="n"/>
      <c r="F3198" s="115" t="n"/>
      <c r="G3198" s="117">
        <f>IF(COUNTA(B3198:E3198)=0,"",IF(COUNTA(B3198:E3198)&lt;4,"⚠ กรอกไม่ครบ",IF(NOT(ISNUMBER(B3198)),"⚠ วันที่ไม่ถูกต้อง",IF(COUNTIFS(Setup!$L$6:$L$60,D3198,Setup!$M$6:$M$60,C3198)=0,"⚠ หมวดไม่ตรงประเภท","✓"))))</f>
        <v/>
      </c>
    </row>
    <row r="3199">
      <c r="B3199" s="113" t="n"/>
      <c r="C3199" s="114" t="n"/>
      <c r="D3199" s="115" t="n"/>
      <c r="E3199" s="116" t="n"/>
      <c r="F3199" s="115" t="n"/>
      <c r="G3199" s="117">
        <f>IF(COUNTA(B3199:E3199)=0,"",IF(COUNTA(B3199:E3199)&lt;4,"⚠ กรอกไม่ครบ",IF(NOT(ISNUMBER(B3199)),"⚠ วันที่ไม่ถูกต้อง",IF(COUNTIFS(Setup!$L$6:$L$60,D3199,Setup!$M$6:$M$60,C3199)=0,"⚠ หมวดไม่ตรงประเภท","✓"))))</f>
        <v/>
      </c>
    </row>
    <row r="3200">
      <c r="B3200" s="113" t="n"/>
      <c r="C3200" s="114" t="n"/>
      <c r="D3200" s="115" t="n"/>
      <c r="E3200" s="116" t="n"/>
      <c r="F3200" s="115" t="n"/>
      <c r="G3200" s="117">
        <f>IF(COUNTA(B3200:E3200)=0,"",IF(COUNTA(B3200:E3200)&lt;4,"⚠ กรอกไม่ครบ",IF(NOT(ISNUMBER(B3200)),"⚠ วันที่ไม่ถูกต้อง",IF(COUNTIFS(Setup!$L$6:$L$60,D3200,Setup!$M$6:$M$60,C3200)=0,"⚠ หมวดไม่ตรงประเภท","✓"))))</f>
        <v/>
      </c>
    </row>
    <row r="3201">
      <c r="B3201" s="113" t="n"/>
      <c r="C3201" s="114" t="n"/>
      <c r="D3201" s="115" t="n"/>
      <c r="E3201" s="116" t="n"/>
      <c r="F3201" s="115" t="n"/>
      <c r="G3201" s="117">
        <f>IF(COUNTA(B3201:E3201)=0,"",IF(COUNTA(B3201:E3201)&lt;4,"⚠ กรอกไม่ครบ",IF(NOT(ISNUMBER(B3201)),"⚠ วันที่ไม่ถูกต้อง",IF(COUNTIFS(Setup!$L$6:$L$60,D3201,Setup!$M$6:$M$60,C3201)=0,"⚠ หมวดไม่ตรงประเภท","✓"))))</f>
        <v/>
      </c>
    </row>
    <row r="3202">
      <c r="B3202" s="113" t="n"/>
      <c r="C3202" s="114" t="n"/>
      <c r="D3202" s="115" t="n"/>
      <c r="E3202" s="116" t="n"/>
      <c r="F3202" s="115" t="n"/>
      <c r="G3202" s="117">
        <f>IF(COUNTA(B3202:E3202)=0,"",IF(COUNTA(B3202:E3202)&lt;4,"⚠ กรอกไม่ครบ",IF(NOT(ISNUMBER(B3202)),"⚠ วันที่ไม่ถูกต้อง",IF(COUNTIFS(Setup!$L$6:$L$60,D3202,Setup!$M$6:$M$60,C3202)=0,"⚠ หมวดไม่ตรงประเภท","✓"))))</f>
        <v/>
      </c>
    </row>
    <row r="3203">
      <c r="B3203" s="113" t="n"/>
      <c r="C3203" s="114" t="n"/>
      <c r="D3203" s="115" t="n"/>
      <c r="E3203" s="116" t="n"/>
      <c r="F3203" s="115" t="n"/>
      <c r="G3203" s="117">
        <f>IF(COUNTA(B3203:E3203)=0,"",IF(COUNTA(B3203:E3203)&lt;4,"⚠ กรอกไม่ครบ",IF(NOT(ISNUMBER(B3203)),"⚠ วันที่ไม่ถูกต้อง",IF(COUNTIFS(Setup!$L$6:$L$60,D3203,Setup!$M$6:$M$60,C3203)=0,"⚠ หมวดไม่ตรงประเภท","✓"))))</f>
        <v/>
      </c>
    </row>
    <row r="3204">
      <c r="B3204" s="113" t="n"/>
      <c r="C3204" s="114" t="n"/>
      <c r="D3204" s="115" t="n"/>
      <c r="E3204" s="116" t="n"/>
      <c r="F3204" s="115" t="n"/>
      <c r="G3204" s="117">
        <f>IF(COUNTA(B3204:E3204)=0,"",IF(COUNTA(B3204:E3204)&lt;4,"⚠ กรอกไม่ครบ",IF(NOT(ISNUMBER(B3204)),"⚠ วันที่ไม่ถูกต้อง",IF(COUNTIFS(Setup!$L$6:$L$60,D3204,Setup!$M$6:$M$60,C3204)=0,"⚠ หมวดไม่ตรงประเภท","✓"))))</f>
        <v/>
      </c>
    </row>
    <row r="3205">
      <c r="B3205" s="113" t="n"/>
      <c r="C3205" s="114" t="n"/>
      <c r="D3205" s="115" t="n"/>
      <c r="E3205" s="116" t="n"/>
      <c r="F3205" s="115" t="n"/>
      <c r="G3205" s="117">
        <f>IF(COUNTA(B3205:E3205)=0,"",IF(COUNTA(B3205:E3205)&lt;4,"⚠ กรอกไม่ครบ",IF(NOT(ISNUMBER(B3205)),"⚠ วันที่ไม่ถูกต้อง",IF(COUNTIFS(Setup!$L$6:$L$60,D3205,Setup!$M$6:$M$60,C3205)=0,"⚠ หมวดไม่ตรงประเภท","✓"))))</f>
        <v/>
      </c>
    </row>
    <row r="3206">
      <c r="B3206" s="113" t="n"/>
      <c r="C3206" s="114" t="n"/>
      <c r="D3206" s="115" t="n"/>
      <c r="E3206" s="116" t="n"/>
      <c r="F3206" s="115" t="n"/>
      <c r="G3206" s="117">
        <f>IF(COUNTA(B3206:E3206)=0,"",IF(COUNTA(B3206:E3206)&lt;4,"⚠ กรอกไม่ครบ",IF(NOT(ISNUMBER(B3206)),"⚠ วันที่ไม่ถูกต้อง",IF(COUNTIFS(Setup!$L$6:$L$60,D3206,Setup!$M$6:$M$60,C3206)=0,"⚠ หมวดไม่ตรงประเภท","✓"))))</f>
        <v/>
      </c>
    </row>
    <row r="3207">
      <c r="B3207" s="113" t="n"/>
      <c r="C3207" s="114" t="n"/>
      <c r="D3207" s="115" t="n"/>
      <c r="E3207" s="116" t="n"/>
      <c r="F3207" s="115" t="n"/>
      <c r="G3207" s="117">
        <f>IF(COUNTA(B3207:E3207)=0,"",IF(COUNTA(B3207:E3207)&lt;4,"⚠ กรอกไม่ครบ",IF(NOT(ISNUMBER(B3207)),"⚠ วันที่ไม่ถูกต้อง",IF(COUNTIFS(Setup!$L$6:$L$60,D3207,Setup!$M$6:$M$60,C3207)=0,"⚠ หมวดไม่ตรงประเภท","✓"))))</f>
        <v/>
      </c>
    </row>
    <row r="3208">
      <c r="B3208" s="113" t="n"/>
      <c r="C3208" s="114" t="n"/>
      <c r="D3208" s="115" t="n"/>
      <c r="E3208" s="116" t="n"/>
      <c r="F3208" s="115" t="n"/>
      <c r="G3208" s="117">
        <f>IF(COUNTA(B3208:E3208)=0,"",IF(COUNTA(B3208:E3208)&lt;4,"⚠ กรอกไม่ครบ",IF(NOT(ISNUMBER(B3208)),"⚠ วันที่ไม่ถูกต้อง",IF(COUNTIFS(Setup!$L$6:$L$60,D3208,Setup!$M$6:$M$60,C3208)=0,"⚠ หมวดไม่ตรงประเภท","✓"))))</f>
        <v/>
      </c>
    </row>
    <row r="3209">
      <c r="B3209" s="113" t="n"/>
      <c r="C3209" s="114" t="n"/>
      <c r="D3209" s="115" t="n"/>
      <c r="E3209" s="116" t="n"/>
      <c r="F3209" s="115" t="n"/>
      <c r="G3209" s="117">
        <f>IF(COUNTA(B3209:E3209)=0,"",IF(COUNTA(B3209:E3209)&lt;4,"⚠ กรอกไม่ครบ",IF(NOT(ISNUMBER(B3209)),"⚠ วันที่ไม่ถูกต้อง",IF(COUNTIFS(Setup!$L$6:$L$60,D3209,Setup!$M$6:$M$60,C3209)=0,"⚠ หมวดไม่ตรงประเภท","✓"))))</f>
        <v/>
      </c>
    </row>
    <row r="3210">
      <c r="B3210" s="113" t="n"/>
      <c r="C3210" s="114" t="n"/>
      <c r="D3210" s="115" t="n"/>
      <c r="E3210" s="116" t="n"/>
      <c r="F3210" s="115" t="n"/>
      <c r="G3210" s="117">
        <f>IF(COUNTA(B3210:E3210)=0,"",IF(COUNTA(B3210:E3210)&lt;4,"⚠ กรอกไม่ครบ",IF(NOT(ISNUMBER(B3210)),"⚠ วันที่ไม่ถูกต้อง",IF(COUNTIFS(Setup!$L$6:$L$60,D3210,Setup!$M$6:$M$60,C3210)=0,"⚠ หมวดไม่ตรงประเภท","✓"))))</f>
        <v/>
      </c>
    </row>
    <row r="3211">
      <c r="B3211" s="113" t="n"/>
      <c r="C3211" s="114" t="n"/>
      <c r="D3211" s="115" t="n"/>
      <c r="E3211" s="116" t="n"/>
      <c r="F3211" s="115" t="n"/>
      <c r="G3211" s="117">
        <f>IF(COUNTA(B3211:E3211)=0,"",IF(COUNTA(B3211:E3211)&lt;4,"⚠ กรอกไม่ครบ",IF(NOT(ISNUMBER(B3211)),"⚠ วันที่ไม่ถูกต้อง",IF(COUNTIFS(Setup!$L$6:$L$60,D3211,Setup!$M$6:$M$60,C3211)=0,"⚠ หมวดไม่ตรงประเภท","✓"))))</f>
        <v/>
      </c>
    </row>
    <row r="3212">
      <c r="B3212" s="113" t="n"/>
      <c r="C3212" s="114" t="n"/>
      <c r="D3212" s="115" t="n"/>
      <c r="E3212" s="116" t="n"/>
      <c r="F3212" s="115" t="n"/>
      <c r="G3212" s="117">
        <f>IF(COUNTA(B3212:E3212)=0,"",IF(COUNTA(B3212:E3212)&lt;4,"⚠ กรอกไม่ครบ",IF(NOT(ISNUMBER(B3212)),"⚠ วันที่ไม่ถูกต้อง",IF(COUNTIFS(Setup!$L$6:$L$60,D3212,Setup!$M$6:$M$60,C3212)=0,"⚠ หมวดไม่ตรงประเภท","✓"))))</f>
        <v/>
      </c>
    </row>
    <row r="3213">
      <c r="B3213" s="113" t="n"/>
      <c r="C3213" s="114" t="n"/>
      <c r="D3213" s="115" t="n"/>
      <c r="E3213" s="116" t="n"/>
      <c r="F3213" s="115" t="n"/>
      <c r="G3213" s="117">
        <f>IF(COUNTA(B3213:E3213)=0,"",IF(COUNTA(B3213:E3213)&lt;4,"⚠ กรอกไม่ครบ",IF(NOT(ISNUMBER(B3213)),"⚠ วันที่ไม่ถูกต้อง",IF(COUNTIFS(Setup!$L$6:$L$60,D3213,Setup!$M$6:$M$60,C3213)=0,"⚠ หมวดไม่ตรงประเภท","✓"))))</f>
        <v/>
      </c>
    </row>
    <row r="3214">
      <c r="B3214" s="113" t="n"/>
      <c r="C3214" s="114" t="n"/>
      <c r="D3214" s="115" t="n"/>
      <c r="E3214" s="116" t="n"/>
      <c r="F3214" s="115" t="n"/>
      <c r="G3214" s="117">
        <f>IF(COUNTA(B3214:E3214)=0,"",IF(COUNTA(B3214:E3214)&lt;4,"⚠ กรอกไม่ครบ",IF(NOT(ISNUMBER(B3214)),"⚠ วันที่ไม่ถูกต้อง",IF(COUNTIFS(Setup!$L$6:$L$60,D3214,Setup!$M$6:$M$60,C3214)=0,"⚠ หมวดไม่ตรงประเภท","✓"))))</f>
        <v/>
      </c>
    </row>
    <row r="3215">
      <c r="B3215" s="113" t="n"/>
      <c r="C3215" s="114" t="n"/>
      <c r="D3215" s="115" t="n"/>
      <c r="E3215" s="116" t="n"/>
      <c r="F3215" s="115" t="n"/>
      <c r="G3215" s="117">
        <f>IF(COUNTA(B3215:E3215)=0,"",IF(COUNTA(B3215:E3215)&lt;4,"⚠ กรอกไม่ครบ",IF(NOT(ISNUMBER(B3215)),"⚠ วันที่ไม่ถูกต้อง",IF(COUNTIFS(Setup!$L$6:$L$60,D3215,Setup!$M$6:$M$60,C3215)=0,"⚠ หมวดไม่ตรงประเภท","✓"))))</f>
        <v/>
      </c>
    </row>
    <row r="3216">
      <c r="B3216" s="113" t="n"/>
      <c r="C3216" s="114" t="n"/>
      <c r="D3216" s="115" t="n"/>
      <c r="E3216" s="116" t="n"/>
      <c r="F3216" s="115" t="n"/>
      <c r="G3216" s="117">
        <f>IF(COUNTA(B3216:E3216)=0,"",IF(COUNTA(B3216:E3216)&lt;4,"⚠ กรอกไม่ครบ",IF(NOT(ISNUMBER(B3216)),"⚠ วันที่ไม่ถูกต้อง",IF(COUNTIFS(Setup!$L$6:$L$60,D3216,Setup!$M$6:$M$60,C3216)=0,"⚠ หมวดไม่ตรงประเภท","✓"))))</f>
        <v/>
      </c>
    </row>
    <row r="3217">
      <c r="B3217" s="113" t="n"/>
      <c r="C3217" s="114" t="n"/>
      <c r="D3217" s="115" t="n"/>
      <c r="E3217" s="116" t="n"/>
      <c r="F3217" s="115" t="n"/>
      <c r="G3217" s="117">
        <f>IF(COUNTA(B3217:E3217)=0,"",IF(COUNTA(B3217:E3217)&lt;4,"⚠ กรอกไม่ครบ",IF(NOT(ISNUMBER(B3217)),"⚠ วันที่ไม่ถูกต้อง",IF(COUNTIFS(Setup!$L$6:$L$60,D3217,Setup!$M$6:$M$60,C3217)=0,"⚠ หมวดไม่ตรงประเภท","✓"))))</f>
        <v/>
      </c>
    </row>
    <row r="3218">
      <c r="B3218" s="113" t="n"/>
      <c r="C3218" s="114" t="n"/>
      <c r="D3218" s="115" t="n"/>
      <c r="E3218" s="116" t="n"/>
      <c r="F3218" s="115" t="n"/>
      <c r="G3218" s="117">
        <f>IF(COUNTA(B3218:E3218)=0,"",IF(COUNTA(B3218:E3218)&lt;4,"⚠ กรอกไม่ครบ",IF(NOT(ISNUMBER(B3218)),"⚠ วันที่ไม่ถูกต้อง",IF(COUNTIFS(Setup!$L$6:$L$60,D3218,Setup!$M$6:$M$60,C3218)=0,"⚠ หมวดไม่ตรงประเภท","✓"))))</f>
        <v/>
      </c>
    </row>
    <row r="3219">
      <c r="B3219" s="113" t="n"/>
      <c r="C3219" s="114" t="n"/>
      <c r="D3219" s="115" t="n"/>
      <c r="E3219" s="116" t="n"/>
      <c r="F3219" s="115" t="n"/>
      <c r="G3219" s="117">
        <f>IF(COUNTA(B3219:E3219)=0,"",IF(COUNTA(B3219:E3219)&lt;4,"⚠ กรอกไม่ครบ",IF(NOT(ISNUMBER(B3219)),"⚠ วันที่ไม่ถูกต้อง",IF(COUNTIFS(Setup!$L$6:$L$60,D3219,Setup!$M$6:$M$60,C3219)=0,"⚠ หมวดไม่ตรงประเภท","✓"))))</f>
        <v/>
      </c>
    </row>
    <row r="3220">
      <c r="B3220" s="113" t="n"/>
      <c r="C3220" s="114" t="n"/>
      <c r="D3220" s="115" t="n"/>
      <c r="E3220" s="116" t="n"/>
      <c r="F3220" s="115" t="n"/>
      <c r="G3220" s="117">
        <f>IF(COUNTA(B3220:E3220)=0,"",IF(COUNTA(B3220:E3220)&lt;4,"⚠ กรอกไม่ครบ",IF(NOT(ISNUMBER(B3220)),"⚠ วันที่ไม่ถูกต้อง",IF(COUNTIFS(Setup!$L$6:$L$60,D3220,Setup!$M$6:$M$60,C3220)=0,"⚠ หมวดไม่ตรงประเภท","✓"))))</f>
        <v/>
      </c>
    </row>
    <row r="3221">
      <c r="B3221" s="113" t="n"/>
      <c r="C3221" s="114" t="n"/>
      <c r="D3221" s="115" t="n"/>
      <c r="E3221" s="116" t="n"/>
      <c r="F3221" s="115" t="n"/>
      <c r="G3221" s="117">
        <f>IF(COUNTA(B3221:E3221)=0,"",IF(COUNTA(B3221:E3221)&lt;4,"⚠ กรอกไม่ครบ",IF(NOT(ISNUMBER(B3221)),"⚠ วันที่ไม่ถูกต้อง",IF(COUNTIFS(Setup!$L$6:$L$60,D3221,Setup!$M$6:$M$60,C3221)=0,"⚠ หมวดไม่ตรงประเภท","✓"))))</f>
        <v/>
      </c>
    </row>
    <row r="3222">
      <c r="B3222" s="113" t="n"/>
      <c r="C3222" s="114" t="n"/>
      <c r="D3222" s="115" t="n"/>
      <c r="E3222" s="116" t="n"/>
      <c r="F3222" s="115" t="n"/>
      <c r="G3222" s="117">
        <f>IF(COUNTA(B3222:E3222)=0,"",IF(COUNTA(B3222:E3222)&lt;4,"⚠ กรอกไม่ครบ",IF(NOT(ISNUMBER(B3222)),"⚠ วันที่ไม่ถูกต้อง",IF(COUNTIFS(Setup!$L$6:$L$60,D3222,Setup!$M$6:$M$60,C3222)=0,"⚠ หมวดไม่ตรงประเภท","✓"))))</f>
        <v/>
      </c>
    </row>
    <row r="3223">
      <c r="B3223" s="113" t="n"/>
      <c r="C3223" s="114" t="n"/>
      <c r="D3223" s="115" t="n"/>
      <c r="E3223" s="116" t="n"/>
      <c r="F3223" s="115" t="n"/>
      <c r="G3223" s="117">
        <f>IF(COUNTA(B3223:E3223)=0,"",IF(COUNTA(B3223:E3223)&lt;4,"⚠ กรอกไม่ครบ",IF(NOT(ISNUMBER(B3223)),"⚠ วันที่ไม่ถูกต้อง",IF(COUNTIFS(Setup!$L$6:$L$60,D3223,Setup!$M$6:$M$60,C3223)=0,"⚠ หมวดไม่ตรงประเภท","✓"))))</f>
        <v/>
      </c>
    </row>
    <row r="3224">
      <c r="B3224" s="113" t="n"/>
      <c r="C3224" s="114" t="n"/>
      <c r="D3224" s="115" t="n"/>
      <c r="E3224" s="116" t="n"/>
      <c r="F3224" s="115" t="n"/>
      <c r="G3224" s="117">
        <f>IF(COUNTA(B3224:E3224)=0,"",IF(COUNTA(B3224:E3224)&lt;4,"⚠ กรอกไม่ครบ",IF(NOT(ISNUMBER(B3224)),"⚠ วันที่ไม่ถูกต้อง",IF(COUNTIFS(Setup!$L$6:$L$60,D3224,Setup!$M$6:$M$60,C3224)=0,"⚠ หมวดไม่ตรงประเภท","✓"))))</f>
        <v/>
      </c>
    </row>
    <row r="3225">
      <c r="B3225" s="113" t="n"/>
      <c r="C3225" s="114" t="n"/>
      <c r="D3225" s="115" t="n"/>
      <c r="E3225" s="116" t="n"/>
      <c r="F3225" s="115" t="n"/>
      <c r="G3225" s="117">
        <f>IF(COUNTA(B3225:E3225)=0,"",IF(COUNTA(B3225:E3225)&lt;4,"⚠ กรอกไม่ครบ",IF(NOT(ISNUMBER(B3225)),"⚠ วันที่ไม่ถูกต้อง",IF(COUNTIFS(Setup!$L$6:$L$60,D3225,Setup!$M$6:$M$60,C3225)=0,"⚠ หมวดไม่ตรงประเภท","✓"))))</f>
        <v/>
      </c>
    </row>
    <row r="3226">
      <c r="B3226" s="113" t="n"/>
      <c r="C3226" s="114" t="n"/>
      <c r="D3226" s="115" t="n"/>
      <c r="E3226" s="116" t="n"/>
      <c r="F3226" s="115" t="n"/>
      <c r="G3226" s="117">
        <f>IF(COUNTA(B3226:E3226)=0,"",IF(COUNTA(B3226:E3226)&lt;4,"⚠ กรอกไม่ครบ",IF(NOT(ISNUMBER(B3226)),"⚠ วันที่ไม่ถูกต้อง",IF(COUNTIFS(Setup!$L$6:$L$60,D3226,Setup!$M$6:$M$60,C3226)=0,"⚠ หมวดไม่ตรงประเภท","✓"))))</f>
        <v/>
      </c>
    </row>
    <row r="3227">
      <c r="B3227" s="113" t="n"/>
      <c r="C3227" s="114" t="n"/>
      <c r="D3227" s="115" t="n"/>
      <c r="E3227" s="116" t="n"/>
      <c r="F3227" s="115" t="n"/>
      <c r="G3227" s="117">
        <f>IF(COUNTA(B3227:E3227)=0,"",IF(COUNTA(B3227:E3227)&lt;4,"⚠ กรอกไม่ครบ",IF(NOT(ISNUMBER(B3227)),"⚠ วันที่ไม่ถูกต้อง",IF(COUNTIFS(Setup!$L$6:$L$60,D3227,Setup!$M$6:$M$60,C3227)=0,"⚠ หมวดไม่ตรงประเภท","✓"))))</f>
        <v/>
      </c>
    </row>
    <row r="3228">
      <c r="B3228" s="113" t="n"/>
      <c r="C3228" s="114" t="n"/>
      <c r="D3228" s="115" t="n"/>
      <c r="E3228" s="116" t="n"/>
      <c r="F3228" s="115" t="n"/>
      <c r="G3228" s="117">
        <f>IF(COUNTA(B3228:E3228)=0,"",IF(COUNTA(B3228:E3228)&lt;4,"⚠ กรอกไม่ครบ",IF(NOT(ISNUMBER(B3228)),"⚠ วันที่ไม่ถูกต้อง",IF(COUNTIFS(Setup!$L$6:$L$60,D3228,Setup!$M$6:$M$60,C3228)=0,"⚠ หมวดไม่ตรงประเภท","✓"))))</f>
        <v/>
      </c>
    </row>
    <row r="3229">
      <c r="B3229" s="113" t="n"/>
      <c r="C3229" s="114" t="n"/>
      <c r="D3229" s="115" t="n"/>
      <c r="E3229" s="116" t="n"/>
      <c r="F3229" s="115" t="n"/>
      <c r="G3229" s="117">
        <f>IF(COUNTA(B3229:E3229)=0,"",IF(COUNTA(B3229:E3229)&lt;4,"⚠ กรอกไม่ครบ",IF(NOT(ISNUMBER(B3229)),"⚠ วันที่ไม่ถูกต้อง",IF(COUNTIFS(Setup!$L$6:$L$60,D3229,Setup!$M$6:$M$60,C3229)=0,"⚠ หมวดไม่ตรงประเภท","✓"))))</f>
        <v/>
      </c>
    </row>
    <row r="3230">
      <c r="B3230" s="113" t="n"/>
      <c r="C3230" s="114" t="n"/>
      <c r="D3230" s="115" t="n"/>
      <c r="E3230" s="116" t="n"/>
      <c r="F3230" s="115" t="n"/>
      <c r="G3230" s="117">
        <f>IF(COUNTA(B3230:E3230)=0,"",IF(COUNTA(B3230:E3230)&lt;4,"⚠ กรอกไม่ครบ",IF(NOT(ISNUMBER(B3230)),"⚠ วันที่ไม่ถูกต้อง",IF(COUNTIFS(Setup!$L$6:$L$60,D3230,Setup!$M$6:$M$60,C3230)=0,"⚠ หมวดไม่ตรงประเภท","✓"))))</f>
        <v/>
      </c>
    </row>
    <row r="3231">
      <c r="B3231" s="113" t="n"/>
      <c r="C3231" s="114" t="n"/>
      <c r="D3231" s="115" t="n"/>
      <c r="E3231" s="116" t="n"/>
      <c r="F3231" s="115" t="n"/>
      <c r="G3231" s="117">
        <f>IF(COUNTA(B3231:E3231)=0,"",IF(COUNTA(B3231:E3231)&lt;4,"⚠ กรอกไม่ครบ",IF(NOT(ISNUMBER(B3231)),"⚠ วันที่ไม่ถูกต้อง",IF(COUNTIFS(Setup!$L$6:$L$60,D3231,Setup!$M$6:$M$60,C3231)=0,"⚠ หมวดไม่ตรงประเภท","✓"))))</f>
        <v/>
      </c>
    </row>
    <row r="3232">
      <c r="B3232" s="113" t="n"/>
      <c r="C3232" s="114" t="n"/>
      <c r="D3232" s="115" t="n"/>
      <c r="E3232" s="116" t="n"/>
      <c r="F3232" s="115" t="n"/>
      <c r="G3232" s="117">
        <f>IF(COUNTA(B3232:E3232)=0,"",IF(COUNTA(B3232:E3232)&lt;4,"⚠ กรอกไม่ครบ",IF(NOT(ISNUMBER(B3232)),"⚠ วันที่ไม่ถูกต้อง",IF(COUNTIFS(Setup!$L$6:$L$60,D3232,Setup!$M$6:$M$60,C3232)=0,"⚠ หมวดไม่ตรงประเภท","✓"))))</f>
        <v/>
      </c>
    </row>
    <row r="3233">
      <c r="B3233" s="113" t="n"/>
      <c r="C3233" s="114" t="n"/>
      <c r="D3233" s="115" t="n"/>
      <c r="E3233" s="116" t="n"/>
      <c r="F3233" s="115" t="n"/>
      <c r="G3233" s="117">
        <f>IF(COUNTA(B3233:E3233)=0,"",IF(COUNTA(B3233:E3233)&lt;4,"⚠ กรอกไม่ครบ",IF(NOT(ISNUMBER(B3233)),"⚠ วันที่ไม่ถูกต้อง",IF(COUNTIFS(Setup!$L$6:$L$60,D3233,Setup!$M$6:$M$60,C3233)=0,"⚠ หมวดไม่ตรงประเภท","✓"))))</f>
        <v/>
      </c>
    </row>
    <row r="3234">
      <c r="B3234" s="113" t="n"/>
      <c r="C3234" s="114" t="n"/>
      <c r="D3234" s="115" t="n"/>
      <c r="E3234" s="116" t="n"/>
      <c r="F3234" s="115" t="n"/>
      <c r="G3234" s="117">
        <f>IF(COUNTA(B3234:E3234)=0,"",IF(COUNTA(B3234:E3234)&lt;4,"⚠ กรอกไม่ครบ",IF(NOT(ISNUMBER(B3234)),"⚠ วันที่ไม่ถูกต้อง",IF(COUNTIFS(Setup!$L$6:$L$60,D3234,Setup!$M$6:$M$60,C3234)=0,"⚠ หมวดไม่ตรงประเภท","✓"))))</f>
        <v/>
      </c>
    </row>
    <row r="3235">
      <c r="B3235" s="113" t="n"/>
      <c r="C3235" s="114" t="n"/>
      <c r="D3235" s="115" t="n"/>
      <c r="E3235" s="116" t="n"/>
      <c r="F3235" s="115" t="n"/>
      <c r="G3235" s="117">
        <f>IF(COUNTA(B3235:E3235)=0,"",IF(COUNTA(B3235:E3235)&lt;4,"⚠ กรอกไม่ครบ",IF(NOT(ISNUMBER(B3235)),"⚠ วันที่ไม่ถูกต้อง",IF(COUNTIFS(Setup!$L$6:$L$60,D3235,Setup!$M$6:$M$60,C3235)=0,"⚠ หมวดไม่ตรงประเภท","✓"))))</f>
        <v/>
      </c>
    </row>
    <row r="3236">
      <c r="B3236" s="113" t="n"/>
      <c r="C3236" s="114" t="n"/>
      <c r="D3236" s="115" t="n"/>
      <c r="E3236" s="116" t="n"/>
      <c r="F3236" s="115" t="n"/>
      <c r="G3236" s="117">
        <f>IF(COUNTA(B3236:E3236)=0,"",IF(COUNTA(B3236:E3236)&lt;4,"⚠ กรอกไม่ครบ",IF(NOT(ISNUMBER(B3236)),"⚠ วันที่ไม่ถูกต้อง",IF(COUNTIFS(Setup!$L$6:$L$60,D3236,Setup!$M$6:$M$60,C3236)=0,"⚠ หมวดไม่ตรงประเภท","✓"))))</f>
        <v/>
      </c>
    </row>
    <row r="3237">
      <c r="B3237" s="113" t="n"/>
      <c r="C3237" s="114" t="n"/>
      <c r="D3237" s="115" t="n"/>
      <c r="E3237" s="116" t="n"/>
      <c r="F3237" s="115" t="n"/>
      <c r="G3237" s="117">
        <f>IF(COUNTA(B3237:E3237)=0,"",IF(COUNTA(B3237:E3237)&lt;4,"⚠ กรอกไม่ครบ",IF(NOT(ISNUMBER(B3237)),"⚠ วันที่ไม่ถูกต้อง",IF(COUNTIFS(Setup!$L$6:$L$60,D3237,Setup!$M$6:$M$60,C3237)=0,"⚠ หมวดไม่ตรงประเภท","✓"))))</f>
        <v/>
      </c>
    </row>
    <row r="3238">
      <c r="B3238" s="113" t="n"/>
      <c r="C3238" s="114" t="n"/>
      <c r="D3238" s="115" t="n"/>
      <c r="E3238" s="116" t="n"/>
      <c r="F3238" s="115" t="n"/>
      <c r="G3238" s="117">
        <f>IF(COUNTA(B3238:E3238)=0,"",IF(COUNTA(B3238:E3238)&lt;4,"⚠ กรอกไม่ครบ",IF(NOT(ISNUMBER(B3238)),"⚠ วันที่ไม่ถูกต้อง",IF(COUNTIFS(Setup!$L$6:$L$60,D3238,Setup!$M$6:$M$60,C3238)=0,"⚠ หมวดไม่ตรงประเภท","✓"))))</f>
        <v/>
      </c>
    </row>
    <row r="3239">
      <c r="B3239" s="113" t="n"/>
      <c r="C3239" s="114" t="n"/>
      <c r="D3239" s="115" t="n"/>
      <c r="E3239" s="116" t="n"/>
      <c r="F3239" s="115" t="n"/>
      <c r="G3239" s="117">
        <f>IF(COUNTA(B3239:E3239)=0,"",IF(COUNTA(B3239:E3239)&lt;4,"⚠ กรอกไม่ครบ",IF(NOT(ISNUMBER(B3239)),"⚠ วันที่ไม่ถูกต้อง",IF(COUNTIFS(Setup!$L$6:$L$60,D3239,Setup!$M$6:$M$60,C3239)=0,"⚠ หมวดไม่ตรงประเภท","✓"))))</f>
        <v/>
      </c>
    </row>
    <row r="3240">
      <c r="B3240" s="113" t="n"/>
      <c r="C3240" s="114" t="n"/>
      <c r="D3240" s="115" t="n"/>
      <c r="E3240" s="116" t="n"/>
      <c r="F3240" s="115" t="n"/>
      <c r="G3240" s="117">
        <f>IF(COUNTA(B3240:E3240)=0,"",IF(COUNTA(B3240:E3240)&lt;4,"⚠ กรอกไม่ครบ",IF(NOT(ISNUMBER(B3240)),"⚠ วันที่ไม่ถูกต้อง",IF(COUNTIFS(Setup!$L$6:$L$60,D3240,Setup!$M$6:$M$60,C3240)=0,"⚠ หมวดไม่ตรงประเภท","✓"))))</f>
        <v/>
      </c>
    </row>
    <row r="3241">
      <c r="B3241" s="113" t="n"/>
      <c r="C3241" s="114" t="n"/>
      <c r="D3241" s="115" t="n"/>
      <c r="E3241" s="116" t="n"/>
      <c r="F3241" s="115" t="n"/>
      <c r="G3241" s="117">
        <f>IF(COUNTA(B3241:E3241)=0,"",IF(COUNTA(B3241:E3241)&lt;4,"⚠ กรอกไม่ครบ",IF(NOT(ISNUMBER(B3241)),"⚠ วันที่ไม่ถูกต้อง",IF(COUNTIFS(Setup!$L$6:$L$60,D3241,Setup!$M$6:$M$60,C3241)=0,"⚠ หมวดไม่ตรงประเภท","✓"))))</f>
        <v/>
      </c>
    </row>
    <row r="3242">
      <c r="B3242" s="113" t="n"/>
      <c r="C3242" s="114" t="n"/>
      <c r="D3242" s="115" t="n"/>
      <c r="E3242" s="116" t="n"/>
      <c r="F3242" s="115" t="n"/>
      <c r="G3242" s="117">
        <f>IF(COUNTA(B3242:E3242)=0,"",IF(COUNTA(B3242:E3242)&lt;4,"⚠ กรอกไม่ครบ",IF(NOT(ISNUMBER(B3242)),"⚠ วันที่ไม่ถูกต้อง",IF(COUNTIFS(Setup!$L$6:$L$60,D3242,Setup!$M$6:$M$60,C3242)=0,"⚠ หมวดไม่ตรงประเภท","✓"))))</f>
        <v/>
      </c>
    </row>
    <row r="3243">
      <c r="B3243" s="113" t="n"/>
      <c r="C3243" s="114" t="n"/>
      <c r="D3243" s="115" t="n"/>
      <c r="E3243" s="116" t="n"/>
      <c r="F3243" s="115" t="n"/>
      <c r="G3243" s="117">
        <f>IF(COUNTA(B3243:E3243)=0,"",IF(COUNTA(B3243:E3243)&lt;4,"⚠ กรอกไม่ครบ",IF(NOT(ISNUMBER(B3243)),"⚠ วันที่ไม่ถูกต้อง",IF(COUNTIFS(Setup!$L$6:$L$60,D3243,Setup!$M$6:$M$60,C3243)=0,"⚠ หมวดไม่ตรงประเภท","✓"))))</f>
        <v/>
      </c>
    </row>
    <row r="3244">
      <c r="B3244" s="113" t="n"/>
      <c r="C3244" s="114" t="n"/>
      <c r="D3244" s="115" t="n"/>
      <c r="E3244" s="116" t="n"/>
      <c r="F3244" s="115" t="n"/>
      <c r="G3244" s="117">
        <f>IF(COUNTA(B3244:E3244)=0,"",IF(COUNTA(B3244:E3244)&lt;4,"⚠ กรอกไม่ครบ",IF(NOT(ISNUMBER(B3244)),"⚠ วันที่ไม่ถูกต้อง",IF(COUNTIFS(Setup!$L$6:$L$60,D3244,Setup!$M$6:$M$60,C3244)=0,"⚠ หมวดไม่ตรงประเภท","✓"))))</f>
        <v/>
      </c>
    </row>
    <row r="3245">
      <c r="B3245" s="113" t="n"/>
      <c r="C3245" s="114" t="n"/>
      <c r="D3245" s="115" t="n"/>
      <c r="E3245" s="116" t="n"/>
      <c r="F3245" s="115" t="n"/>
      <c r="G3245" s="117">
        <f>IF(COUNTA(B3245:E3245)=0,"",IF(COUNTA(B3245:E3245)&lt;4,"⚠ กรอกไม่ครบ",IF(NOT(ISNUMBER(B3245)),"⚠ วันที่ไม่ถูกต้อง",IF(COUNTIFS(Setup!$L$6:$L$60,D3245,Setup!$M$6:$M$60,C3245)=0,"⚠ หมวดไม่ตรงประเภท","✓"))))</f>
        <v/>
      </c>
    </row>
    <row r="3246">
      <c r="B3246" s="113" t="n"/>
      <c r="C3246" s="114" t="n"/>
      <c r="D3246" s="115" t="n"/>
      <c r="E3246" s="116" t="n"/>
      <c r="F3246" s="115" t="n"/>
      <c r="G3246" s="117">
        <f>IF(COUNTA(B3246:E3246)=0,"",IF(COUNTA(B3246:E3246)&lt;4,"⚠ กรอกไม่ครบ",IF(NOT(ISNUMBER(B3246)),"⚠ วันที่ไม่ถูกต้อง",IF(COUNTIFS(Setup!$L$6:$L$60,D3246,Setup!$M$6:$M$60,C3246)=0,"⚠ หมวดไม่ตรงประเภท","✓"))))</f>
        <v/>
      </c>
    </row>
    <row r="3247">
      <c r="B3247" s="113" t="n"/>
      <c r="C3247" s="114" t="n"/>
      <c r="D3247" s="115" t="n"/>
      <c r="E3247" s="116" t="n"/>
      <c r="F3247" s="115" t="n"/>
      <c r="G3247" s="117">
        <f>IF(COUNTA(B3247:E3247)=0,"",IF(COUNTA(B3247:E3247)&lt;4,"⚠ กรอกไม่ครบ",IF(NOT(ISNUMBER(B3247)),"⚠ วันที่ไม่ถูกต้อง",IF(COUNTIFS(Setup!$L$6:$L$60,D3247,Setup!$M$6:$M$60,C3247)=0,"⚠ หมวดไม่ตรงประเภท","✓"))))</f>
        <v/>
      </c>
    </row>
    <row r="3248">
      <c r="B3248" s="113" t="n"/>
      <c r="C3248" s="114" t="n"/>
      <c r="D3248" s="115" t="n"/>
      <c r="E3248" s="116" t="n"/>
      <c r="F3248" s="115" t="n"/>
      <c r="G3248" s="117">
        <f>IF(COUNTA(B3248:E3248)=0,"",IF(COUNTA(B3248:E3248)&lt;4,"⚠ กรอกไม่ครบ",IF(NOT(ISNUMBER(B3248)),"⚠ วันที่ไม่ถูกต้อง",IF(COUNTIFS(Setup!$L$6:$L$60,D3248,Setup!$M$6:$M$60,C3248)=0,"⚠ หมวดไม่ตรงประเภท","✓"))))</f>
        <v/>
      </c>
    </row>
    <row r="3249">
      <c r="B3249" s="113" t="n"/>
      <c r="C3249" s="114" t="n"/>
      <c r="D3249" s="115" t="n"/>
      <c r="E3249" s="116" t="n"/>
      <c r="F3249" s="115" t="n"/>
      <c r="G3249" s="117">
        <f>IF(COUNTA(B3249:E3249)=0,"",IF(COUNTA(B3249:E3249)&lt;4,"⚠ กรอกไม่ครบ",IF(NOT(ISNUMBER(B3249)),"⚠ วันที่ไม่ถูกต้อง",IF(COUNTIFS(Setup!$L$6:$L$60,D3249,Setup!$M$6:$M$60,C3249)=0,"⚠ หมวดไม่ตรงประเภท","✓"))))</f>
        <v/>
      </c>
    </row>
    <row r="3250">
      <c r="B3250" s="113" t="n"/>
      <c r="C3250" s="114" t="n"/>
      <c r="D3250" s="115" t="n"/>
      <c r="E3250" s="116" t="n"/>
      <c r="F3250" s="115" t="n"/>
      <c r="G3250" s="117">
        <f>IF(COUNTA(B3250:E3250)=0,"",IF(COUNTA(B3250:E3250)&lt;4,"⚠ กรอกไม่ครบ",IF(NOT(ISNUMBER(B3250)),"⚠ วันที่ไม่ถูกต้อง",IF(COUNTIFS(Setup!$L$6:$L$60,D3250,Setup!$M$6:$M$60,C3250)=0,"⚠ หมวดไม่ตรงประเภท","✓"))))</f>
        <v/>
      </c>
    </row>
    <row r="3251">
      <c r="B3251" s="113" t="n"/>
      <c r="C3251" s="114" t="n"/>
      <c r="D3251" s="115" t="n"/>
      <c r="E3251" s="116" t="n"/>
      <c r="F3251" s="115" t="n"/>
      <c r="G3251" s="117">
        <f>IF(COUNTA(B3251:E3251)=0,"",IF(COUNTA(B3251:E3251)&lt;4,"⚠ กรอกไม่ครบ",IF(NOT(ISNUMBER(B3251)),"⚠ วันที่ไม่ถูกต้อง",IF(COUNTIFS(Setup!$L$6:$L$60,D3251,Setup!$M$6:$M$60,C3251)=0,"⚠ หมวดไม่ตรงประเภท","✓"))))</f>
        <v/>
      </c>
    </row>
    <row r="3252">
      <c r="B3252" s="113" t="n"/>
      <c r="C3252" s="114" t="n"/>
      <c r="D3252" s="115" t="n"/>
      <c r="E3252" s="116" t="n"/>
      <c r="F3252" s="115" t="n"/>
      <c r="G3252" s="117">
        <f>IF(COUNTA(B3252:E3252)=0,"",IF(COUNTA(B3252:E3252)&lt;4,"⚠ กรอกไม่ครบ",IF(NOT(ISNUMBER(B3252)),"⚠ วันที่ไม่ถูกต้อง",IF(COUNTIFS(Setup!$L$6:$L$60,D3252,Setup!$M$6:$M$60,C3252)=0,"⚠ หมวดไม่ตรงประเภท","✓"))))</f>
        <v/>
      </c>
    </row>
    <row r="3253">
      <c r="B3253" s="113" t="n"/>
      <c r="C3253" s="114" t="n"/>
      <c r="D3253" s="115" t="n"/>
      <c r="E3253" s="116" t="n"/>
      <c r="F3253" s="115" t="n"/>
      <c r="G3253" s="117">
        <f>IF(COUNTA(B3253:E3253)=0,"",IF(COUNTA(B3253:E3253)&lt;4,"⚠ กรอกไม่ครบ",IF(NOT(ISNUMBER(B3253)),"⚠ วันที่ไม่ถูกต้อง",IF(COUNTIFS(Setup!$L$6:$L$60,D3253,Setup!$M$6:$M$60,C3253)=0,"⚠ หมวดไม่ตรงประเภท","✓"))))</f>
        <v/>
      </c>
    </row>
    <row r="3254">
      <c r="B3254" s="113" t="n"/>
      <c r="C3254" s="114" t="n"/>
      <c r="D3254" s="115" t="n"/>
      <c r="E3254" s="116" t="n"/>
      <c r="F3254" s="115" t="n"/>
      <c r="G3254" s="117">
        <f>IF(COUNTA(B3254:E3254)=0,"",IF(COUNTA(B3254:E3254)&lt;4,"⚠ กรอกไม่ครบ",IF(NOT(ISNUMBER(B3254)),"⚠ วันที่ไม่ถูกต้อง",IF(COUNTIFS(Setup!$L$6:$L$60,D3254,Setup!$M$6:$M$60,C3254)=0,"⚠ หมวดไม่ตรงประเภท","✓"))))</f>
        <v/>
      </c>
    </row>
    <row r="3255">
      <c r="B3255" s="113" t="n"/>
      <c r="C3255" s="114" t="n"/>
      <c r="D3255" s="115" t="n"/>
      <c r="E3255" s="116" t="n"/>
      <c r="F3255" s="115" t="n"/>
      <c r="G3255" s="117">
        <f>IF(COUNTA(B3255:E3255)=0,"",IF(COUNTA(B3255:E3255)&lt;4,"⚠ กรอกไม่ครบ",IF(NOT(ISNUMBER(B3255)),"⚠ วันที่ไม่ถูกต้อง",IF(COUNTIFS(Setup!$L$6:$L$60,D3255,Setup!$M$6:$M$60,C3255)=0,"⚠ หมวดไม่ตรงประเภท","✓"))))</f>
        <v/>
      </c>
    </row>
    <row r="3256">
      <c r="B3256" s="113" t="n"/>
      <c r="C3256" s="114" t="n"/>
      <c r="D3256" s="115" t="n"/>
      <c r="E3256" s="116" t="n"/>
      <c r="F3256" s="115" t="n"/>
      <c r="G3256" s="117">
        <f>IF(COUNTA(B3256:E3256)=0,"",IF(COUNTA(B3256:E3256)&lt;4,"⚠ กรอกไม่ครบ",IF(NOT(ISNUMBER(B3256)),"⚠ วันที่ไม่ถูกต้อง",IF(COUNTIFS(Setup!$L$6:$L$60,D3256,Setup!$M$6:$M$60,C3256)=0,"⚠ หมวดไม่ตรงประเภท","✓"))))</f>
        <v/>
      </c>
    </row>
    <row r="3257">
      <c r="B3257" s="113" t="n"/>
      <c r="C3257" s="114" t="n"/>
      <c r="D3257" s="115" t="n"/>
      <c r="E3257" s="116" t="n"/>
      <c r="F3257" s="115" t="n"/>
      <c r="G3257" s="117">
        <f>IF(COUNTA(B3257:E3257)=0,"",IF(COUNTA(B3257:E3257)&lt;4,"⚠ กรอกไม่ครบ",IF(NOT(ISNUMBER(B3257)),"⚠ วันที่ไม่ถูกต้อง",IF(COUNTIFS(Setup!$L$6:$L$60,D3257,Setup!$M$6:$M$60,C3257)=0,"⚠ หมวดไม่ตรงประเภท","✓"))))</f>
        <v/>
      </c>
    </row>
    <row r="3258">
      <c r="B3258" s="113" t="n"/>
      <c r="C3258" s="114" t="n"/>
      <c r="D3258" s="115" t="n"/>
      <c r="E3258" s="116" t="n"/>
      <c r="F3258" s="115" t="n"/>
      <c r="G3258" s="117">
        <f>IF(COUNTA(B3258:E3258)=0,"",IF(COUNTA(B3258:E3258)&lt;4,"⚠ กรอกไม่ครบ",IF(NOT(ISNUMBER(B3258)),"⚠ วันที่ไม่ถูกต้อง",IF(COUNTIFS(Setup!$L$6:$L$60,D3258,Setup!$M$6:$M$60,C3258)=0,"⚠ หมวดไม่ตรงประเภท","✓"))))</f>
        <v/>
      </c>
    </row>
    <row r="3259">
      <c r="B3259" s="113" t="n"/>
      <c r="C3259" s="114" t="n"/>
      <c r="D3259" s="115" t="n"/>
      <c r="E3259" s="116" t="n"/>
      <c r="F3259" s="115" t="n"/>
      <c r="G3259" s="117">
        <f>IF(COUNTA(B3259:E3259)=0,"",IF(COUNTA(B3259:E3259)&lt;4,"⚠ กรอกไม่ครบ",IF(NOT(ISNUMBER(B3259)),"⚠ วันที่ไม่ถูกต้อง",IF(COUNTIFS(Setup!$L$6:$L$60,D3259,Setup!$M$6:$M$60,C3259)=0,"⚠ หมวดไม่ตรงประเภท","✓"))))</f>
        <v/>
      </c>
    </row>
    <row r="3260">
      <c r="B3260" s="113" t="n"/>
      <c r="C3260" s="114" t="n"/>
      <c r="D3260" s="115" t="n"/>
      <c r="E3260" s="116" t="n"/>
      <c r="F3260" s="115" t="n"/>
      <c r="G3260" s="117">
        <f>IF(COUNTA(B3260:E3260)=0,"",IF(COUNTA(B3260:E3260)&lt;4,"⚠ กรอกไม่ครบ",IF(NOT(ISNUMBER(B3260)),"⚠ วันที่ไม่ถูกต้อง",IF(COUNTIFS(Setup!$L$6:$L$60,D3260,Setup!$M$6:$M$60,C3260)=0,"⚠ หมวดไม่ตรงประเภท","✓"))))</f>
        <v/>
      </c>
    </row>
    <row r="3261">
      <c r="B3261" s="113" t="n"/>
      <c r="C3261" s="114" t="n"/>
      <c r="D3261" s="115" t="n"/>
      <c r="E3261" s="116" t="n"/>
      <c r="F3261" s="115" t="n"/>
      <c r="G3261" s="117">
        <f>IF(COUNTA(B3261:E3261)=0,"",IF(COUNTA(B3261:E3261)&lt;4,"⚠ กรอกไม่ครบ",IF(NOT(ISNUMBER(B3261)),"⚠ วันที่ไม่ถูกต้อง",IF(COUNTIFS(Setup!$L$6:$L$60,D3261,Setup!$M$6:$M$60,C3261)=0,"⚠ หมวดไม่ตรงประเภท","✓"))))</f>
        <v/>
      </c>
    </row>
    <row r="3262">
      <c r="B3262" s="113" t="n"/>
      <c r="C3262" s="114" t="n"/>
      <c r="D3262" s="115" t="n"/>
      <c r="E3262" s="116" t="n"/>
      <c r="F3262" s="115" t="n"/>
      <c r="G3262" s="117">
        <f>IF(COUNTA(B3262:E3262)=0,"",IF(COUNTA(B3262:E3262)&lt;4,"⚠ กรอกไม่ครบ",IF(NOT(ISNUMBER(B3262)),"⚠ วันที่ไม่ถูกต้อง",IF(COUNTIFS(Setup!$L$6:$L$60,D3262,Setup!$M$6:$M$60,C3262)=0,"⚠ หมวดไม่ตรงประเภท","✓"))))</f>
        <v/>
      </c>
    </row>
    <row r="3263">
      <c r="B3263" s="113" t="n"/>
      <c r="C3263" s="114" t="n"/>
      <c r="D3263" s="115" t="n"/>
      <c r="E3263" s="116" t="n"/>
      <c r="F3263" s="115" t="n"/>
      <c r="G3263" s="117">
        <f>IF(COUNTA(B3263:E3263)=0,"",IF(COUNTA(B3263:E3263)&lt;4,"⚠ กรอกไม่ครบ",IF(NOT(ISNUMBER(B3263)),"⚠ วันที่ไม่ถูกต้อง",IF(COUNTIFS(Setup!$L$6:$L$60,D3263,Setup!$M$6:$M$60,C3263)=0,"⚠ หมวดไม่ตรงประเภท","✓"))))</f>
        <v/>
      </c>
    </row>
    <row r="3264">
      <c r="B3264" s="113" t="n"/>
      <c r="C3264" s="114" t="n"/>
      <c r="D3264" s="115" t="n"/>
      <c r="E3264" s="116" t="n"/>
      <c r="F3264" s="115" t="n"/>
      <c r="G3264" s="117">
        <f>IF(COUNTA(B3264:E3264)=0,"",IF(COUNTA(B3264:E3264)&lt;4,"⚠ กรอกไม่ครบ",IF(NOT(ISNUMBER(B3264)),"⚠ วันที่ไม่ถูกต้อง",IF(COUNTIFS(Setup!$L$6:$L$60,D3264,Setup!$M$6:$M$60,C3264)=0,"⚠ หมวดไม่ตรงประเภท","✓"))))</f>
        <v/>
      </c>
    </row>
    <row r="3265">
      <c r="B3265" s="113" t="n"/>
      <c r="C3265" s="114" t="n"/>
      <c r="D3265" s="115" t="n"/>
      <c r="E3265" s="116" t="n"/>
      <c r="F3265" s="115" t="n"/>
      <c r="G3265" s="117">
        <f>IF(COUNTA(B3265:E3265)=0,"",IF(COUNTA(B3265:E3265)&lt;4,"⚠ กรอกไม่ครบ",IF(NOT(ISNUMBER(B3265)),"⚠ วันที่ไม่ถูกต้อง",IF(COUNTIFS(Setup!$L$6:$L$60,D3265,Setup!$M$6:$M$60,C3265)=0,"⚠ หมวดไม่ตรงประเภท","✓"))))</f>
        <v/>
      </c>
    </row>
    <row r="3266">
      <c r="B3266" s="113" t="n"/>
      <c r="C3266" s="114" t="n"/>
      <c r="D3266" s="115" t="n"/>
      <c r="E3266" s="116" t="n"/>
      <c r="F3266" s="115" t="n"/>
      <c r="G3266" s="117">
        <f>IF(COUNTA(B3266:E3266)=0,"",IF(COUNTA(B3266:E3266)&lt;4,"⚠ กรอกไม่ครบ",IF(NOT(ISNUMBER(B3266)),"⚠ วันที่ไม่ถูกต้อง",IF(COUNTIFS(Setup!$L$6:$L$60,D3266,Setup!$M$6:$M$60,C3266)=0,"⚠ หมวดไม่ตรงประเภท","✓"))))</f>
        <v/>
      </c>
    </row>
    <row r="3267">
      <c r="B3267" s="113" t="n"/>
      <c r="C3267" s="114" t="n"/>
      <c r="D3267" s="115" t="n"/>
      <c r="E3267" s="116" t="n"/>
      <c r="F3267" s="115" t="n"/>
      <c r="G3267" s="117">
        <f>IF(COUNTA(B3267:E3267)=0,"",IF(COUNTA(B3267:E3267)&lt;4,"⚠ กรอกไม่ครบ",IF(NOT(ISNUMBER(B3267)),"⚠ วันที่ไม่ถูกต้อง",IF(COUNTIFS(Setup!$L$6:$L$60,D3267,Setup!$M$6:$M$60,C3267)=0,"⚠ หมวดไม่ตรงประเภท","✓"))))</f>
        <v/>
      </c>
    </row>
    <row r="3268">
      <c r="B3268" s="113" t="n"/>
      <c r="C3268" s="114" t="n"/>
      <c r="D3268" s="115" t="n"/>
      <c r="E3268" s="116" t="n"/>
      <c r="F3268" s="115" t="n"/>
      <c r="G3268" s="117">
        <f>IF(COUNTA(B3268:E3268)=0,"",IF(COUNTA(B3268:E3268)&lt;4,"⚠ กรอกไม่ครบ",IF(NOT(ISNUMBER(B3268)),"⚠ วันที่ไม่ถูกต้อง",IF(COUNTIFS(Setup!$L$6:$L$60,D3268,Setup!$M$6:$M$60,C3268)=0,"⚠ หมวดไม่ตรงประเภท","✓"))))</f>
        <v/>
      </c>
    </row>
    <row r="3269">
      <c r="B3269" s="113" t="n"/>
      <c r="C3269" s="114" t="n"/>
      <c r="D3269" s="115" t="n"/>
      <c r="E3269" s="116" t="n"/>
      <c r="F3269" s="115" t="n"/>
      <c r="G3269" s="117">
        <f>IF(COUNTA(B3269:E3269)=0,"",IF(COUNTA(B3269:E3269)&lt;4,"⚠ กรอกไม่ครบ",IF(NOT(ISNUMBER(B3269)),"⚠ วันที่ไม่ถูกต้อง",IF(COUNTIFS(Setup!$L$6:$L$60,D3269,Setup!$M$6:$M$60,C3269)=0,"⚠ หมวดไม่ตรงประเภท","✓"))))</f>
        <v/>
      </c>
    </row>
    <row r="3270">
      <c r="B3270" s="113" t="n"/>
      <c r="C3270" s="114" t="n"/>
      <c r="D3270" s="115" t="n"/>
      <c r="E3270" s="116" t="n"/>
      <c r="F3270" s="115" t="n"/>
      <c r="G3270" s="117">
        <f>IF(COUNTA(B3270:E3270)=0,"",IF(COUNTA(B3270:E3270)&lt;4,"⚠ กรอกไม่ครบ",IF(NOT(ISNUMBER(B3270)),"⚠ วันที่ไม่ถูกต้อง",IF(COUNTIFS(Setup!$L$6:$L$60,D3270,Setup!$M$6:$M$60,C3270)=0,"⚠ หมวดไม่ตรงประเภท","✓"))))</f>
        <v/>
      </c>
    </row>
    <row r="3271">
      <c r="B3271" s="113" t="n"/>
      <c r="C3271" s="114" t="n"/>
      <c r="D3271" s="115" t="n"/>
      <c r="E3271" s="116" t="n"/>
      <c r="F3271" s="115" t="n"/>
      <c r="G3271" s="117">
        <f>IF(COUNTA(B3271:E3271)=0,"",IF(COUNTA(B3271:E3271)&lt;4,"⚠ กรอกไม่ครบ",IF(NOT(ISNUMBER(B3271)),"⚠ วันที่ไม่ถูกต้อง",IF(COUNTIFS(Setup!$L$6:$L$60,D3271,Setup!$M$6:$M$60,C3271)=0,"⚠ หมวดไม่ตรงประเภท","✓"))))</f>
        <v/>
      </c>
    </row>
    <row r="3272">
      <c r="B3272" s="113" t="n"/>
      <c r="C3272" s="114" t="n"/>
      <c r="D3272" s="115" t="n"/>
      <c r="E3272" s="116" t="n"/>
      <c r="F3272" s="115" t="n"/>
      <c r="G3272" s="117">
        <f>IF(COUNTA(B3272:E3272)=0,"",IF(COUNTA(B3272:E3272)&lt;4,"⚠ กรอกไม่ครบ",IF(NOT(ISNUMBER(B3272)),"⚠ วันที่ไม่ถูกต้อง",IF(COUNTIFS(Setup!$L$6:$L$60,D3272,Setup!$M$6:$M$60,C3272)=0,"⚠ หมวดไม่ตรงประเภท","✓"))))</f>
        <v/>
      </c>
    </row>
    <row r="3273">
      <c r="B3273" s="113" t="n"/>
      <c r="C3273" s="114" t="n"/>
      <c r="D3273" s="115" t="n"/>
      <c r="E3273" s="116" t="n"/>
      <c r="F3273" s="115" t="n"/>
      <c r="G3273" s="117">
        <f>IF(COUNTA(B3273:E3273)=0,"",IF(COUNTA(B3273:E3273)&lt;4,"⚠ กรอกไม่ครบ",IF(NOT(ISNUMBER(B3273)),"⚠ วันที่ไม่ถูกต้อง",IF(COUNTIFS(Setup!$L$6:$L$60,D3273,Setup!$M$6:$M$60,C3273)=0,"⚠ หมวดไม่ตรงประเภท","✓"))))</f>
        <v/>
      </c>
    </row>
    <row r="3274">
      <c r="B3274" s="113" t="n"/>
      <c r="C3274" s="114" t="n"/>
      <c r="D3274" s="115" t="n"/>
      <c r="E3274" s="116" t="n"/>
      <c r="F3274" s="115" t="n"/>
      <c r="G3274" s="117">
        <f>IF(COUNTA(B3274:E3274)=0,"",IF(COUNTA(B3274:E3274)&lt;4,"⚠ กรอกไม่ครบ",IF(NOT(ISNUMBER(B3274)),"⚠ วันที่ไม่ถูกต้อง",IF(COUNTIFS(Setup!$L$6:$L$60,D3274,Setup!$M$6:$M$60,C3274)=0,"⚠ หมวดไม่ตรงประเภท","✓"))))</f>
        <v/>
      </c>
    </row>
    <row r="3275">
      <c r="B3275" s="113" t="n"/>
      <c r="C3275" s="114" t="n"/>
      <c r="D3275" s="115" t="n"/>
      <c r="E3275" s="116" t="n"/>
      <c r="F3275" s="115" t="n"/>
      <c r="G3275" s="117">
        <f>IF(COUNTA(B3275:E3275)=0,"",IF(COUNTA(B3275:E3275)&lt;4,"⚠ กรอกไม่ครบ",IF(NOT(ISNUMBER(B3275)),"⚠ วันที่ไม่ถูกต้อง",IF(COUNTIFS(Setup!$L$6:$L$60,D3275,Setup!$M$6:$M$60,C3275)=0,"⚠ หมวดไม่ตรงประเภท","✓"))))</f>
        <v/>
      </c>
    </row>
    <row r="3276">
      <c r="B3276" s="113" t="n"/>
      <c r="C3276" s="114" t="n"/>
      <c r="D3276" s="115" t="n"/>
      <c r="E3276" s="116" t="n"/>
      <c r="F3276" s="115" t="n"/>
      <c r="G3276" s="117">
        <f>IF(COUNTA(B3276:E3276)=0,"",IF(COUNTA(B3276:E3276)&lt;4,"⚠ กรอกไม่ครบ",IF(NOT(ISNUMBER(B3276)),"⚠ วันที่ไม่ถูกต้อง",IF(COUNTIFS(Setup!$L$6:$L$60,D3276,Setup!$M$6:$M$60,C3276)=0,"⚠ หมวดไม่ตรงประเภท","✓"))))</f>
        <v/>
      </c>
    </row>
    <row r="3277">
      <c r="B3277" s="113" t="n"/>
      <c r="C3277" s="114" t="n"/>
      <c r="D3277" s="115" t="n"/>
      <c r="E3277" s="116" t="n"/>
      <c r="F3277" s="115" t="n"/>
      <c r="G3277" s="117">
        <f>IF(COUNTA(B3277:E3277)=0,"",IF(COUNTA(B3277:E3277)&lt;4,"⚠ กรอกไม่ครบ",IF(NOT(ISNUMBER(B3277)),"⚠ วันที่ไม่ถูกต้อง",IF(COUNTIFS(Setup!$L$6:$L$60,D3277,Setup!$M$6:$M$60,C3277)=0,"⚠ หมวดไม่ตรงประเภท","✓"))))</f>
        <v/>
      </c>
    </row>
    <row r="3278">
      <c r="B3278" s="113" t="n"/>
      <c r="C3278" s="114" t="n"/>
      <c r="D3278" s="115" t="n"/>
      <c r="E3278" s="116" t="n"/>
      <c r="F3278" s="115" t="n"/>
      <c r="G3278" s="117">
        <f>IF(COUNTA(B3278:E3278)=0,"",IF(COUNTA(B3278:E3278)&lt;4,"⚠ กรอกไม่ครบ",IF(NOT(ISNUMBER(B3278)),"⚠ วันที่ไม่ถูกต้อง",IF(COUNTIFS(Setup!$L$6:$L$60,D3278,Setup!$M$6:$M$60,C3278)=0,"⚠ หมวดไม่ตรงประเภท","✓"))))</f>
        <v/>
      </c>
    </row>
    <row r="3279">
      <c r="B3279" s="113" t="n"/>
      <c r="C3279" s="114" t="n"/>
      <c r="D3279" s="115" t="n"/>
      <c r="E3279" s="116" t="n"/>
      <c r="F3279" s="115" t="n"/>
      <c r="G3279" s="117">
        <f>IF(COUNTA(B3279:E3279)=0,"",IF(COUNTA(B3279:E3279)&lt;4,"⚠ กรอกไม่ครบ",IF(NOT(ISNUMBER(B3279)),"⚠ วันที่ไม่ถูกต้อง",IF(COUNTIFS(Setup!$L$6:$L$60,D3279,Setup!$M$6:$M$60,C3279)=0,"⚠ หมวดไม่ตรงประเภท","✓"))))</f>
        <v/>
      </c>
    </row>
    <row r="3280">
      <c r="B3280" s="113" t="n"/>
      <c r="C3280" s="114" t="n"/>
      <c r="D3280" s="115" t="n"/>
      <c r="E3280" s="116" t="n"/>
      <c r="F3280" s="115" t="n"/>
      <c r="G3280" s="117">
        <f>IF(COUNTA(B3280:E3280)=0,"",IF(COUNTA(B3280:E3280)&lt;4,"⚠ กรอกไม่ครบ",IF(NOT(ISNUMBER(B3280)),"⚠ วันที่ไม่ถูกต้อง",IF(COUNTIFS(Setup!$L$6:$L$60,D3280,Setup!$M$6:$M$60,C3280)=0,"⚠ หมวดไม่ตรงประเภท","✓"))))</f>
        <v/>
      </c>
    </row>
    <row r="3281">
      <c r="B3281" s="113" t="n"/>
      <c r="C3281" s="114" t="n"/>
      <c r="D3281" s="115" t="n"/>
      <c r="E3281" s="116" t="n"/>
      <c r="F3281" s="115" t="n"/>
      <c r="G3281" s="117">
        <f>IF(COUNTA(B3281:E3281)=0,"",IF(COUNTA(B3281:E3281)&lt;4,"⚠ กรอกไม่ครบ",IF(NOT(ISNUMBER(B3281)),"⚠ วันที่ไม่ถูกต้อง",IF(COUNTIFS(Setup!$L$6:$L$60,D3281,Setup!$M$6:$M$60,C3281)=0,"⚠ หมวดไม่ตรงประเภท","✓"))))</f>
        <v/>
      </c>
    </row>
    <row r="3282">
      <c r="B3282" s="113" t="n"/>
      <c r="C3282" s="114" t="n"/>
      <c r="D3282" s="115" t="n"/>
      <c r="E3282" s="116" t="n"/>
      <c r="F3282" s="115" t="n"/>
      <c r="G3282" s="117">
        <f>IF(COUNTA(B3282:E3282)=0,"",IF(COUNTA(B3282:E3282)&lt;4,"⚠ กรอกไม่ครบ",IF(NOT(ISNUMBER(B3282)),"⚠ วันที่ไม่ถูกต้อง",IF(COUNTIFS(Setup!$L$6:$L$60,D3282,Setup!$M$6:$M$60,C3282)=0,"⚠ หมวดไม่ตรงประเภท","✓"))))</f>
        <v/>
      </c>
    </row>
    <row r="3283">
      <c r="B3283" s="113" t="n"/>
      <c r="C3283" s="114" t="n"/>
      <c r="D3283" s="115" t="n"/>
      <c r="E3283" s="116" t="n"/>
      <c r="F3283" s="115" t="n"/>
      <c r="G3283" s="117">
        <f>IF(COUNTA(B3283:E3283)=0,"",IF(COUNTA(B3283:E3283)&lt;4,"⚠ กรอกไม่ครบ",IF(NOT(ISNUMBER(B3283)),"⚠ วันที่ไม่ถูกต้อง",IF(COUNTIFS(Setup!$L$6:$L$60,D3283,Setup!$M$6:$M$60,C3283)=0,"⚠ หมวดไม่ตรงประเภท","✓"))))</f>
        <v/>
      </c>
    </row>
    <row r="3284">
      <c r="B3284" s="113" t="n"/>
      <c r="C3284" s="114" t="n"/>
      <c r="D3284" s="115" t="n"/>
      <c r="E3284" s="116" t="n"/>
      <c r="F3284" s="115" t="n"/>
      <c r="G3284" s="117">
        <f>IF(COUNTA(B3284:E3284)=0,"",IF(COUNTA(B3284:E3284)&lt;4,"⚠ กรอกไม่ครบ",IF(NOT(ISNUMBER(B3284)),"⚠ วันที่ไม่ถูกต้อง",IF(COUNTIFS(Setup!$L$6:$L$60,D3284,Setup!$M$6:$M$60,C3284)=0,"⚠ หมวดไม่ตรงประเภท","✓"))))</f>
        <v/>
      </c>
    </row>
    <row r="3285">
      <c r="B3285" s="113" t="n"/>
      <c r="C3285" s="114" t="n"/>
      <c r="D3285" s="115" t="n"/>
      <c r="E3285" s="116" t="n"/>
      <c r="F3285" s="115" t="n"/>
      <c r="G3285" s="117">
        <f>IF(COUNTA(B3285:E3285)=0,"",IF(COUNTA(B3285:E3285)&lt;4,"⚠ กรอกไม่ครบ",IF(NOT(ISNUMBER(B3285)),"⚠ วันที่ไม่ถูกต้อง",IF(COUNTIFS(Setup!$L$6:$L$60,D3285,Setup!$M$6:$M$60,C3285)=0,"⚠ หมวดไม่ตรงประเภท","✓"))))</f>
        <v/>
      </c>
    </row>
    <row r="3286">
      <c r="B3286" s="113" t="n"/>
      <c r="C3286" s="114" t="n"/>
      <c r="D3286" s="115" t="n"/>
      <c r="E3286" s="116" t="n"/>
      <c r="F3286" s="115" t="n"/>
      <c r="G3286" s="117">
        <f>IF(COUNTA(B3286:E3286)=0,"",IF(COUNTA(B3286:E3286)&lt;4,"⚠ กรอกไม่ครบ",IF(NOT(ISNUMBER(B3286)),"⚠ วันที่ไม่ถูกต้อง",IF(COUNTIFS(Setup!$L$6:$L$60,D3286,Setup!$M$6:$M$60,C3286)=0,"⚠ หมวดไม่ตรงประเภท","✓"))))</f>
        <v/>
      </c>
    </row>
    <row r="3287">
      <c r="B3287" s="113" t="n"/>
      <c r="C3287" s="114" t="n"/>
      <c r="D3287" s="115" t="n"/>
      <c r="E3287" s="116" t="n"/>
      <c r="F3287" s="115" t="n"/>
      <c r="G3287" s="117">
        <f>IF(COUNTA(B3287:E3287)=0,"",IF(COUNTA(B3287:E3287)&lt;4,"⚠ กรอกไม่ครบ",IF(NOT(ISNUMBER(B3287)),"⚠ วันที่ไม่ถูกต้อง",IF(COUNTIFS(Setup!$L$6:$L$60,D3287,Setup!$M$6:$M$60,C3287)=0,"⚠ หมวดไม่ตรงประเภท","✓"))))</f>
        <v/>
      </c>
    </row>
    <row r="3288">
      <c r="B3288" s="113" t="n"/>
      <c r="C3288" s="114" t="n"/>
      <c r="D3288" s="115" t="n"/>
      <c r="E3288" s="116" t="n"/>
      <c r="F3288" s="115" t="n"/>
      <c r="G3288" s="117">
        <f>IF(COUNTA(B3288:E3288)=0,"",IF(COUNTA(B3288:E3288)&lt;4,"⚠ กรอกไม่ครบ",IF(NOT(ISNUMBER(B3288)),"⚠ วันที่ไม่ถูกต้อง",IF(COUNTIFS(Setup!$L$6:$L$60,D3288,Setup!$M$6:$M$60,C3288)=0,"⚠ หมวดไม่ตรงประเภท","✓"))))</f>
        <v/>
      </c>
    </row>
    <row r="3289">
      <c r="B3289" s="113" t="n"/>
      <c r="C3289" s="114" t="n"/>
      <c r="D3289" s="115" t="n"/>
      <c r="E3289" s="116" t="n"/>
      <c r="F3289" s="115" t="n"/>
      <c r="G3289" s="117">
        <f>IF(COUNTA(B3289:E3289)=0,"",IF(COUNTA(B3289:E3289)&lt;4,"⚠ กรอกไม่ครบ",IF(NOT(ISNUMBER(B3289)),"⚠ วันที่ไม่ถูกต้อง",IF(COUNTIFS(Setup!$L$6:$L$60,D3289,Setup!$M$6:$M$60,C3289)=0,"⚠ หมวดไม่ตรงประเภท","✓"))))</f>
        <v/>
      </c>
    </row>
    <row r="3290">
      <c r="B3290" s="113" t="n"/>
      <c r="C3290" s="114" t="n"/>
      <c r="D3290" s="115" t="n"/>
      <c r="E3290" s="116" t="n"/>
      <c r="F3290" s="115" t="n"/>
      <c r="G3290" s="117">
        <f>IF(COUNTA(B3290:E3290)=0,"",IF(COUNTA(B3290:E3290)&lt;4,"⚠ กรอกไม่ครบ",IF(NOT(ISNUMBER(B3290)),"⚠ วันที่ไม่ถูกต้อง",IF(COUNTIFS(Setup!$L$6:$L$60,D3290,Setup!$M$6:$M$60,C3290)=0,"⚠ หมวดไม่ตรงประเภท","✓"))))</f>
        <v/>
      </c>
    </row>
    <row r="3291">
      <c r="B3291" s="113" t="n"/>
      <c r="C3291" s="114" t="n"/>
      <c r="D3291" s="115" t="n"/>
      <c r="E3291" s="116" t="n"/>
      <c r="F3291" s="115" t="n"/>
      <c r="G3291" s="117">
        <f>IF(COUNTA(B3291:E3291)=0,"",IF(COUNTA(B3291:E3291)&lt;4,"⚠ กรอกไม่ครบ",IF(NOT(ISNUMBER(B3291)),"⚠ วันที่ไม่ถูกต้อง",IF(COUNTIFS(Setup!$L$6:$L$60,D3291,Setup!$M$6:$M$60,C3291)=0,"⚠ หมวดไม่ตรงประเภท","✓"))))</f>
        <v/>
      </c>
    </row>
    <row r="3292">
      <c r="B3292" s="113" t="n"/>
      <c r="C3292" s="114" t="n"/>
      <c r="D3292" s="115" t="n"/>
      <c r="E3292" s="116" t="n"/>
      <c r="F3292" s="115" t="n"/>
      <c r="G3292" s="117">
        <f>IF(COUNTA(B3292:E3292)=0,"",IF(COUNTA(B3292:E3292)&lt;4,"⚠ กรอกไม่ครบ",IF(NOT(ISNUMBER(B3292)),"⚠ วันที่ไม่ถูกต้อง",IF(COUNTIFS(Setup!$L$6:$L$60,D3292,Setup!$M$6:$M$60,C3292)=0,"⚠ หมวดไม่ตรงประเภท","✓"))))</f>
        <v/>
      </c>
    </row>
    <row r="3293">
      <c r="B3293" s="113" t="n"/>
      <c r="C3293" s="114" t="n"/>
      <c r="D3293" s="115" t="n"/>
      <c r="E3293" s="116" t="n"/>
      <c r="F3293" s="115" t="n"/>
      <c r="G3293" s="117">
        <f>IF(COUNTA(B3293:E3293)=0,"",IF(COUNTA(B3293:E3293)&lt;4,"⚠ กรอกไม่ครบ",IF(NOT(ISNUMBER(B3293)),"⚠ วันที่ไม่ถูกต้อง",IF(COUNTIFS(Setup!$L$6:$L$60,D3293,Setup!$M$6:$M$60,C3293)=0,"⚠ หมวดไม่ตรงประเภท","✓"))))</f>
        <v/>
      </c>
    </row>
    <row r="3294">
      <c r="B3294" s="113" t="n"/>
      <c r="C3294" s="114" t="n"/>
      <c r="D3294" s="115" t="n"/>
      <c r="E3294" s="116" t="n"/>
      <c r="F3294" s="115" t="n"/>
      <c r="G3294" s="117">
        <f>IF(COUNTA(B3294:E3294)=0,"",IF(COUNTA(B3294:E3294)&lt;4,"⚠ กรอกไม่ครบ",IF(NOT(ISNUMBER(B3294)),"⚠ วันที่ไม่ถูกต้อง",IF(COUNTIFS(Setup!$L$6:$L$60,D3294,Setup!$M$6:$M$60,C3294)=0,"⚠ หมวดไม่ตรงประเภท","✓"))))</f>
        <v/>
      </c>
    </row>
    <row r="3295">
      <c r="B3295" s="113" t="n"/>
      <c r="C3295" s="114" t="n"/>
      <c r="D3295" s="115" t="n"/>
      <c r="E3295" s="116" t="n"/>
      <c r="F3295" s="115" t="n"/>
      <c r="G3295" s="117">
        <f>IF(COUNTA(B3295:E3295)=0,"",IF(COUNTA(B3295:E3295)&lt;4,"⚠ กรอกไม่ครบ",IF(NOT(ISNUMBER(B3295)),"⚠ วันที่ไม่ถูกต้อง",IF(COUNTIFS(Setup!$L$6:$L$60,D3295,Setup!$M$6:$M$60,C3295)=0,"⚠ หมวดไม่ตรงประเภท","✓"))))</f>
        <v/>
      </c>
    </row>
    <row r="3296">
      <c r="B3296" s="113" t="n"/>
      <c r="C3296" s="114" t="n"/>
      <c r="D3296" s="115" t="n"/>
      <c r="E3296" s="116" t="n"/>
      <c r="F3296" s="115" t="n"/>
      <c r="G3296" s="117">
        <f>IF(COUNTA(B3296:E3296)=0,"",IF(COUNTA(B3296:E3296)&lt;4,"⚠ กรอกไม่ครบ",IF(NOT(ISNUMBER(B3296)),"⚠ วันที่ไม่ถูกต้อง",IF(COUNTIFS(Setup!$L$6:$L$60,D3296,Setup!$M$6:$M$60,C3296)=0,"⚠ หมวดไม่ตรงประเภท","✓"))))</f>
        <v/>
      </c>
    </row>
    <row r="3297">
      <c r="B3297" s="113" t="n"/>
      <c r="C3297" s="114" t="n"/>
      <c r="D3297" s="115" t="n"/>
      <c r="E3297" s="116" t="n"/>
      <c r="F3297" s="115" t="n"/>
      <c r="G3297" s="117">
        <f>IF(COUNTA(B3297:E3297)=0,"",IF(COUNTA(B3297:E3297)&lt;4,"⚠ กรอกไม่ครบ",IF(NOT(ISNUMBER(B3297)),"⚠ วันที่ไม่ถูกต้อง",IF(COUNTIFS(Setup!$L$6:$L$60,D3297,Setup!$M$6:$M$60,C3297)=0,"⚠ หมวดไม่ตรงประเภท","✓"))))</f>
        <v/>
      </c>
    </row>
    <row r="3298">
      <c r="B3298" s="113" t="n"/>
      <c r="C3298" s="114" t="n"/>
      <c r="D3298" s="115" t="n"/>
      <c r="E3298" s="116" t="n"/>
      <c r="F3298" s="115" t="n"/>
      <c r="G3298" s="117">
        <f>IF(COUNTA(B3298:E3298)=0,"",IF(COUNTA(B3298:E3298)&lt;4,"⚠ กรอกไม่ครบ",IF(NOT(ISNUMBER(B3298)),"⚠ วันที่ไม่ถูกต้อง",IF(COUNTIFS(Setup!$L$6:$L$60,D3298,Setup!$M$6:$M$60,C3298)=0,"⚠ หมวดไม่ตรงประเภท","✓"))))</f>
        <v/>
      </c>
    </row>
    <row r="3299">
      <c r="B3299" s="113" t="n"/>
      <c r="C3299" s="114" t="n"/>
      <c r="D3299" s="115" t="n"/>
      <c r="E3299" s="116" t="n"/>
      <c r="F3299" s="115" t="n"/>
      <c r="G3299" s="117">
        <f>IF(COUNTA(B3299:E3299)=0,"",IF(COUNTA(B3299:E3299)&lt;4,"⚠ กรอกไม่ครบ",IF(NOT(ISNUMBER(B3299)),"⚠ วันที่ไม่ถูกต้อง",IF(COUNTIFS(Setup!$L$6:$L$60,D3299,Setup!$M$6:$M$60,C3299)=0,"⚠ หมวดไม่ตรงประเภท","✓"))))</f>
        <v/>
      </c>
    </row>
    <row r="3300">
      <c r="B3300" s="113" t="n"/>
      <c r="C3300" s="114" t="n"/>
      <c r="D3300" s="115" t="n"/>
      <c r="E3300" s="116" t="n"/>
      <c r="F3300" s="115" t="n"/>
      <c r="G3300" s="117">
        <f>IF(COUNTA(B3300:E3300)=0,"",IF(COUNTA(B3300:E3300)&lt;4,"⚠ กรอกไม่ครบ",IF(NOT(ISNUMBER(B3300)),"⚠ วันที่ไม่ถูกต้อง",IF(COUNTIFS(Setup!$L$6:$L$60,D3300,Setup!$M$6:$M$60,C3300)=0,"⚠ หมวดไม่ตรงประเภท","✓"))))</f>
        <v/>
      </c>
    </row>
    <row r="3301">
      <c r="B3301" s="113" t="n"/>
      <c r="C3301" s="114" t="n"/>
      <c r="D3301" s="115" t="n"/>
      <c r="E3301" s="116" t="n"/>
      <c r="F3301" s="115" t="n"/>
      <c r="G3301" s="117">
        <f>IF(COUNTA(B3301:E3301)=0,"",IF(COUNTA(B3301:E3301)&lt;4,"⚠ กรอกไม่ครบ",IF(NOT(ISNUMBER(B3301)),"⚠ วันที่ไม่ถูกต้อง",IF(COUNTIFS(Setup!$L$6:$L$60,D3301,Setup!$M$6:$M$60,C3301)=0,"⚠ หมวดไม่ตรงประเภท","✓"))))</f>
        <v/>
      </c>
    </row>
    <row r="3302">
      <c r="B3302" s="113" t="n"/>
      <c r="C3302" s="114" t="n"/>
      <c r="D3302" s="115" t="n"/>
      <c r="E3302" s="116" t="n"/>
      <c r="F3302" s="115" t="n"/>
      <c r="G3302" s="117">
        <f>IF(COUNTA(B3302:E3302)=0,"",IF(COUNTA(B3302:E3302)&lt;4,"⚠ กรอกไม่ครบ",IF(NOT(ISNUMBER(B3302)),"⚠ วันที่ไม่ถูกต้อง",IF(COUNTIFS(Setup!$L$6:$L$60,D3302,Setup!$M$6:$M$60,C3302)=0,"⚠ หมวดไม่ตรงประเภท","✓"))))</f>
        <v/>
      </c>
    </row>
    <row r="3303">
      <c r="B3303" s="113" t="n"/>
      <c r="C3303" s="114" t="n"/>
      <c r="D3303" s="115" t="n"/>
      <c r="E3303" s="116" t="n"/>
      <c r="F3303" s="115" t="n"/>
      <c r="G3303" s="117">
        <f>IF(COUNTA(B3303:E3303)=0,"",IF(COUNTA(B3303:E3303)&lt;4,"⚠ กรอกไม่ครบ",IF(NOT(ISNUMBER(B3303)),"⚠ วันที่ไม่ถูกต้อง",IF(COUNTIFS(Setup!$L$6:$L$60,D3303,Setup!$M$6:$M$60,C3303)=0,"⚠ หมวดไม่ตรงประเภท","✓"))))</f>
        <v/>
      </c>
    </row>
    <row r="3304">
      <c r="B3304" s="113" t="n"/>
      <c r="C3304" s="114" t="n"/>
      <c r="D3304" s="115" t="n"/>
      <c r="E3304" s="116" t="n"/>
      <c r="F3304" s="115" t="n"/>
      <c r="G3304" s="117">
        <f>IF(COUNTA(B3304:E3304)=0,"",IF(COUNTA(B3304:E3304)&lt;4,"⚠ กรอกไม่ครบ",IF(NOT(ISNUMBER(B3304)),"⚠ วันที่ไม่ถูกต้อง",IF(COUNTIFS(Setup!$L$6:$L$60,D3304,Setup!$M$6:$M$60,C3304)=0,"⚠ หมวดไม่ตรงประเภท","✓"))))</f>
        <v/>
      </c>
    </row>
    <row r="3305">
      <c r="B3305" s="113" t="n"/>
      <c r="C3305" s="114" t="n"/>
      <c r="D3305" s="115" t="n"/>
      <c r="E3305" s="116" t="n"/>
      <c r="F3305" s="115" t="n"/>
      <c r="G3305" s="117">
        <f>IF(COUNTA(B3305:E3305)=0,"",IF(COUNTA(B3305:E3305)&lt;4,"⚠ กรอกไม่ครบ",IF(NOT(ISNUMBER(B3305)),"⚠ วันที่ไม่ถูกต้อง",IF(COUNTIFS(Setup!$L$6:$L$60,D3305,Setup!$M$6:$M$60,C3305)=0,"⚠ หมวดไม่ตรงประเภท","✓"))))</f>
        <v/>
      </c>
    </row>
    <row r="3306">
      <c r="B3306" s="113" t="n"/>
      <c r="C3306" s="114" t="n"/>
      <c r="D3306" s="115" t="n"/>
      <c r="E3306" s="116" t="n"/>
      <c r="F3306" s="115" t="n"/>
      <c r="G3306" s="117">
        <f>IF(COUNTA(B3306:E3306)=0,"",IF(COUNTA(B3306:E3306)&lt;4,"⚠ กรอกไม่ครบ",IF(NOT(ISNUMBER(B3306)),"⚠ วันที่ไม่ถูกต้อง",IF(COUNTIFS(Setup!$L$6:$L$60,D3306,Setup!$M$6:$M$60,C3306)=0,"⚠ หมวดไม่ตรงประเภท","✓"))))</f>
        <v/>
      </c>
    </row>
    <row r="3307">
      <c r="B3307" s="113" t="n"/>
      <c r="C3307" s="114" t="n"/>
      <c r="D3307" s="115" t="n"/>
      <c r="E3307" s="116" t="n"/>
      <c r="F3307" s="115" t="n"/>
      <c r="G3307" s="117">
        <f>IF(COUNTA(B3307:E3307)=0,"",IF(COUNTA(B3307:E3307)&lt;4,"⚠ กรอกไม่ครบ",IF(NOT(ISNUMBER(B3307)),"⚠ วันที่ไม่ถูกต้อง",IF(COUNTIFS(Setup!$L$6:$L$60,D3307,Setup!$M$6:$M$60,C3307)=0,"⚠ หมวดไม่ตรงประเภท","✓"))))</f>
        <v/>
      </c>
    </row>
    <row r="3308">
      <c r="B3308" s="113" t="n"/>
      <c r="C3308" s="114" t="n"/>
      <c r="D3308" s="115" t="n"/>
      <c r="E3308" s="116" t="n"/>
      <c r="F3308" s="115" t="n"/>
      <c r="G3308" s="117">
        <f>IF(COUNTA(B3308:E3308)=0,"",IF(COUNTA(B3308:E3308)&lt;4,"⚠ กรอกไม่ครบ",IF(NOT(ISNUMBER(B3308)),"⚠ วันที่ไม่ถูกต้อง",IF(COUNTIFS(Setup!$L$6:$L$60,D3308,Setup!$M$6:$M$60,C3308)=0,"⚠ หมวดไม่ตรงประเภท","✓"))))</f>
        <v/>
      </c>
    </row>
    <row r="3309">
      <c r="B3309" s="113" t="n"/>
      <c r="C3309" s="114" t="n"/>
      <c r="D3309" s="115" t="n"/>
      <c r="E3309" s="116" t="n"/>
      <c r="F3309" s="115" t="n"/>
      <c r="G3309" s="117">
        <f>IF(COUNTA(B3309:E3309)=0,"",IF(COUNTA(B3309:E3309)&lt;4,"⚠ กรอกไม่ครบ",IF(NOT(ISNUMBER(B3309)),"⚠ วันที่ไม่ถูกต้อง",IF(COUNTIFS(Setup!$L$6:$L$60,D3309,Setup!$M$6:$M$60,C3309)=0,"⚠ หมวดไม่ตรงประเภท","✓"))))</f>
        <v/>
      </c>
    </row>
    <row r="3310">
      <c r="B3310" s="113" t="n"/>
      <c r="C3310" s="114" t="n"/>
      <c r="D3310" s="115" t="n"/>
      <c r="E3310" s="116" t="n"/>
      <c r="F3310" s="115" t="n"/>
      <c r="G3310" s="117">
        <f>IF(COUNTA(B3310:E3310)=0,"",IF(COUNTA(B3310:E3310)&lt;4,"⚠ กรอกไม่ครบ",IF(NOT(ISNUMBER(B3310)),"⚠ วันที่ไม่ถูกต้อง",IF(COUNTIFS(Setup!$L$6:$L$60,D3310,Setup!$M$6:$M$60,C3310)=0,"⚠ หมวดไม่ตรงประเภท","✓"))))</f>
        <v/>
      </c>
    </row>
    <row r="3311">
      <c r="B3311" s="113" t="n"/>
      <c r="C3311" s="114" t="n"/>
      <c r="D3311" s="115" t="n"/>
      <c r="E3311" s="116" t="n"/>
      <c r="F3311" s="115" t="n"/>
      <c r="G3311" s="117">
        <f>IF(COUNTA(B3311:E3311)=0,"",IF(COUNTA(B3311:E3311)&lt;4,"⚠ กรอกไม่ครบ",IF(NOT(ISNUMBER(B3311)),"⚠ วันที่ไม่ถูกต้อง",IF(COUNTIFS(Setup!$L$6:$L$60,D3311,Setup!$M$6:$M$60,C3311)=0,"⚠ หมวดไม่ตรงประเภท","✓"))))</f>
        <v/>
      </c>
    </row>
    <row r="3312">
      <c r="B3312" s="113" t="n"/>
      <c r="C3312" s="114" t="n"/>
      <c r="D3312" s="115" t="n"/>
      <c r="E3312" s="116" t="n"/>
      <c r="F3312" s="115" t="n"/>
      <c r="G3312" s="117">
        <f>IF(COUNTA(B3312:E3312)=0,"",IF(COUNTA(B3312:E3312)&lt;4,"⚠ กรอกไม่ครบ",IF(NOT(ISNUMBER(B3312)),"⚠ วันที่ไม่ถูกต้อง",IF(COUNTIFS(Setup!$L$6:$L$60,D3312,Setup!$M$6:$M$60,C3312)=0,"⚠ หมวดไม่ตรงประเภท","✓"))))</f>
        <v/>
      </c>
    </row>
    <row r="3313">
      <c r="B3313" s="113" t="n"/>
      <c r="C3313" s="114" t="n"/>
      <c r="D3313" s="115" t="n"/>
      <c r="E3313" s="116" t="n"/>
      <c r="F3313" s="115" t="n"/>
      <c r="G3313" s="117">
        <f>IF(COUNTA(B3313:E3313)=0,"",IF(COUNTA(B3313:E3313)&lt;4,"⚠ กรอกไม่ครบ",IF(NOT(ISNUMBER(B3313)),"⚠ วันที่ไม่ถูกต้อง",IF(COUNTIFS(Setup!$L$6:$L$60,D3313,Setup!$M$6:$M$60,C3313)=0,"⚠ หมวดไม่ตรงประเภท","✓"))))</f>
        <v/>
      </c>
    </row>
    <row r="3314">
      <c r="B3314" s="113" t="n"/>
      <c r="C3314" s="114" t="n"/>
      <c r="D3314" s="115" t="n"/>
      <c r="E3314" s="116" t="n"/>
      <c r="F3314" s="115" t="n"/>
      <c r="G3314" s="117">
        <f>IF(COUNTA(B3314:E3314)=0,"",IF(COUNTA(B3314:E3314)&lt;4,"⚠ กรอกไม่ครบ",IF(NOT(ISNUMBER(B3314)),"⚠ วันที่ไม่ถูกต้อง",IF(COUNTIFS(Setup!$L$6:$L$60,D3314,Setup!$M$6:$M$60,C3314)=0,"⚠ หมวดไม่ตรงประเภท","✓"))))</f>
        <v/>
      </c>
    </row>
    <row r="3315">
      <c r="B3315" s="113" t="n"/>
      <c r="C3315" s="114" t="n"/>
      <c r="D3315" s="115" t="n"/>
      <c r="E3315" s="116" t="n"/>
      <c r="F3315" s="115" t="n"/>
      <c r="G3315" s="117">
        <f>IF(COUNTA(B3315:E3315)=0,"",IF(COUNTA(B3315:E3315)&lt;4,"⚠ กรอกไม่ครบ",IF(NOT(ISNUMBER(B3315)),"⚠ วันที่ไม่ถูกต้อง",IF(COUNTIFS(Setup!$L$6:$L$60,D3315,Setup!$M$6:$M$60,C3315)=0,"⚠ หมวดไม่ตรงประเภท","✓"))))</f>
        <v/>
      </c>
    </row>
    <row r="3316">
      <c r="B3316" s="113" t="n"/>
      <c r="C3316" s="114" t="n"/>
      <c r="D3316" s="115" t="n"/>
      <c r="E3316" s="116" t="n"/>
      <c r="F3316" s="115" t="n"/>
      <c r="G3316" s="117">
        <f>IF(COUNTA(B3316:E3316)=0,"",IF(COUNTA(B3316:E3316)&lt;4,"⚠ กรอกไม่ครบ",IF(NOT(ISNUMBER(B3316)),"⚠ วันที่ไม่ถูกต้อง",IF(COUNTIFS(Setup!$L$6:$L$60,D3316,Setup!$M$6:$M$60,C3316)=0,"⚠ หมวดไม่ตรงประเภท","✓"))))</f>
        <v/>
      </c>
    </row>
    <row r="3317">
      <c r="B3317" s="113" t="n"/>
      <c r="C3317" s="114" t="n"/>
      <c r="D3317" s="115" t="n"/>
      <c r="E3317" s="116" t="n"/>
      <c r="F3317" s="115" t="n"/>
      <c r="G3317" s="117">
        <f>IF(COUNTA(B3317:E3317)=0,"",IF(COUNTA(B3317:E3317)&lt;4,"⚠ กรอกไม่ครบ",IF(NOT(ISNUMBER(B3317)),"⚠ วันที่ไม่ถูกต้อง",IF(COUNTIFS(Setup!$L$6:$L$60,D3317,Setup!$M$6:$M$60,C3317)=0,"⚠ หมวดไม่ตรงประเภท","✓"))))</f>
        <v/>
      </c>
    </row>
    <row r="3318">
      <c r="B3318" s="113" t="n"/>
      <c r="C3318" s="114" t="n"/>
      <c r="D3318" s="115" t="n"/>
      <c r="E3318" s="116" t="n"/>
      <c r="F3318" s="115" t="n"/>
      <c r="G3318" s="117">
        <f>IF(COUNTA(B3318:E3318)=0,"",IF(COUNTA(B3318:E3318)&lt;4,"⚠ กรอกไม่ครบ",IF(NOT(ISNUMBER(B3318)),"⚠ วันที่ไม่ถูกต้อง",IF(COUNTIFS(Setup!$L$6:$L$60,D3318,Setup!$M$6:$M$60,C3318)=0,"⚠ หมวดไม่ตรงประเภท","✓"))))</f>
        <v/>
      </c>
    </row>
    <row r="3319">
      <c r="B3319" s="113" t="n"/>
      <c r="C3319" s="114" t="n"/>
      <c r="D3319" s="115" t="n"/>
      <c r="E3319" s="116" t="n"/>
      <c r="F3319" s="115" t="n"/>
      <c r="G3319" s="117">
        <f>IF(COUNTA(B3319:E3319)=0,"",IF(COUNTA(B3319:E3319)&lt;4,"⚠ กรอกไม่ครบ",IF(NOT(ISNUMBER(B3319)),"⚠ วันที่ไม่ถูกต้อง",IF(COUNTIFS(Setup!$L$6:$L$60,D3319,Setup!$M$6:$M$60,C3319)=0,"⚠ หมวดไม่ตรงประเภท","✓"))))</f>
        <v/>
      </c>
    </row>
    <row r="3320">
      <c r="B3320" s="113" t="n"/>
      <c r="C3320" s="114" t="n"/>
      <c r="D3320" s="115" t="n"/>
      <c r="E3320" s="116" t="n"/>
      <c r="F3320" s="115" t="n"/>
      <c r="G3320" s="117">
        <f>IF(COUNTA(B3320:E3320)=0,"",IF(COUNTA(B3320:E3320)&lt;4,"⚠ กรอกไม่ครบ",IF(NOT(ISNUMBER(B3320)),"⚠ วันที่ไม่ถูกต้อง",IF(COUNTIFS(Setup!$L$6:$L$60,D3320,Setup!$M$6:$M$60,C3320)=0,"⚠ หมวดไม่ตรงประเภท","✓"))))</f>
        <v/>
      </c>
    </row>
    <row r="3321">
      <c r="B3321" s="113" t="n"/>
      <c r="C3321" s="114" t="n"/>
      <c r="D3321" s="115" t="n"/>
      <c r="E3321" s="116" t="n"/>
      <c r="F3321" s="115" t="n"/>
      <c r="G3321" s="117">
        <f>IF(COUNTA(B3321:E3321)=0,"",IF(COUNTA(B3321:E3321)&lt;4,"⚠ กรอกไม่ครบ",IF(NOT(ISNUMBER(B3321)),"⚠ วันที่ไม่ถูกต้อง",IF(COUNTIFS(Setup!$L$6:$L$60,D3321,Setup!$M$6:$M$60,C3321)=0,"⚠ หมวดไม่ตรงประเภท","✓"))))</f>
        <v/>
      </c>
    </row>
    <row r="3322">
      <c r="B3322" s="113" t="n"/>
      <c r="C3322" s="114" t="n"/>
      <c r="D3322" s="115" t="n"/>
      <c r="E3322" s="116" t="n"/>
      <c r="F3322" s="115" t="n"/>
      <c r="G3322" s="117">
        <f>IF(COUNTA(B3322:E3322)=0,"",IF(COUNTA(B3322:E3322)&lt;4,"⚠ กรอกไม่ครบ",IF(NOT(ISNUMBER(B3322)),"⚠ วันที่ไม่ถูกต้อง",IF(COUNTIFS(Setup!$L$6:$L$60,D3322,Setup!$M$6:$M$60,C3322)=0,"⚠ หมวดไม่ตรงประเภท","✓"))))</f>
        <v/>
      </c>
    </row>
    <row r="3323">
      <c r="B3323" s="113" t="n"/>
      <c r="C3323" s="114" t="n"/>
      <c r="D3323" s="115" t="n"/>
      <c r="E3323" s="116" t="n"/>
      <c r="F3323" s="115" t="n"/>
      <c r="G3323" s="117">
        <f>IF(COUNTA(B3323:E3323)=0,"",IF(COUNTA(B3323:E3323)&lt;4,"⚠ กรอกไม่ครบ",IF(NOT(ISNUMBER(B3323)),"⚠ วันที่ไม่ถูกต้อง",IF(COUNTIFS(Setup!$L$6:$L$60,D3323,Setup!$M$6:$M$60,C3323)=0,"⚠ หมวดไม่ตรงประเภท","✓"))))</f>
        <v/>
      </c>
    </row>
    <row r="3324">
      <c r="B3324" s="113" t="n"/>
      <c r="C3324" s="114" t="n"/>
      <c r="D3324" s="115" t="n"/>
      <c r="E3324" s="116" t="n"/>
      <c r="F3324" s="115" t="n"/>
      <c r="G3324" s="117">
        <f>IF(COUNTA(B3324:E3324)=0,"",IF(COUNTA(B3324:E3324)&lt;4,"⚠ กรอกไม่ครบ",IF(NOT(ISNUMBER(B3324)),"⚠ วันที่ไม่ถูกต้อง",IF(COUNTIFS(Setup!$L$6:$L$60,D3324,Setup!$M$6:$M$60,C3324)=0,"⚠ หมวดไม่ตรงประเภท","✓"))))</f>
        <v/>
      </c>
    </row>
    <row r="3325">
      <c r="B3325" s="113" t="n"/>
      <c r="C3325" s="114" t="n"/>
      <c r="D3325" s="115" t="n"/>
      <c r="E3325" s="116" t="n"/>
      <c r="F3325" s="115" t="n"/>
      <c r="G3325" s="117">
        <f>IF(COUNTA(B3325:E3325)=0,"",IF(COUNTA(B3325:E3325)&lt;4,"⚠ กรอกไม่ครบ",IF(NOT(ISNUMBER(B3325)),"⚠ วันที่ไม่ถูกต้อง",IF(COUNTIFS(Setup!$L$6:$L$60,D3325,Setup!$M$6:$M$60,C3325)=0,"⚠ หมวดไม่ตรงประเภท","✓"))))</f>
        <v/>
      </c>
    </row>
    <row r="3326">
      <c r="B3326" s="113" t="n"/>
      <c r="C3326" s="114" t="n"/>
      <c r="D3326" s="115" t="n"/>
      <c r="E3326" s="116" t="n"/>
      <c r="F3326" s="115" t="n"/>
      <c r="G3326" s="117">
        <f>IF(COUNTA(B3326:E3326)=0,"",IF(COUNTA(B3326:E3326)&lt;4,"⚠ กรอกไม่ครบ",IF(NOT(ISNUMBER(B3326)),"⚠ วันที่ไม่ถูกต้อง",IF(COUNTIFS(Setup!$L$6:$L$60,D3326,Setup!$M$6:$M$60,C3326)=0,"⚠ หมวดไม่ตรงประเภท","✓"))))</f>
        <v/>
      </c>
    </row>
    <row r="3327">
      <c r="B3327" s="113" t="n"/>
      <c r="C3327" s="114" t="n"/>
      <c r="D3327" s="115" t="n"/>
      <c r="E3327" s="116" t="n"/>
      <c r="F3327" s="115" t="n"/>
      <c r="G3327" s="117">
        <f>IF(COUNTA(B3327:E3327)=0,"",IF(COUNTA(B3327:E3327)&lt;4,"⚠ กรอกไม่ครบ",IF(NOT(ISNUMBER(B3327)),"⚠ วันที่ไม่ถูกต้อง",IF(COUNTIFS(Setup!$L$6:$L$60,D3327,Setup!$M$6:$M$60,C3327)=0,"⚠ หมวดไม่ตรงประเภท","✓"))))</f>
        <v/>
      </c>
    </row>
    <row r="3328">
      <c r="B3328" s="113" t="n"/>
      <c r="C3328" s="114" t="n"/>
      <c r="D3328" s="115" t="n"/>
      <c r="E3328" s="116" t="n"/>
      <c r="F3328" s="115" t="n"/>
      <c r="G3328" s="117">
        <f>IF(COUNTA(B3328:E3328)=0,"",IF(COUNTA(B3328:E3328)&lt;4,"⚠ กรอกไม่ครบ",IF(NOT(ISNUMBER(B3328)),"⚠ วันที่ไม่ถูกต้อง",IF(COUNTIFS(Setup!$L$6:$L$60,D3328,Setup!$M$6:$M$60,C3328)=0,"⚠ หมวดไม่ตรงประเภท","✓"))))</f>
        <v/>
      </c>
    </row>
    <row r="3329">
      <c r="B3329" s="113" t="n"/>
      <c r="C3329" s="114" t="n"/>
      <c r="D3329" s="115" t="n"/>
      <c r="E3329" s="116" t="n"/>
      <c r="F3329" s="115" t="n"/>
      <c r="G3329" s="117">
        <f>IF(COUNTA(B3329:E3329)=0,"",IF(COUNTA(B3329:E3329)&lt;4,"⚠ กรอกไม่ครบ",IF(NOT(ISNUMBER(B3329)),"⚠ วันที่ไม่ถูกต้อง",IF(COUNTIFS(Setup!$L$6:$L$60,D3329,Setup!$M$6:$M$60,C3329)=0,"⚠ หมวดไม่ตรงประเภท","✓"))))</f>
        <v/>
      </c>
    </row>
    <row r="3330">
      <c r="B3330" s="113" t="n"/>
      <c r="C3330" s="114" t="n"/>
      <c r="D3330" s="115" t="n"/>
      <c r="E3330" s="116" t="n"/>
      <c r="F3330" s="115" t="n"/>
      <c r="G3330" s="117">
        <f>IF(COUNTA(B3330:E3330)=0,"",IF(COUNTA(B3330:E3330)&lt;4,"⚠ กรอกไม่ครบ",IF(NOT(ISNUMBER(B3330)),"⚠ วันที่ไม่ถูกต้อง",IF(COUNTIFS(Setup!$L$6:$L$60,D3330,Setup!$M$6:$M$60,C3330)=0,"⚠ หมวดไม่ตรงประเภท","✓"))))</f>
        <v/>
      </c>
    </row>
    <row r="3331">
      <c r="B3331" s="113" t="n"/>
      <c r="C3331" s="114" t="n"/>
      <c r="D3331" s="115" t="n"/>
      <c r="E3331" s="116" t="n"/>
      <c r="F3331" s="115" t="n"/>
      <c r="G3331" s="117">
        <f>IF(COUNTA(B3331:E3331)=0,"",IF(COUNTA(B3331:E3331)&lt;4,"⚠ กรอกไม่ครบ",IF(NOT(ISNUMBER(B3331)),"⚠ วันที่ไม่ถูกต้อง",IF(COUNTIFS(Setup!$L$6:$L$60,D3331,Setup!$M$6:$M$60,C3331)=0,"⚠ หมวดไม่ตรงประเภท","✓"))))</f>
        <v/>
      </c>
    </row>
    <row r="3332">
      <c r="B3332" s="113" t="n"/>
      <c r="C3332" s="114" t="n"/>
      <c r="D3332" s="115" t="n"/>
      <c r="E3332" s="116" t="n"/>
      <c r="F3332" s="115" t="n"/>
      <c r="G3332" s="117">
        <f>IF(COUNTA(B3332:E3332)=0,"",IF(COUNTA(B3332:E3332)&lt;4,"⚠ กรอกไม่ครบ",IF(NOT(ISNUMBER(B3332)),"⚠ วันที่ไม่ถูกต้อง",IF(COUNTIFS(Setup!$L$6:$L$60,D3332,Setup!$M$6:$M$60,C3332)=0,"⚠ หมวดไม่ตรงประเภท","✓"))))</f>
        <v/>
      </c>
    </row>
    <row r="3333">
      <c r="B3333" s="113" t="n"/>
      <c r="C3333" s="114" t="n"/>
      <c r="D3333" s="115" t="n"/>
      <c r="E3333" s="116" t="n"/>
      <c r="F3333" s="115" t="n"/>
      <c r="G3333" s="117">
        <f>IF(COUNTA(B3333:E3333)=0,"",IF(COUNTA(B3333:E3333)&lt;4,"⚠ กรอกไม่ครบ",IF(NOT(ISNUMBER(B3333)),"⚠ วันที่ไม่ถูกต้อง",IF(COUNTIFS(Setup!$L$6:$L$60,D3333,Setup!$M$6:$M$60,C3333)=0,"⚠ หมวดไม่ตรงประเภท","✓"))))</f>
        <v/>
      </c>
    </row>
    <row r="3334">
      <c r="B3334" s="113" t="n"/>
      <c r="C3334" s="114" t="n"/>
      <c r="D3334" s="115" t="n"/>
      <c r="E3334" s="116" t="n"/>
      <c r="F3334" s="115" t="n"/>
      <c r="G3334" s="117">
        <f>IF(COUNTA(B3334:E3334)=0,"",IF(COUNTA(B3334:E3334)&lt;4,"⚠ กรอกไม่ครบ",IF(NOT(ISNUMBER(B3334)),"⚠ วันที่ไม่ถูกต้อง",IF(COUNTIFS(Setup!$L$6:$L$60,D3334,Setup!$M$6:$M$60,C3334)=0,"⚠ หมวดไม่ตรงประเภท","✓"))))</f>
        <v/>
      </c>
    </row>
    <row r="3335">
      <c r="B3335" s="113" t="n"/>
      <c r="C3335" s="114" t="n"/>
      <c r="D3335" s="115" t="n"/>
      <c r="E3335" s="116" t="n"/>
      <c r="F3335" s="115" t="n"/>
      <c r="G3335" s="117">
        <f>IF(COUNTA(B3335:E3335)=0,"",IF(COUNTA(B3335:E3335)&lt;4,"⚠ กรอกไม่ครบ",IF(NOT(ISNUMBER(B3335)),"⚠ วันที่ไม่ถูกต้อง",IF(COUNTIFS(Setup!$L$6:$L$60,D3335,Setup!$M$6:$M$60,C3335)=0,"⚠ หมวดไม่ตรงประเภท","✓"))))</f>
        <v/>
      </c>
    </row>
    <row r="3336">
      <c r="B3336" s="113" t="n"/>
      <c r="C3336" s="114" t="n"/>
      <c r="D3336" s="115" t="n"/>
      <c r="E3336" s="116" t="n"/>
      <c r="F3336" s="115" t="n"/>
      <c r="G3336" s="117">
        <f>IF(COUNTA(B3336:E3336)=0,"",IF(COUNTA(B3336:E3336)&lt;4,"⚠ กรอกไม่ครบ",IF(NOT(ISNUMBER(B3336)),"⚠ วันที่ไม่ถูกต้อง",IF(COUNTIFS(Setup!$L$6:$L$60,D3336,Setup!$M$6:$M$60,C3336)=0,"⚠ หมวดไม่ตรงประเภท","✓"))))</f>
        <v/>
      </c>
    </row>
    <row r="3337">
      <c r="B3337" s="113" t="n"/>
      <c r="C3337" s="114" t="n"/>
      <c r="D3337" s="115" t="n"/>
      <c r="E3337" s="116" t="n"/>
      <c r="F3337" s="115" t="n"/>
      <c r="G3337" s="117">
        <f>IF(COUNTA(B3337:E3337)=0,"",IF(COUNTA(B3337:E3337)&lt;4,"⚠ กรอกไม่ครบ",IF(NOT(ISNUMBER(B3337)),"⚠ วันที่ไม่ถูกต้อง",IF(COUNTIFS(Setup!$L$6:$L$60,D3337,Setup!$M$6:$M$60,C3337)=0,"⚠ หมวดไม่ตรงประเภท","✓"))))</f>
        <v/>
      </c>
    </row>
    <row r="3338">
      <c r="B3338" s="113" t="n"/>
      <c r="C3338" s="114" t="n"/>
      <c r="D3338" s="115" t="n"/>
      <c r="E3338" s="116" t="n"/>
      <c r="F3338" s="115" t="n"/>
      <c r="G3338" s="117">
        <f>IF(COUNTA(B3338:E3338)=0,"",IF(COUNTA(B3338:E3338)&lt;4,"⚠ กรอกไม่ครบ",IF(NOT(ISNUMBER(B3338)),"⚠ วันที่ไม่ถูกต้อง",IF(COUNTIFS(Setup!$L$6:$L$60,D3338,Setup!$M$6:$M$60,C3338)=0,"⚠ หมวดไม่ตรงประเภท","✓"))))</f>
        <v/>
      </c>
    </row>
    <row r="3339">
      <c r="B3339" s="113" t="n"/>
      <c r="C3339" s="114" t="n"/>
      <c r="D3339" s="115" t="n"/>
      <c r="E3339" s="116" t="n"/>
      <c r="F3339" s="115" t="n"/>
      <c r="G3339" s="117">
        <f>IF(COUNTA(B3339:E3339)=0,"",IF(COUNTA(B3339:E3339)&lt;4,"⚠ กรอกไม่ครบ",IF(NOT(ISNUMBER(B3339)),"⚠ วันที่ไม่ถูกต้อง",IF(COUNTIFS(Setup!$L$6:$L$60,D3339,Setup!$M$6:$M$60,C3339)=0,"⚠ หมวดไม่ตรงประเภท","✓"))))</f>
        <v/>
      </c>
    </row>
    <row r="3340">
      <c r="B3340" s="113" t="n"/>
      <c r="C3340" s="114" t="n"/>
      <c r="D3340" s="115" t="n"/>
      <c r="E3340" s="116" t="n"/>
      <c r="F3340" s="115" t="n"/>
      <c r="G3340" s="117">
        <f>IF(COUNTA(B3340:E3340)=0,"",IF(COUNTA(B3340:E3340)&lt;4,"⚠ กรอกไม่ครบ",IF(NOT(ISNUMBER(B3340)),"⚠ วันที่ไม่ถูกต้อง",IF(COUNTIFS(Setup!$L$6:$L$60,D3340,Setup!$M$6:$M$60,C3340)=0,"⚠ หมวดไม่ตรงประเภท","✓"))))</f>
        <v/>
      </c>
    </row>
    <row r="3341">
      <c r="B3341" s="113" t="n"/>
      <c r="C3341" s="114" t="n"/>
      <c r="D3341" s="115" t="n"/>
      <c r="E3341" s="116" t="n"/>
      <c r="F3341" s="115" t="n"/>
      <c r="G3341" s="117">
        <f>IF(COUNTA(B3341:E3341)=0,"",IF(COUNTA(B3341:E3341)&lt;4,"⚠ กรอกไม่ครบ",IF(NOT(ISNUMBER(B3341)),"⚠ วันที่ไม่ถูกต้อง",IF(COUNTIFS(Setup!$L$6:$L$60,D3341,Setup!$M$6:$M$60,C3341)=0,"⚠ หมวดไม่ตรงประเภท","✓"))))</f>
        <v/>
      </c>
    </row>
    <row r="3342">
      <c r="B3342" s="113" t="n"/>
      <c r="C3342" s="114" t="n"/>
      <c r="D3342" s="115" t="n"/>
      <c r="E3342" s="116" t="n"/>
      <c r="F3342" s="115" t="n"/>
      <c r="G3342" s="117">
        <f>IF(COUNTA(B3342:E3342)=0,"",IF(COUNTA(B3342:E3342)&lt;4,"⚠ กรอกไม่ครบ",IF(NOT(ISNUMBER(B3342)),"⚠ วันที่ไม่ถูกต้อง",IF(COUNTIFS(Setup!$L$6:$L$60,D3342,Setup!$M$6:$M$60,C3342)=0,"⚠ หมวดไม่ตรงประเภท","✓"))))</f>
        <v/>
      </c>
    </row>
    <row r="3343">
      <c r="B3343" s="113" t="n"/>
      <c r="C3343" s="114" t="n"/>
      <c r="D3343" s="115" t="n"/>
      <c r="E3343" s="116" t="n"/>
      <c r="F3343" s="115" t="n"/>
      <c r="G3343" s="117">
        <f>IF(COUNTA(B3343:E3343)=0,"",IF(COUNTA(B3343:E3343)&lt;4,"⚠ กรอกไม่ครบ",IF(NOT(ISNUMBER(B3343)),"⚠ วันที่ไม่ถูกต้อง",IF(COUNTIFS(Setup!$L$6:$L$60,D3343,Setup!$M$6:$M$60,C3343)=0,"⚠ หมวดไม่ตรงประเภท","✓"))))</f>
        <v/>
      </c>
    </row>
    <row r="3344">
      <c r="B3344" s="113" t="n"/>
      <c r="C3344" s="114" t="n"/>
      <c r="D3344" s="115" t="n"/>
      <c r="E3344" s="116" t="n"/>
      <c r="F3344" s="115" t="n"/>
      <c r="G3344" s="117">
        <f>IF(COUNTA(B3344:E3344)=0,"",IF(COUNTA(B3344:E3344)&lt;4,"⚠ กรอกไม่ครบ",IF(NOT(ISNUMBER(B3344)),"⚠ วันที่ไม่ถูกต้อง",IF(COUNTIFS(Setup!$L$6:$L$60,D3344,Setup!$M$6:$M$60,C3344)=0,"⚠ หมวดไม่ตรงประเภท","✓"))))</f>
        <v/>
      </c>
    </row>
    <row r="3345">
      <c r="B3345" s="113" t="n"/>
      <c r="C3345" s="114" t="n"/>
      <c r="D3345" s="115" t="n"/>
      <c r="E3345" s="116" t="n"/>
      <c r="F3345" s="115" t="n"/>
      <c r="G3345" s="117">
        <f>IF(COUNTA(B3345:E3345)=0,"",IF(COUNTA(B3345:E3345)&lt;4,"⚠ กรอกไม่ครบ",IF(NOT(ISNUMBER(B3345)),"⚠ วันที่ไม่ถูกต้อง",IF(COUNTIFS(Setup!$L$6:$L$60,D3345,Setup!$M$6:$M$60,C3345)=0,"⚠ หมวดไม่ตรงประเภท","✓"))))</f>
        <v/>
      </c>
    </row>
    <row r="3346">
      <c r="B3346" s="113" t="n"/>
      <c r="C3346" s="114" t="n"/>
      <c r="D3346" s="115" t="n"/>
      <c r="E3346" s="116" t="n"/>
      <c r="F3346" s="115" t="n"/>
      <c r="G3346" s="117">
        <f>IF(COUNTA(B3346:E3346)=0,"",IF(COUNTA(B3346:E3346)&lt;4,"⚠ กรอกไม่ครบ",IF(NOT(ISNUMBER(B3346)),"⚠ วันที่ไม่ถูกต้อง",IF(COUNTIFS(Setup!$L$6:$L$60,D3346,Setup!$M$6:$M$60,C3346)=0,"⚠ หมวดไม่ตรงประเภท","✓"))))</f>
        <v/>
      </c>
    </row>
    <row r="3347">
      <c r="B3347" s="113" t="n"/>
      <c r="C3347" s="114" t="n"/>
      <c r="D3347" s="115" t="n"/>
      <c r="E3347" s="116" t="n"/>
      <c r="F3347" s="115" t="n"/>
      <c r="G3347" s="117">
        <f>IF(COUNTA(B3347:E3347)=0,"",IF(COUNTA(B3347:E3347)&lt;4,"⚠ กรอกไม่ครบ",IF(NOT(ISNUMBER(B3347)),"⚠ วันที่ไม่ถูกต้อง",IF(COUNTIFS(Setup!$L$6:$L$60,D3347,Setup!$M$6:$M$60,C3347)=0,"⚠ หมวดไม่ตรงประเภท","✓"))))</f>
        <v/>
      </c>
    </row>
    <row r="3348">
      <c r="B3348" s="113" t="n"/>
      <c r="C3348" s="114" t="n"/>
      <c r="D3348" s="115" t="n"/>
      <c r="E3348" s="116" t="n"/>
      <c r="F3348" s="115" t="n"/>
      <c r="G3348" s="117">
        <f>IF(COUNTA(B3348:E3348)=0,"",IF(COUNTA(B3348:E3348)&lt;4,"⚠ กรอกไม่ครบ",IF(NOT(ISNUMBER(B3348)),"⚠ วันที่ไม่ถูกต้อง",IF(COUNTIFS(Setup!$L$6:$L$60,D3348,Setup!$M$6:$M$60,C3348)=0,"⚠ หมวดไม่ตรงประเภท","✓"))))</f>
        <v/>
      </c>
    </row>
    <row r="3349">
      <c r="B3349" s="113" t="n"/>
      <c r="C3349" s="114" t="n"/>
      <c r="D3349" s="115" t="n"/>
      <c r="E3349" s="116" t="n"/>
      <c r="F3349" s="115" t="n"/>
      <c r="G3349" s="117">
        <f>IF(COUNTA(B3349:E3349)=0,"",IF(COUNTA(B3349:E3349)&lt;4,"⚠ กรอกไม่ครบ",IF(NOT(ISNUMBER(B3349)),"⚠ วันที่ไม่ถูกต้อง",IF(COUNTIFS(Setup!$L$6:$L$60,D3349,Setup!$M$6:$M$60,C3349)=0,"⚠ หมวดไม่ตรงประเภท","✓"))))</f>
        <v/>
      </c>
    </row>
    <row r="3350">
      <c r="B3350" s="113" t="n"/>
      <c r="C3350" s="114" t="n"/>
      <c r="D3350" s="115" t="n"/>
      <c r="E3350" s="116" t="n"/>
      <c r="F3350" s="115" t="n"/>
      <c r="G3350" s="117">
        <f>IF(COUNTA(B3350:E3350)=0,"",IF(COUNTA(B3350:E3350)&lt;4,"⚠ กรอกไม่ครบ",IF(NOT(ISNUMBER(B3350)),"⚠ วันที่ไม่ถูกต้อง",IF(COUNTIFS(Setup!$L$6:$L$60,D3350,Setup!$M$6:$M$60,C3350)=0,"⚠ หมวดไม่ตรงประเภท","✓"))))</f>
        <v/>
      </c>
    </row>
    <row r="3351">
      <c r="B3351" s="113" t="n"/>
      <c r="C3351" s="114" t="n"/>
      <c r="D3351" s="115" t="n"/>
      <c r="E3351" s="116" t="n"/>
      <c r="F3351" s="115" t="n"/>
      <c r="G3351" s="117">
        <f>IF(COUNTA(B3351:E3351)=0,"",IF(COUNTA(B3351:E3351)&lt;4,"⚠ กรอกไม่ครบ",IF(NOT(ISNUMBER(B3351)),"⚠ วันที่ไม่ถูกต้อง",IF(COUNTIFS(Setup!$L$6:$L$60,D3351,Setup!$M$6:$M$60,C3351)=0,"⚠ หมวดไม่ตรงประเภท","✓"))))</f>
        <v/>
      </c>
    </row>
    <row r="3352">
      <c r="B3352" s="113" t="n"/>
      <c r="C3352" s="114" t="n"/>
      <c r="D3352" s="115" t="n"/>
      <c r="E3352" s="116" t="n"/>
      <c r="F3352" s="115" t="n"/>
      <c r="G3352" s="117">
        <f>IF(COUNTA(B3352:E3352)=0,"",IF(COUNTA(B3352:E3352)&lt;4,"⚠ กรอกไม่ครบ",IF(NOT(ISNUMBER(B3352)),"⚠ วันที่ไม่ถูกต้อง",IF(COUNTIFS(Setup!$L$6:$L$60,D3352,Setup!$M$6:$M$60,C3352)=0,"⚠ หมวดไม่ตรงประเภท","✓"))))</f>
        <v/>
      </c>
    </row>
    <row r="3353">
      <c r="B3353" s="113" t="n"/>
      <c r="C3353" s="114" t="n"/>
      <c r="D3353" s="115" t="n"/>
      <c r="E3353" s="116" t="n"/>
      <c r="F3353" s="115" t="n"/>
      <c r="G3353" s="117">
        <f>IF(COUNTA(B3353:E3353)=0,"",IF(COUNTA(B3353:E3353)&lt;4,"⚠ กรอกไม่ครบ",IF(NOT(ISNUMBER(B3353)),"⚠ วันที่ไม่ถูกต้อง",IF(COUNTIFS(Setup!$L$6:$L$60,D3353,Setup!$M$6:$M$60,C3353)=0,"⚠ หมวดไม่ตรงประเภท","✓"))))</f>
        <v/>
      </c>
    </row>
    <row r="3354">
      <c r="B3354" s="113" t="n"/>
      <c r="C3354" s="114" t="n"/>
      <c r="D3354" s="115" t="n"/>
      <c r="E3354" s="116" t="n"/>
      <c r="F3354" s="115" t="n"/>
      <c r="G3354" s="117">
        <f>IF(COUNTA(B3354:E3354)=0,"",IF(COUNTA(B3354:E3354)&lt;4,"⚠ กรอกไม่ครบ",IF(NOT(ISNUMBER(B3354)),"⚠ วันที่ไม่ถูกต้อง",IF(COUNTIFS(Setup!$L$6:$L$60,D3354,Setup!$M$6:$M$60,C3354)=0,"⚠ หมวดไม่ตรงประเภท","✓"))))</f>
        <v/>
      </c>
    </row>
    <row r="3355">
      <c r="B3355" s="113" t="n"/>
      <c r="C3355" s="114" t="n"/>
      <c r="D3355" s="115" t="n"/>
      <c r="E3355" s="116" t="n"/>
      <c r="F3355" s="115" t="n"/>
      <c r="G3355" s="117">
        <f>IF(COUNTA(B3355:E3355)=0,"",IF(COUNTA(B3355:E3355)&lt;4,"⚠ กรอกไม่ครบ",IF(NOT(ISNUMBER(B3355)),"⚠ วันที่ไม่ถูกต้อง",IF(COUNTIFS(Setup!$L$6:$L$60,D3355,Setup!$M$6:$M$60,C3355)=0,"⚠ หมวดไม่ตรงประเภท","✓"))))</f>
        <v/>
      </c>
    </row>
    <row r="3356">
      <c r="B3356" s="113" t="n"/>
      <c r="C3356" s="114" t="n"/>
      <c r="D3356" s="115" t="n"/>
      <c r="E3356" s="116" t="n"/>
      <c r="F3356" s="115" t="n"/>
      <c r="G3356" s="117">
        <f>IF(COUNTA(B3356:E3356)=0,"",IF(COUNTA(B3356:E3356)&lt;4,"⚠ กรอกไม่ครบ",IF(NOT(ISNUMBER(B3356)),"⚠ วันที่ไม่ถูกต้อง",IF(COUNTIFS(Setup!$L$6:$L$60,D3356,Setup!$M$6:$M$60,C3356)=0,"⚠ หมวดไม่ตรงประเภท","✓"))))</f>
        <v/>
      </c>
    </row>
    <row r="3357">
      <c r="B3357" s="113" t="n"/>
      <c r="C3357" s="114" t="n"/>
      <c r="D3357" s="115" t="n"/>
      <c r="E3357" s="116" t="n"/>
      <c r="F3357" s="115" t="n"/>
      <c r="G3357" s="117">
        <f>IF(COUNTA(B3357:E3357)=0,"",IF(COUNTA(B3357:E3357)&lt;4,"⚠ กรอกไม่ครบ",IF(NOT(ISNUMBER(B3357)),"⚠ วันที่ไม่ถูกต้อง",IF(COUNTIFS(Setup!$L$6:$L$60,D3357,Setup!$M$6:$M$60,C3357)=0,"⚠ หมวดไม่ตรงประเภท","✓"))))</f>
        <v/>
      </c>
    </row>
    <row r="3358">
      <c r="B3358" s="113" t="n"/>
      <c r="C3358" s="114" t="n"/>
      <c r="D3358" s="115" t="n"/>
      <c r="E3358" s="116" t="n"/>
      <c r="F3358" s="115" t="n"/>
      <c r="G3358" s="117">
        <f>IF(COUNTA(B3358:E3358)=0,"",IF(COUNTA(B3358:E3358)&lt;4,"⚠ กรอกไม่ครบ",IF(NOT(ISNUMBER(B3358)),"⚠ วันที่ไม่ถูกต้อง",IF(COUNTIFS(Setup!$L$6:$L$60,D3358,Setup!$M$6:$M$60,C3358)=0,"⚠ หมวดไม่ตรงประเภท","✓"))))</f>
        <v/>
      </c>
    </row>
    <row r="3359">
      <c r="B3359" s="113" t="n"/>
      <c r="C3359" s="114" t="n"/>
      <c r="D3359" s="115" t="n"/>
      <c r="E3359" s="116" t="n"/>
      <c r="F3359" s="115" t="n"/>
      <c r="G3359" s="117">
        <f>IF(COUNTA(B3359:E3359)=0,"",IF(COUNTA(B3359:E3359)&lt;4,"⚠ กรอกไม่ครบ",IF(NOT(ISNUMBER(B3359)),"⚠ วันที่ไม่ถูกต้อง",IF(COUNTIFS(Setup!$L$6:$L$60,D3359,Setup!$M$6:$M$60,C3359)=0,"⚠ หมวดไม่ตรงประเภท","✓"))))</f>
        <v/>
      </c>
    </row>
    <row r="3360">
      <c r="B3360" s="113" t="n"/>
      <c r="C3360" s="114" t="n"/>
      <c r="D3360" s="115" t="n"/>
      <c r="E3360" s="116" t="n"/>
      <c r="F3360" s="115" t="n"/>
      <c r="G3360" s="117">
        <f>IF(COUNTA(B3360:E3360)=0,"",IF(COUNTA(B3360:E3360)&lt;4,"⚠ กรอกไม่ครบ",IF(NOT(ISNUMBER(B3360)),"⚠ วันที่ไม่ถูกต้อง",IF(COUNTIFS(Setup!$L$6:$L$60,D3360,Setup!$M$6:$M$60,C3360)=0,"⚠ หมวดไม่ตรงประเภท","✓"))))</f>
        <v/>
      </c>
    </row>
    <row r="3361">
      <c r="B3361" s="113" t="n"/>
      <c r="C3361" s="114" t="n"/>
      <c r="D3361" s="115" t="n"/>
      <c r="E3361" s="116" t="n"/>
      <c r="F3361" s="115" t="n"/>
      <c r="G3361" s="117">
        <f>IF(COUNTA(B3361:E3361)=0,"",IF(COUNTA(B3361:E3361)&lt;4,"⚠ กรอกไม่ครบ",IF(NOT(ISNUMBER(B3361)),"⚠ วันที่ไม่ถูกต้อง",IF(COUNTIFS(Setup!$L$6:$L$60,D3361,Setup!$M$6:$M$60,C3361)=0,"⚠ หมวดไม่ตรงประเภท","✓"))))</f>
        <v/>
      </c>
    </row>
    <row r="3362">
      <c r="B3362" s="113" t="n"/>
      <c r="C3362" s="114" t="n"/>
      <c r="D3362" s="115" t="n"/>
      <c r="E3362" s="116" t="n"/>
      <c r="F3362" s="115" t="n"/>
      <c r="G3362" s="117">
        <f>IF(COUNTA(B3362:E3362)=0,"",IF(COUNTA(B3362:E3362)&lt;4,"⚠ กรอกไม่ครบ",IF(NOT(ISNUMBER(B3362)),"⚠ วันที่ไม่ถูกต้อง",IF(COUNTIFS(Setup!$L$6:$L$60,D3362,Setup!$M$6:$M$60,C3362)=0,"⚠ หมวดไม่ตรงประเภท","✓"))))</f>
        <v/>
      </c>
    </row>
    <row r="3363">
      <c r="B3363" s="113" t="n"/>
      <c r="C3363" s="114" t="n"/>
      <c r="D3363" s="115" t="n"/>
      <c r="E3363" s="116" t="n"/>
      <c r="F3363" s="115" t="n"/>
      <c r="G3363" s="117">
        <f>IF(COUNTA(B3363:E3363)=0,"",IF(COUNTA(B3363:E3363)&lt;4,"⚠ กรอกไม่ครบ",IF(NOT(ISNUMBER(B3363)),"⚠ วันที่ไม่ถูกต้อง",IF(COUNTIFS(Setup!$L$6:$L$60,D3363,Setup!$M$6:$M$60,C3363)=0,"⚠ หมวดไม่ตรงประเภท","✓"))))</f>
        <v/>
      </c>
    </row>
    <row r="3364">
      <c r="B3364" s="113" t="n"/>
      <c r="C3364" s="114" t="n"/>
      <c r="D3364" s="115" t="n"/>
      <c r="E3364" s="116" t="n"/>
      <c r="F3364" s="115" t="n"/>
      <c r="G3364" s="117">
        <f>IF(COUNTA(B3364:E3364)=0,"",IF(COUNTA(B3364:E3364)&lt;4,"⚠ กรอกไม่ครบ",IF(NOT(ISNUMBER(B3364)),"⚠ วันที่ไม่ถูกต้อง",IF(COUNTIFS(Setup!$L$6:$L$60,D3364,Setup!$M$6:$M$60,C3364)=0,"⚠ หมวดไม่ตรงประเภท","✓"))))</f>
        <v/>
      </c>
    </row>
    <row r="3365">
      <c r="B3365" s="113" t="n"/>
      <c r="C3365" s="114" t="n"/>
      <c r="D3365" s="115" t="n"/>
      <c r="E3365" s="116" t="n"/>
      <c r="F3365" s="115" t="n"/>
      <c r="G3365" s="117">
        <f>IF(COUNTA(B3365:E3365)=0,"",IF(COUNTA(B3365:E3365)&lt;4,"⚠ กรอกไม่ครบ",IF(NOT(ISNUMBER(B3365)),"⚠ วันที่ไม่ถูกต้อง",IF(COUNTIFS(Setup!$L$6:$L$60,D3365,Setup!$M$6:$M$60,C3365)=0,"⚠ หมวดไม่ตรงประเภท","✓"))))</f>
        <v/>
      </c>
    </row>
    <row r="3366">
      <c r="B3366" s="113" t="n"/>
      <c r="C3366" s="114" t="n"/>
      <c r="D3366" s="115" t="n"/>
      <c r="E3366" s="116" t="n"/>
      <c r="F3366" s="115" t="n"/>
      <c r="G3366" s="117">
        <f>IF(COUNTA(B3366:E3366)=0,"",IF(COUNTA(B3366:E3366)&lt;4,"⚠ กรอกไม่ครบ",IF(NOT(ISNUMBER(B3366)),"⚠ วันที่ไม่ถูกต้อง",IF(COUNTIFS(Setup!$L$6:$L$60,D3366,Setup!$M$6:$M$60,C3366)=0,"⚠ หมวดไม่ตรงประเภท","✓"))))</f>
        <v/>
      </c>
    </row>
    <row r="3367">
      <c r="B3367" s="113" t="n"/>
      <c r="C3367" s="114" t="n"/>
      <c r="D3367" s="115" t="n"/>
      <c r="E3367" s="116" t="n"/>
      <c r="F3367" s="115" t="n"/>
      <c r="G3367" s="117">
        <f>IF(COUNTA(B3367:E3367)=0,"",IF(COUNTA(B3367:E3367)&lt;4,"⚠ กรอกไม่ครบ",IF(NOT(ISNUMBER(B3367)),"⚠ วันที่ไม่ถูกต้อง",IF(COUNTIFS(Setup!$L$6:$L$60,D3367,Setup!$M$6:$M$60,C3367)=0,"⚠ หมวดไม่ตรงประเภท","✓"))))</f>
        <v/>
      </c>
    </row>
    <row r="3368">
      <c r="B3368" s="113" t="n"/>
      <c r="C3368" s="114" t="n"/>
      <c r="D3368" s="115" t="n"/>
      <c r="E3368" s="116" t="n"/>
      <c r="F3368" s="115" t="n"/>
      <c r="G3368" s="117">
        <f>IF(COUNTA(B3368:E3368)=0,"",IF(COUNTA(B3368:E3368)&lt;4,"⚠ กรอกไม่ครบ",IF(NOT(ISNUMBER(B3368)),"⚠ วันที่ไม่ถูกต้อง",IF(COUNTIFS(Setup!$L$6:$L$60,D3368,Setup!$M$6:$M$60,C3368)=0,"⚠ หมวดไม่ตรงประเภท","✓"))))</f>
        <v/>
      </c>
    </row>
    <row r="3369">
      <c r="B3369" s="113" t="n"/>
      <c r="C3369" s="114" t="n"/>
      <c r="D3369" s="115" t="n"/>
      <c r="E3369" s="116" t="n"/>
      <c r="F3369" s="115" t="n"/>
      <c r="G3369" s="117">
        <f>IF(COUNTA(B3369:E3369)=0,"",IF(COUNTA(B3369:E3369)&lt;4,"⚠ กรอกไม่ครบ",IF(NOT(ISNUMBER(B3369)),"⚠ วันที่ไม่ถูกต้อง",IF(COUNTIFS(Setup!$L$6:$L$60,D3369,Setup!$M$6:$M$60,C3369)=0,"⚠ หมวดไม่ตรงประเภท","✓"))))</f>
        <v/>
      </c>
    </row>
    <row r="3370">
      <c r="B3370" s="113" t="n"/>
      <c r="C3370" s="114" t="n"/>
      <c r="D3370" s="115" t="n"/>
      <c r="E3370" s="116" t="n"/>
      <c r="F3370" s="115" t="n"/>
      <c r="G3370" s="117">
        <f>IF(COUNTA(B3370:E3370)=0,"",IF(COUNTA(B3370:E3370)&lt;4,"⚠ กรอกไม่ครบ",IF(NOT(ISNUMBER(B3370)),"⚠ วันที่ไม่ถูกต้อง",IF(COUNTIFS(Setup!$L$6:$L$60,D3370,Setup!$M$6:$M$60,C3370)=0,"⚠ หมวดไม่ตรงประเภท","✓"))))</f>
        <v/>
      </c>
    </row>
    <row r="3371">
      <c r="B3371" s="113" t="n"/>
      <c r="C3371" s="114" t="n"/>
      <c r="D3371" s="115" t="n"/>
      <c r="E3371" s="116" t="n"/>
      <c r="F3371" s="115" t="n"/>
      <c r="G3371" s="117">
        <f>IF(COUNTA(B3371:E3371)=0,"",IF(COUNTA(B3371:E3371)&lt;4,"⚠ กรอกไม่ครบ",IF(NOT(ISNUMBER(B3371)),"⚠ วันที่ไม่ถูกต้อง",IF(COUNTIFS(Setup!$L$6:$L$60,D3371,Setup!$M$6:$M$60,C3371)=0,"⚠ หมวดไม่ตรงประเภท","✓"))))</f>
        <v/>
      </c>
    </row>
    <row r="3372">
      <c r="B3372" s="113" t="n"/>
      <c r="C3372" s="114" t="n"/>
      <c r="D3372" s="115" t="n"/>
      <c r="E3372" s="116" t="n"/>
      <c r="F3372" s="115" t="n"/>
      <c r="G3372" s="117">
        <f>IF(COUNTA(B3372:E3372)=0,"",IF(COUNTA(B3372:E3372)&lt;4,"⚠ กรอกไม่ครบ",IF(NOT(ISNUMBER(B3372)),"⚠ วันที่ไม่ถูกต้อง",IF(COUNTIFS(Setup!$L$6:$L$60,D3372,Setup!$M$6:$M$60,C3372)=0,"⚠ หมวดไม่ตรงประเภท","✓"))))</f>
        <v/>
      </c>
    </row>
    <row r="3373">
      <c r="B3373" s="113" t="n"/>
      <c r="C3373" s="114" t="n"/>
      <c r="D3373" s="115" t="n"/>
      <c r="E3373" s="116" t="n"/>
      <c r="F3373" s="115" t="n"/>
      <c r="G3373" s="117">
        <f>IF(COUNTA(B3373:E3373)=0,"",IF(COUNTA(B3373:E3373)&lt;4,"⚠ กรอกไม่ครบ",IF(NOT(ISNUMBER(B3373)),"⚠ วันที่ไม่ถูกต้อง",IF(COUNTIFS(Setup!$L$6:$L$60,D3373,Setup!$M$6:$M$60,C3373)=0,"⚠ หมวดไม่ตรงประเภท","✓"))))</f>
        <v/>
      </c>
    </row>
    <row r="3374">
      <c r="B3374" s="113" t="n"/>
      <c r="C3374" s="114" t="n"/>
      <c r="D3374" s="115" t="n"/>
      <c r="E3374" s="116" t="n"/>
      <c r="F3374" s="115" t="n"/>
      <c r="G3374" s="117">
        <f>IF(COUNTA(B3374:E3374)=0,"",IF(COUNTA(B3374:E3374)&lt;4,"⚠ กรอกไม่ครบ",IF(NOT(ISNUMBER(B3374)),"⚠ วันที่ไม่ถูกต้อง",IF(COUNTIFS(Setup!$L$6:$L$60,D3374,Setup!$M$6:$M$60,C3374)=0,"⚠ หมวดไม่ตรงประเภท","✓"))))</f>
        <v/>
      </c>
    </row>
    <row r="3375">
      <c r="B3375" s="113" t="n"/>
      <c r="C3375" s="114" t="n"/>
      <c r="D3375" s="115" t="n"/>
      <c r="E3375" s="116" t="n"/>
      <c r="F3375" s="115" t="n"/>
      <c r="G3375" s="117">
        <f>IF(COUNTA(B3375:E3375)=0,"",IF(COUNTA(B3375:E3375)&lt;4,"⚠ กรอกไม่ครบ",IF(NOT(ISNUMBER(B3375)),"⚠ วันที่ไม่ถูกต้อง",IF(COUNTIFS(Setup!$L$6:$L$60,D3375,Setup!$M$6:$M$60,C3375)=0,"⚠ หมวดไม่ตรงประเภท","✓"))))</f>
        <v/>
      </c>
    </row>
    <row r="3376">
      <c r="B3376" s="113" t="n"/>
      <c r="C3376" s="114" t="n"/>
      <c r="D3376" s="115" t="n"/>
      <c r="E3376" s="116" t="n"/>
      <c r="F3376" s="115" t="n"/>
      <c r="G3376" s="117">
        <f>IF(COUNTA(B3376:E3376)=0,"",IF(COUNTA(B3376:E3376)&lt;4,"⚠ กรอกไม่ครบ",IF(NOT(ISNUMBER(B3376)),"⚠ วันที่ไม่ถูกต้อง",IF(COUNTIFS(Setup!$L$6:$L$60,D3376,Setup!$M$6:$M$60,C3376)=0,"⚠ หมวดไม่ตรงประเภท","✓"))))</f>
        <v/>
      </c>
    </row>
    <row r="3377">
      <c r="B3377" s="113" t="n"/>
      <c r="C3377" s="114" t="n"/>
      <c r="D3377" s="115" t="n"/>
      <c r="E3377" s="116" t="n"/>
      <c r="F3377" s="115" t="n"/>
      <c r="G3377" s="117">
        <f>IF(COUNTA(B3377:E3377)=0,"",IF(COUNTA(B3377:E3377)&lt;4,"⚠ กรอกไม่ครบ",IF(NOT(ISNUMBER(B3377)),"⚠ วันที่ไม่ถูกต้อง",IF(COUNTIFS(Setup!$L$6:$L$60,D3377,Setup!$M$6:$M$60,C3377)=0,"⚠ หมวดไม่ตรงประเภท","✓"))))</f>
        <v/>
      </c>
    </row>
    <row r="3378">
      <c r="B3378" s="113" t="n"/>
      <c r="C3378" s="114" t="n"/>
      <c r="D3378" s="115" t="n"/>
      <c r="E3378" s="116" t="n"/>
      <c r="F3378" s="115" t="n"/>
      <c r="G3378" s="117">
        <f>IF(COUNTA(B3378:E3378)=0,"",IF(COUNTA(B3378:E3378)&lt;4,"⚠ กรอกไม่ครบ",IF(NOT(ISNUMBER(B3378)),"⚠ วันที่ไม่ถูกต้อง",IF(COUNTIFS(Setup!$L$6:$L$60,D3378,Setup!$M$6:$M$60,C3378)=0,"⚠ หมวดไม่ตรงประเภท","✓"))))</f>
        <v/>
      </c>
    </row>
    <row r="3379">
      <c r="B3379" s="113" t="n"/>
      <c r="C3379" s="114" t="n"/>
      <c r="D3379" s="115" t="n"/>
      <c r="E3379" s="116" t="n"/>
      <c r="F3379" s="115" t="n"/>
      <c r="G3379" s="117">
        <f>IF(COUNTA(B3379:E3379)=0,"",IF(COUNTA(B3379:E3379)&lt;4,"⚠ กรอกไม่ครบ",IF(NOT(ISNUMBER(B3379)),"⚠ วันที่ไม่ถูกต้อง",IF(COUNTIFS(Setup!$L$6:$L$60,D3379,Setup!$M$6:$M$60,C3379)=0,"⚠ หมวดไม่ตรงประเภท","✓"))))</f>
        <v/>
      </c>
    </row>
    <row r="3380">
      <c r="B3380" s="113" t="n"/>
      <c r="C3380" s="114" t="n"/>
      <c r="D3380" s="115" t="n"/>
      <c r="E3380" s="116" t="n"/>
      <c r="F3380" s="115" t="n"/>
      <c r="G3380" s="117">
        <f>IF(COUNTA(B3380:E3380)=0,"",IF(COUNTA(B3380:E3380)&lt;4,"⚠ กรอกไม่ครบ",IF(NOT(ISNUMBER(B3380)),"⚠ วันที่ไม่ถูกต้อง",IF(COUNTIFS(Setup!$L$6:$L$60,D3380,Setup!$M$6:$M$60,C3380)=0,"⚠ หมวดไม่ตรงประเภท","✓"))))</f>
        <v/>
      </c>
    </row>
    <row r="3381">
      <c r="B3381" s="113" t="n"/>
      <c r="C3381" s="114" t="n"/>
      <c r="D3381" s="115" t="n"/>
      <c r="E3381" s="116" t="n"/>
      <c r="F3381" s="115" t="n"/>
      <c r="G3381" s="117">
        <f>IF(COUNTA(B3381:E3381)=0,"",IF(COUNTA(B3381:E3381)&lt;4,"⚠ กรอกไม่ครบ",IF(NOT(ISNUMBER(B3381)),"⚠ วันที่ไม่ถูกต้อง",IF(COUNTIFS(Setup!$L$6:$L$60,D3381,Setup!$M$6:$M$60,C3381)=0,"⚠ หมวดไม่ตรงประเภท","✓"))))</f>
        <v/>
      </c>
    </row>
    <row r="3382">
      <c r="B3382" s="113" t="n"/>
      <c r="C3382" s="114" t="n"/>
      <c r="D3382" s="115" t="n"/>
      <c r="E3382" s="116" t="n"/>
      <c r="F3382" s="115" t="n"/>
      <c r="G3382" s="117">
        <f>IF(COUNTA(B3382:E3382)=0,"",IF(COUNTA(B3382:E3382)&lt;4,"⚠ กรอกไม่ครบ",IF(NOT(ISNUMBER(B3382)),"⚠ วันที่ไม่ถูกต้อง",IF(COUNTIFS(Setup!$L$6:$L$60,D3382,Setup!$M$6:$M$60,C3382)=0,"⚠ หมวดไม่ตรงประเภท","✓"))))</f>
        <v/>
      </c>
    </row>
    <row r="3383">
      <c r="B3383" s="113" t="n"/>
      <c r="C3383" s="114" t="n"/>
      <c r="D3383" s="115" t="n"/>
      <c r="E3383" s="116" t="n"/>
      <c r="F3383" s="115" t="n"/>
      <c r="G3383" s="117">
        <f>IF(COUNTA(B3383:E3383)=0,"",IF(COUNTA(B3383:E3383)&lt;4,"⚠ กรอกไม่ครบ",IF(NOT(ISNUMBER(B3383)),"⚠ วันที่ไม่ถูกต้อง",IF(COUNTIFS(Setup!$L$6:$L$60,D3383,Setup!$M$6:$M$60,C3383)=0,"⚠ หมวดไม่ตรงประเภท","✓"))))</f>
        <v/>
      </c>
    </row>
    <row r="3384">
      <c r="B3384" s="113" t="n"/>
      <c r="C3384" s="114" t="n"/>
      <c r="D3384" s="115" t="n"/>
      <c r="E3384" s="116" t="n"/>
      <c r="F3384" s="115" t="n"/>
      <c r="G3384" s="117">
        <f>IF(COUNTA(B3384:E3384)=0,"",IF(COUNTA(B3384:E3384)&lt;4,"⚠ กรอกไม่ครบ",IF(NOT(ISNUMBER(B3384)),"⚠ วันที่ไม่ถูกต้อง",IF(COUNTIFS(Setup!$L$6:$L$60,D3384,Setup!$M$6:$M$60,C3384)=0,"⚠ หมวดไม่ตรงประเภท","✓"))))</f>
        <v/>
      </c>
    </row>
    <row r="3385">
      <c r="B3385" s="113" t="n"/>
      <c r="C3385" s="114" t="n"/>
      <c r="D3385" s="115" t="n"/>
      <c r="E3385" s="116" t="n"/>
      <c r="F3385" s="115" t="n"/>
      <c r="G3385" s="117">
        <f>IF(COUNTA(B3385:E3385)=0,"",IF(COUNTA(B3385:E3385)&lt;4,"⚠ กรอกไม่ครบ",IF(NOT(ISNUMBER(B3385)),"⚠ วันที่ไม่ถูกต้อง",IF(COUNTIFS(Setup!$L$6:$L$60,D3385,Setup!$M$6:$M$60,C3385)=0,"⚠ หมวดไม่ตรงประเภท","✓"))))</f>
        <v/>
      </c>
    </row>
    <row r="3386">
      <c r="B3386" s="113" t="n"/>
      <c r="C3386" s="114" t="n"/>
      <c r="D3386" s="115" t="n"/>
      <c r="E3386" s="116" t="n"/>
      <c r="F3386" s="115" t="n"/>
      <c r="G3386" s="117">
        <f>IF(COUNTA(B3386:E3386)=0,"",IF(COUNTA(B3386:E3386)&lt;4,"⚠ กรอกไม่ครบ",IF(NOT(ISNUMBER(B3386)),"⚠ วันที่ไม่ถูกต้อง",IF(COUNTIFS(Setup!$L$6:$L$60,D3386,Setup!$M$6:$M$60,C3386)=0,"⚠ หมวดไม่ตรงประเภท","✓"))))</f>
        <v/>
      </c>
    </row>
    <row r="3387">
      <c r="B3387" s="113" t="n"/>
      <c r="C3387" s="114" t="n"/>
      <c r="D3387" s="115" t="n"/>
      <c r="E3387" s="116" t="n"/>
      <c r="F3387" s="115" t="n"/>
      <c r="G3387" s="117">
        <f>IF(COUNTA(B3387:E3387)=0,"",IF(COUNTA(B3387:E3387)&lt;4,"⚠ กรอกไม่ครบ",IF(NOT(ISNUMBER(B3387)),"⚠ วันที่ไม่ถูกต้อง",IF(COUNTIFS(Setup!$L$6:$L$60,D3387,Setup!$M$6:$M$60,C3387)=0,"⚠ หมวดไม่ตรงประเภท","✓"))))</f>
        <v/>
      </c>
    </row>
    <row r="3388">
      <c r="B3388" s="113" t="n"/>
      <c r="C3388" s="114" t="n"/>
      <c r="D3388" s="115" t="n"/>
      <c r="E3388" s="116" t="n"/>
      <c r="F3388" s="115" t="n"/>
      <c r="G3388" s="117">
        <f>IF(COUNTA(B3388:E3388)=0,"",IF(COUNTA(B3388:E3388)&lt;4,"⚠ กรอกไม่ครบ",IF(NOT(ISNUMBER(B3388)),"⚠ วันที่ไม่ถูกต้อง",IF(COUNTIFS(Setup!$L$6:$L$60,D3388,Setup!$M$6:$M$60,C3388)=0,"⚠ หมวดไม่ตรงประเภท","✓"))))</f>
        <v/>
      </c>
    </row>
    <row r="3389">
      <c r="B3389" s="113" t="n"/>
      <c r="C3389" s="114" t="n"/>
      <c r="D3389" s="115" t="n"/>
      <c r="E3389" s="116" t="n"/>
      <c r="F3389" s="115" t="n"/>
      <c r="G3389" s="117">
        <f>IF(COUNTA(B3389:E3389)=0,"",IF(COUNTA(B3389:E3389)&lt;4,"⚠ กรอกไม่ครบ",IF(NOT(ISNUMBER(B3389)),"⚠ วันที่ไม่ถูกต้อง",IF(COUNTIFS(Setup!$L$6:$L$60,D3389,Setup!$M$6:$M$60,C3389)=0,"⚠ หมวดไม่ตรงประเภท","✓"))))</f>
        <v/>
      </c>
    </row>
    <row r="3390">
      <c r="B3390" s="113" t="n"/>
      <c r="C3390" s="114" t="n"/>
      <c r="D3390" s="115" t="n"/>
      <c r="E3390" s="116" t="n"/>
      <c r="F3390" s="115" t="n"/>
      <c r="G3390" s="117">
        <f>IF(COUNTA(B3390:E3390)=0,"",IF(COUNTA(B3390:E3390)&lt;4,"⚠ กรอกไม่ครบ",IF(NOT(ISNUMBER(B3390)),"⚠ วันที่ไม่ถูกต้อง",IF(COUNTIFS(Setup!$L$6:$L$60,D3390,Setup!$M$6:$M$60,C3390)=0,"⚠ หมวดไม่ตรงประเภท","✓"))))</f>
        <v/>
      </c>
    </row>
    <row r="3391">
      <c r="B3391" s="113" t="n"/>
      <c r="C3391" s="114" t="n"/>
      <c r="D3391" s="115" t="n"/>
      <c r="E3391" s="116" t="n"/>
      <c r="F3391" s="115" t="n"/>
      <c r="G3391" s="117">
        <f>IF(COUNTA(B3391:E3391)=0,"",IF(COUNTA(B3391:E3391)&lt;4,"⚠ กรอกไม่ครบ",IF(NOT(ISNUMBER(B3391)),"⚠ วันที่ไม่ถูกต้อง",IF(COUNTIFS(Setup!$L$6:$L$60,D3391,Setup!$M$6:$M$60,C3391)=0,"⚠ หมวดไม่ตรงประเภท","✓"))))</f>
        <v/>
      </c>
    </row>
    <row r="3392">
      <c r="B3392" s="113" t="n"/>
      <c r="C3392" s="114" t="n"/>
      <c r="D3392" s="115" t="n"/>
      <c r="E3392" s="116" t="n"/>
      <c r="F3392" s="115" t="n"/>
      <c r="G3392" s="117">
        <f>IF(COUNTA(B3392:E3392)=0,"",IF(COUNTA(B3392:E3392)&lt;4,"⚠ กรอกไม่ครบ",IF(NOT(ISNUMBER(B3392)),"⚠ วันที่ไม่ถูกต้อง",IF(COUNTIFS(Setup!$L$6:$L$60,D3392,Setup!$M$6:$M$60,C3392)=0,"⚠ หมวดไม่ตรงประเภท","✓"))))</f>
        <v/>
      </c>
    </row>
    <row r="3393">
      <c r="B3393" s="113" t="n"/>
      <c r="C3393" s="114" t="n"/>
      <c r="D3393" s="115" t="n"/>
      <c r="E3393" s="116" t="n"/>
      <c r="F3393" s="115" t="n"/>
      <c r="G3393" s="117">
        <f>IF(COUNTA(B3393:E3393)=0,"",IF(COUNTA(B3393:E3393)&lt;4,"⚠ กรอกไม่ครบ",IF(NOT(ISNUMBER(B3393)),"⚠ วันที่ไม่ถูกต้อง",IF(COUNTIFS(Setup!$L$6:$L$60,D3393,Setup!$M$6:$M$60,C3393)=0,"⚠ หมวดไม่ตรงประเภท","✓"))))</f>
        <v/>
      </c>
    </row>
    <row r="3394">
      <c r="B3394" s="113" t="n"/>
      <c r="C3394" s="114" t="n"/>
      <c r="D3394" s="115" t="n"/>
      <c r="E3394" s="116" t="n"/>
      <c r="F3394" s="115" t="n"/>
      <c r="G3394" s="117">
        <f>IF(COUNTA(B3394:E3394)=0,"",IF(COUNTA(B3394:E3394)&lt;4,"⚠ กรอกไม่ครบ",IF(NOT(ISNUMBER(B3394)),"⚠ วันที่ไม่ถูกต้อง",IF(COUNTIFS(Setup!$L$6:$L$60,D3394,Setup!$M$6:$M$60,C3394)=0,"⚠ หมวดไม่ตรงประเภท","✓"))))</f>
        <v/>
      </c>
    </row>
    <row r="3395">
      <c r="B3395" s="113" t="n"/>
      <c r="C3395" s="114" t="n"/>
      <c r="D3395" s="115" t="n"/>
      <c r="E3395" s="116" t="n"/>
      <c r="F3395" s="115" t="n"/>
      <c r="G3395" s="117">
        <f>IF(COUNTA(B3395:E3395)=0,"",IF(COUNTA(B3395:E3395)&lt;4,"⚠ กรอกไม่ครบ",IF(NOT(ISNUMBER(B3395)),"⚠ วันที่ไม่ถูกต้อง",IF(COUNTIFS(Setup!$L$6:$L$60,D3395,Setup!$M$6:$M$60,C3395)=0,"⚠ หมวดไม่ตรงประเภท","✓"))))</f>
        <v/>
      </c>
    </row>
    <row r="3396">
      <c r="B3396" s="113" t="n"/>
      <c r="C3396" s="114" t="n"/>
      <c r="D3396" s="115" t="n"/>
      <c r="E3396" s="116" t="n"/>
      <c r="F3396" s="115" t="n"/>
      <c r="G3396" s="117">
        <f>IF(COUNTA(B3396:E3396)=0,"",IF(COUNTA(B3396:E3396)&lt;4,"⚠ กรอกไม่ครบ",IF(NOT(ISNUMBER(B3396)),"⚠ วันที่ไม่ถูกต้อง",IF(COUNTIFS(Setup!$L$6:$L$60,D3396,Setup!$M$6:$M$60,C3396)=0,"⚠ หมวดไม่ตรงประเภท","✓"))))</f>
        <v/>
      </c>
    </row>
    <row r="3397">
      <c r="B3397" s="113" t="n"/>
      <c r="C3397" s="114" t="n"/>
      <c r="D3397" s="115" t="n"/>
      <c r="E3397" s="116" t="n"/>
      <c r="F3397" s="115" t="n"/>
      <c r="G3397" s="117">
        <f>IF(COUNTA(B3397:E3397)=0,"",IF(COUNTA(B3397:E3397)&lt;4,"⚠ กรอกไม่ครบ",IF(NOT(ISNUMBER(B3397)),"⚠ วันที่ไม่ถูกต้อง",IF(COUNTIFS(Setup!$L$6:$L$60,D3397,Setup!$M$6:$M$60,C3397)=0,"⚠ หมวดไม่ตรงประเภท","✓"))))</f>
        <v/>
      </c>
    </row>
    <row r="3398">
      <c r="B3398" s="113" t="n"/>
      <c r="C3398" s="114" t="n"/>
      <c r="D3398" s="115" t="n"/>
      <c r="E3398" s="116" t="n"/>
      <c r="F3398" s="115" t="n"/>
      <c r="G3398" s="117">
        <f>IF(COUNTA(B3398:E3398)=0,"",IF(COUNTA(B3398:E3398)&lt;4,"⚠ กรอกไม่ครบ",IF(NOT(ISNUMBER(B3398)),"⚠ วันที่ไม่ถูกต้อง",IF(COUNTIFS(Setup!$L$6:$L$60,D3398,Setup!$M$6:$M$60,C3398)=0,"⚠ หมวดไม่ตรงประเภท","✓"))))</f>
        <v/>
      </c>
    </row>
    <row r="3399">
      <c r="B3399" s="113" t="n"/>
      <c r="C3399" s="114" t="n"/>
      <c r="D3399" s="115" t="n"/>
      <c r="E3399" s="116" t="n"/>
      <c r="F3399" s="115" t="n"/>
      <c r="G3399" s="117">
        <f>IF(COUNTA(B3399:E3399)=0,"",IF(COUNTA(B3399:E3399)&lt;4,"⚠ กรอกไม่ครบ",IF(NOT(ISNUMBER(B3399)),"⚠ วันที่ไม่ถูกต้อง",IF(COUNTIFS(Setup!$L$6:$L$60,D3399,Setup!$M$6:$M$60,C3399)=0,"⚠ หมวดไม่ตรงประเภท","✓"))))</f>
        <v/>
      </c>
    </row>
    <row r="3400">
      <c r="B3400" s="113" t="n"/>
      <c r="C3400" s="114" t="n"/>
      <c r="D3400" s="115" t="n"/>
      <c r="E3400" s="116" t="n"/>
      <c r="F3400" s="115" t="n"/>
      <c r="G3400" s="117">
        <f>IF(COUNTA(B3400:E3400)=0,"",IF(COUNTA(B3400:E3400)&lt;4,"⚠ กรอกไม่ครบ",IF(NOT(ISNUMBER(B3400)),"⚠ วันที่ไม่ถูกต้อง",IF(COUNTIFS(Setup!$L$6:$L$60,D3400,Setup!$M$6:$M$60,C3400)=0,"⚠ หมวดไม่ตรงประเภท","✓"))))</f>
        <v/>
      </c>
    </row>
    <row r="3401">
      <c r="B3401" s="113" t="n"/>
      <c r="C3401" s="114" t="n"/>
      <c r="D3401" s="115" t="n"/>
      <c r="E3401" s="116" t="n"/>
      <c r="F3401" s="115" t="n"/>
      <c r="G3401" s="117">
        <f>IF(COUNTA(B3401:E3401)=0,"",IF(COUNTA(B3401:E3401)&lt;4,"⚠ กรอกไม่ครบ",IF(NOT(ISNUMBER(B3401)),"⚠ วันที่ไม่ถูกต้อง",IF(COUNTIFS(Setup!$L$6:$L$60,D3401,Setup!$M$6:$M$60,C3401)=0,"⚠ หมวดไม่ตรงประเภท","✓"))))</f>
        <v/>
      </c>
    </row>
    <row r="3402">
      <c r="B3402" s="113" t="n"/>
      <c r="C3402" s="114" t="n"/>
      <c r="D3402" s="115" t="n"/>
      <c r="E3402" s="116" t="n"/>
      <c r="F3402" s="115" t="n"/>
      <c r="G3402" s="117">
        <f>IF(COUNTA(B3402:E3402)=0,"",IF(COUNTA(B3402:E3402)&lt;4,"⚠ กรอกไม่ครบ",IF(NOT(ISNUMBER(B3402)),"⚠ วันที่ไม่ถูกต้อง",IF(COUNTIFS(Setup!$L$6:$L$60,D3402,Setup!$M$6:$M$60,C3402)=0,"⚠ หมวดไม่ตรงประเภท","✓"))))</f>
        <v/>
      </c>
    </row>
    <row r="3403">
      <c r="B3403" s="113" t="n"/>
      <c r="C3403" s="114" t="n"/>
      <c r="D3403" s="115" t="n"/>
      <c r="E3403" s="116" t="n"/>
      <c r="F3403" s="115" t="n"/>
      <c r="G3403" s="117">
        <f>IF(COUNTA(B3403:E3403)=0,"",IF(COUNTA(B3403:E3403)&lt;4,"⚠ กรอกไม่ครบ",IF(NOT(ISNUMBER(B3403)),"⚠ วันที่ไม่ถูกต้อง",IF(COUNTIFS(Setup!$L$6:$L$60,D3403,Setup!$M$6:$M$60,C3403)=0,"⚠ หมวดไม่ตรงประเภท","✓"))))</f>
        <v/>
      </c>
    </row>
    <row r="3404">
      <c r="B3404" s="113" t="n"/>
      <c r="C3404" s="114" t="n"/>
      <c r="D3404" s="115" t="n"/>
      <c r="E3404" s="116" t="n"/>
      <c r="F3404" s="115" t="n"/>
      <c r="G3404" s="117">
        <f>IF(COUNTA(B3404:E3404)=0,"",IF(COUNTA(B3404:E3404)&lt;4,"⚠ กรอกไม่ครบ",IF(NOT(ISNUMBER(B3404)),"⚠ วันที่ไม่ถูกต้อง",IF(COUNTIFS(Setup!$L$6:$L$60,D3404,Setup!$M$6:$M$60,C3404)=0,"⚠ หมวดไม่ตรงประเภท","✓"))))</f>
        <v/>
      </c>
    </row>
    <row r="3405">
      <c r="B3405" s="113" t="n"/>
      <c r="C3405" s="114" t="n"/>
      <c r="D3405" s="115" t="n"/>
      <c r="E3405" s="116" t="n"/>
      <c r="F3405" s="115" t="n"/>
      <c r="G3405" s="117">
        <f>IF(COUNTA(B3405:E3405)=0,"",IF(COUNTA(B3405:E3405)&lt;4,"⚠ กรอกไม่ครบ",IF(NOT(ISNUMBER(B3405)),"⚠ วันที่ไม่ถูกต้อง",IF(COUNTIFS(Setup!$L$6:$L$60,D3405,Setup!$M$6:$M$60,C3405)=0,"⚠ หมวดไม่ตรงประเภท","✓"))))</f>
        <v/>
      </c>
    </row>
    <row r="3406">
      <c r="B3406" s="113" t="n"/>
      <c r="C3406" s="114" t="n"/>
      <c r="D3406" s="115" t="n"/>
      <c r="E3406" s="116" t="n"/>
      <c r="F3406" s="115" t="n"/>
      <c r="G3406" s="117">
        <f>IF(COUNTA(B3406:E3406)=0,"",IF(COUNTA(B3406:E3406)&lt;4,"⚠ กรอกไม่ครบ",IF(NOT(ISNUMBER(B3406)),"⚠ วันที่ไม่ถูกต้อง",IF(COUNTIFS(Setup!$L$6:$L$60,D3406,Setup!$M$6:$M$60,C3406)=0,"⚠ หมวดไม่ตรงประเภท","✓"))))</f>
        <v/>
      </c>
    </row>
    <row r="3407">
      <c r="B3407" s="113" t="n"/>
      <c r="C3407" s="114" t="n"/>
      <c r="D3407" s="115" t="n"/>
      <c r="E3407" s="116" t="n"/>
      <c r="F3407" s="115" t="n"/>
      <c r="G3407" s="117">
        <f>IF(COUNTA(B3407:E3407)=0,"",IF(COUNTA(B3407:E3407)&lt;4,"⚠ กรอกไม่ครบ",IF(NOT(ISNUMBER(B3407)),"⚠ วันที่ไม่ถูกต้อง",IF(COUNTIFS(Setup!$L$6:$L$60,D3407,Setup!$M$6:$M$60,C3407)=0,"⚠ หมวดไม่ตรงประเภท","✓"))))</f>
        <v/>
      </c>
    </row>
    <row r="3408">
      <c r="B3408" s="113" t="n"/>
      <c r="C3408" s="114" t="n"/>
      <c r="D3408" s="115" t="n"/>
      <c r="E3408" s="116" t="n"/>
      <c r="F3408" s="115" t="n"/>
      <c r="G3408" s="117">
        <f>IF(COUNTA(B3408:E3408)=0,"",IF(COUNTA(B3408:E3408)&lt;4,"⚠ กรอกไม่ครบ",IF(NOT(ISNUMBER(B3408)),"⚠ วันที่ไม่ถูกต้อง",IF(COUNTIFS(Setup!$L$6:$L$60,D3408,Setup!$M$6:$M$60,C3408)=0,"⚠ หมวดไม่ตรงประเภท","✓"))))</f>
        <v/>
      </c>
    </row>
    <row r="3409">
      <c r="B3409" s="113" t="n"/>
      <c r="C3409" s="114" t="n"/>
      <c r="D3409" s="115" t="n"/>
      <c r="E3409" s="116" t="n"/>
      <c r="F3409" s="115" t="n"/>
      <c r="G3409" s="117">
        <f>IF(COUNTA(B3409:E3409)=0,"",IF(COUNTA(B3409:E3409)&lt;4,"⚠ กรอกไม่ครบ",IF(NOT(ISNUMBER(B3409)),"⚠ วันที่ไม่ถูกต้อง",IF(COUNTIFS(Setup!$L$6:$L$60,D3409,Setup!$M$6:$M$60,C3409)=0,"⚠ หมวดไม่ตรงประเภท","✓"))))</f>
        <v/>
      </c>
    </row>
    <row r="3410">
      <c r="B3410" s="113" t="n"/>
      <c r="C3410" s="114" t="n"/>
      <c r="D3410" s="115" t="n"/>
      <c r="E3410" s="116" t="n"/>
      <c r="F3410" s="115" t="n"/>
      <c r="G3410" s="117">
        <f>IF(COUNTA(B3410:E3410)=0,"",IF(COUNTA(B3410:E3410)&lt;4,"⚠ กรอกไม่ครบ",IF(NOT(ISNUMBER(B3410)),"⚠ วันที่ไม่ถูกต้อง",IF(COUNTIFS(Setup!$L$6:$L$60,D3410,Setup!$M$6:$M$60,C3410)=0,"⚠ หมวดไม่ตรงประเภท","✓"))))</f>
        <v/>
      </c>
    </row>
    <row r="3411">
      <c r="B3411" s="113" t="n"/>
      <c r="C3411" s="114" t="n"/>
      <c r="D3411" s="115" t="n"/>
      <c r="E3411" s="116" t="n"/>
      <c r="F3411" s="115" t="n"/>
      <c r="G3411" s="117">
        <f>IF(COUNTA(B3411:E3411)=0,"",IF(COUNTA(B3411:E3411)&lt;4,"⚠ กรอกไม่ครบ",IF(NOT(ISNUMBER(B3411)),"⚠ วันที่ไม่ถูกต้อง",IF(COUNTIFS(Setup!$L$6:$L$60,D3411,Setup!$M$6:$M$60,C3411)=0,"⚠ หมวดไม่ตรงประเภท","✓"))))</f>
        <v/>
      </c>
    </row>
    <row r="3412">
      <c r="B3412" s="113" t="n"/>
      <c r="C3412" s="114" t="n"/>
      <c r="D3412" s="115" t="n"/>
      <c r="E3412" s="116" t="n"/>
      <c r="F3412" s="115" t="n"/>
      <c r="G3412" s="117">
        <f>IF(COUNTA(B3412:E3412)=0,"",IF(COUNTA(B3412:E3412)&lt;4,"⚠ กรอกไม่ครบ",IF(NOT(ISNUMBER(B3412)),"⚠ วันที่ไม่ถูกต้อง",IF(COUNTIFS(Setup!$L$6:$L$60,D3412,Setup!$M$6:$M$60,C3412)=0,"⚠ หมวดไม่ตรงประเภท","✓"))))</f>
        <v/>
      </c>
    </row>
    <row r="3413">
      <c r="B3413" s="113" t="n"/>
      <c r="C3413" s="114" t="n"/>
      <c r="D3413" s="115" t="n"/>
      <c r="E3413" s="116" t="n"/>
      <c r="F3413" s="115" t="n"/>
      <c r="G3413" s="117">
        <f>IF(COUNTA(B3413:E3413)=0,"",IF(COUNTA(B3413:E3413)&lt;4,"⚠ กรอกไม่ครบ",IF(NOT(ISNUMBER(B3413)),"⚠ วันที่ไม่ถูกต้อง",IF(COUNTIFS(Setup!$L$6:$L$60,D3413,Setup!$M$6:$M$60,C3413)=0,"⚠ หมวดไม่ตรงประเภท","✓"))))</f>
        <v/>
      </c>
    </row>
    <row r="3414">
      <c r="B3414" s="113" t="n"/>
      <c r="C3414" s="114" t="n"/>
      <c r="D3414" s="115" t="n"/>
      <c r="E3414" s="116" t="n"/>
      <c r="F3414" s="115" t="n"/>
      <c r="G3414" s="117">
        <f>IF(COUNTA(B3414:E3414)=0,"",IF(COUNTA(B3414:E3414)&lt;4,"⚠ กรอกไม่ครบ",IF(NOT(ISNUMBER(B3414)),"⚠ วันที่ไม่ถูกต้อง",IF(COUNTIFS(Setup!$L$6:$L$60,D3414,Setup!$M$6:$M$60,C3414)=0,"⚠ หมวดไม่ตรงประเภท","✓"))))</f>
        <v/>
      </c>
    </row>
    <row r="3415">
      <c r="B3415" s="113" t="n"/>
      <c r="C3415" s="114" t="n"/>
      <c r="D3415" s="115" t="n"/>
      <c r="E3415" s="116" t="n"/>
      <c r="F3415" s="115" t="n"/>
      <c r="G3415" s="117">
        <f>IF(COUNTA(B3415:E3415)=0,"",IF(COUNTA(B3415:E3415)&lt;4,"⚠ กรอกไม่ครบ",IF(NOT(ISNUMBER(B3415)),"⚠ วันที่ไม่ถูกต้อง",IF(COUNTIFS(Setup!$L$6:$L$60,D3415,Setup!$M$6:$M$60,C3415)=0,"⚠ หมวดไม่ตรงประเภท","✓"))))</f>
        <v/>
      </c>
    </row>
    <row r="3416">
      <c r="B3416" s="113" t="n"/>
      <c r="C3416" s="114" t="n"/>
      <c r="D3416" s="115" t="n"/>
      <c r="E3416" s="116" t="n"/>
      <c r="F3416" s="115" t="n"/>
      <c r="G3416" s="117">
        <f>IF(COUNTA(B3416:E3416)=0,"",IF(COUNTA(B3416:E3416)&lt;4,"⚠ กรอกไม่ครบ",IF(NOT(ISNUMBER(B3416)),"⚠ วันที่ไม่ถูกต้อง",IF(COUNTIFS(Setup!$L$6:$L$60,D3416,Setup!$M$6:$M$60,C3416)=0,"⚠ หมวดไม่ตรงประเภท","✓"))))</f>
        <v/>
      </c>
    </row>
    <row r="3417">
      <c r="B3417" s="113" t="n"/>
      <c r="C3417" s="114" t="n"/>
      <c r="D3417" s="115" t="n"/>
      <c r="E3417" s="116" t="n"/>
      <c r="F3417" s="115" t="n"/>
      <c r="G3417" s="117">
        <f>IF(COUNTA(B3417:E3417)=0,"",IF(COUNTA(B3417:E3417)&lt;4,"⚠ กรอกไม่ครบ",IF(NOT(ISNUMBER(B3417)),"⚠ วันที่ไม่ถูกต้อง",IF(COUNTIFS(Setup!$L$6:$L$60,D3417,Setup!$M$6:$M$60,C3417)=0,"⚠ หมวดไม่ตรงประเภท","✓"))))</f>
        <v/>
      </c>
    </row>
    <row r="3418">
      <c r="B3418" s="113" t="n"/>
      <c r="C3418" s="114" t="n"/>
      <c r="D3418" s="115" t="n"/>
      <c r="E3418" s="116" t="n"/>
      <c r="F3418" s="115" t="n"/>
      <c r="G3418" s="117">
        <f>IF(COUNTA(B3418:E3418)=0,"",IF(COUNTA(B3418:E3418)&lt;4,"⚠ กรอกไม่ครบ",IF(NOT(ISNUMBER(B3418)),"⚠ วันที่ไม่ถูกต้อง",IF(COUNTIFS(Setup!$L$6:$L$60,D3418,Setup!$M$6:$M$60,C3418)=0,"⚠ หมวดไม่ตรงประเภท","✓"))))</f>
        <v/>
      </c>
    </row>
    <row r="3419">
      <c r="B3419" s="113" t="n"/>
      <c r="C3419" s="114" t="n"/>
      <c r="D3419" s="115" t="n"/>
      <c r="E3419" s="116" t="n"/>
      <c r="F3419" s="115" t="n"/>
      <c r="G3419" s="117">
        <f>IF(COUNTA(B3419:E3419)=0,"",IF(COUNTA(B3419:E3419)&lt;4,"⚠ กรอกไม่ครบ",IF(NOT(ISNUMBER(B3419)),"⚠ วันที่ไม่ถูกต้อง",IF(COUNTIFS(Setup!$L$6:$L$60,D3419,Setup!$M$6:$M$60,C3419)=0,"⚠ หมวดไม่ตรงประเภท","✓"))))</f>
        <v/>
      </c>
    </row>
    <row r="3420">
      <c r="B3420" s="113" t="n"/>
      <c r="C3420" s="114" t="n"/>
      <c r="D3420" s="115" t="n"/>
      <c r="E3420" s="116" t="n"/>
      <c r="F3420" s="115" t="n"/>
      <c r="G3420" s="117">
        <f>IF(COUNTA(B3420:E3420)=0,"",IF(COUNTA(B3420:E3420)&lt;4,"⚠ กรอกไม่ครบ",IF(NOT(ISNUMBER(B3420)),"⚠ วันที่ไม่ถูกต้อง",IF(COUNTIFS(Setup!$L$6:$L$60,D3420,Setup!$M$6:$M$60,C3420)=0,"⚠ หมวดไม่ตรงประเภท","✓"))))</f>
        <v/>
      </c>
    </row>
    <row r="3421">
      <c r="B3421" s="113" t="n"/>
      <c r="C3421" s="114" t="n"/>
      <c r="D3421" s="115" t="n"/>
      <c r="E3421" s="116" t="n"/>
      <c r="F3421" s="115" t="n"/>
      <c r="G3421" s="117">
        <f>IF(COUNTA(B3421:E3421)=0,"",IF(COUNTA(B3421:E3421)&lt;4,"⚠ กรอกไม่ครบ",IF(NOT(ISNUMBER(B3421)),"⚠ วันที่ไม่ถูกต้อง",IF(COUNTIFS(Setup!$L$6:$L$60,D3421,Setup!$M$6:$M$60,C3421)=0,"⚠ หมวดไม่ตรงประเภท","✓"))))</f>
        <v/>
      </c>
    </row>
    <row r="3422">
      <c r="B3422" s="113" t="n"/>
      <c r="C3422" s="114" t="n"/>
      <c r="D3422" s="115" t="n"/>
      <c r="E3422" s="116" t="n"/>
      <c r="F3422" s="115" t="n"/>
      <c r="G3422" s="117">
        <f>IF(COUNTA(B3422:E3422)=0,"",IF(COUNTA(B3422:E3422)&lt;4,"⚠ กรอกไม่ครบ",IF(NOT(ISNUMBER(B3422)),"⚠ วันที่ไม่ถูกต้อง",IF(COUNTIFS(Setup!$L$6:$L$60,D3422,Setup!$M$6:$M$60,C3422)=0,"⚠ หมวดไม่ตรงประเภท","✓"))))</f>
        <v/>
      </c>
    </row>
    <row r="3423">
      <c r="B3423" s="113" t="n"/>
      <c r="C3423" s="114" t="n"/>
      <c r="D3423" s="115" t="n"/>
      <c r="E3423" s="116" t="n"/>
      <c r="F3423" s="115" t="n"/>
      <c r="G3423" s="117">
        <f>IF(COUNTA(B3423:E3423)=0,"",IF(COUNTA(B3423:E3423)&lt;4,"⚠ กรอกไม่ครบ",IF(NOT(ISNUMBER(B3423)),"⚠ วันที่ไม่ถูกต้อง",IF(COUNTIFS(Setup!$L$6:$L$60,D3423,Setup!$M$6:$M$60,C3423)=0,"⚠ หมวดไม่ตรงประเภท","✓"))))</f>
        <v/>
      </c>
    </row>
    <row r="3424">
      <c r="B3424" s="113" t="n"/>
      <c r="C3424" s="114" t="n"/>
      <c r="D3424" s="115" t="n"/>
      <c r="E3424" s="116" t="n"/>
      <c r="F3424" s="115" t="n"/>
      <c r="G3424" s="117">
        <f>IF(COUNTA(B3424:E3424)=0,"",IF(COUNTA(B3424:E3424)&lt;4,"⚠ กรอกไม่ครบ",IF(NOT(ISNUMBER(B3424)),"⚠ วันที่ไม่ถูกต้อง",IF(COUNTIFS(Setup!$L$6:$L$60,D3424,Setup!$M$6:$M$60,C3424)=0,"⚠ หมวดไม่ตรงประเภท","✓"))))</f>
        <v/>
      </c>
    </row>
    <row r="3425">
      <c r="B3425" s="113" t="n"/>
      <c r="C3425" s="114" t="n"/>
      <c r="D3425" s="115" t="n"/>
      <c r="E3425" s="116" t="n"/>
      <c r="F3425" s="115" t="n"/>
      <c r="G3425" s="117">
        <f>IF(COUNTA(B3425:E3425)=0,"",IF(COUNTA(B3425:E3425)&lt;4,"⚠ กรอกไม่ครบ",IF(NOT(ISNUMBER(B3425)),"⚠ วันที่ไม่ถูกต้อง",IF(COUNTIFS(Setup!$L$6:$L$60,D3425,Setup!$M$6:$M$60,C3425)=0,"⚠ หมวดไม่ตรงประเภท","✓"))))</f>
        <v/>
      </c>
    </row>
    <row r="3426">
      <c r="B3426" s="113" t="n"/>
      <c r="C3426" s="114" t="n"/>
      <c r="D3426" s="115" t="n"/>
      <c r="E3426" s="116" t="n"/>
      <c r="F3426" s="115" t="n"/>
      <c r="G3426" s="117">
        <f>IF(COUNTA(B3426:E3426)=0,"",IF(COUNTA(B3426:E3426)&lt;4,"⚠ กรอกไม่ครบ",IF(NOT(ISNUMBER(B3426)),"⚠ วันที่ไม่ถูกต้อง",IF(COUNTIFS(Setup!$L$6:$L$60,D3426,Setup!$M$6:$M$60,C3426)=0,"⚠ หมวดไม่ตรงประเภท","✓"))))</f>
        <v/>
      </c>
    </row>
    <row r="3427">
      <c r="B3427" s="113" t="n"/>
      <c r="C3427" s="114" t="n"/>
      <c r="D3427" s="115" t="n"/>
      <c r="E3427" s="116" t="n"/>
      <c r="F3427" s="115" t="n"/>
      <c r="G3427" s="117">
        <f>IF(COUNTA(B3427:E3427)=0,"",IF(COUNTA(B3427:E3427)&lt;4,"⚠ กรอกไม่ครบ",IF(NOT(ISNUMBER(B3427)),"⚠ วันที่ไม่ถูกต้อง",IF(COUNTIFS(Setup!$L$6:$L$60,D3427,Setup!$M$6:$M$60,C3427)=0,"⚠ หมวดไม่ตรงประเภท","✓"))))</f>
        <v/>
      </c>
    </row>
    <row r="3428">
      <c r="B3428" s="113" t="n"/>
      <c r="C3428" s="114" t="n"/>
      <c r="D3428" s="115" t="n"/>
      <c r="E3428" s="116" t="n"/>
      <c r="F3428" s="115" t="n"/>
      <c r="G3428" s="117">
        <f>IF(COUNTA(B3428:E3428)=0,"",IF(COUNTA(B3428:E3428)&lt;4,"⚠ กรอกไม่ครบ",IF(NOT(ISNUMBER(B3428)),"⚠ วันที่ไม่ถูกต้อง",IF(COUNTIFS(Setup!$L$6:$L$60,D3428,Setup!$M$6:$M$60,C3428)=0,"⚠ หมวดไม่ตรงประเภท","✓"))))</f>
        <v/>
      </c>
    </row>
    <row r="3429">
      <c r="B3429" s="113" t="n"/>
      <c r="C3429" s="114" t="n"/>
      <c r="D3429" s="115" t="n"/>
      <c r="E3429" s="116" t="n"/>
      <c r="F3429" s="115" t="n"/>
      <c r="G3429" s="117">
        <f>IF(COUNTA(B3429:E3429)=0,"",IF(COUNTA(B3429:E3429)&lt;4,"⚠ กรอกไม่ครบ",IF(NOT(ISNUMBER(B3429)),"⚠ วันที่ไม่ถูกต้อง",IF(COUNTIFS(Setup!$L$6:$L$60,D3429,Setup!$M$6:$M$60,C3429)=0,"⚠ หมวดไม่ตรงประเภท","✓"))))</f>
        <v/>
      </c>
    </row>
    <row r="3430">
      <c r="B3430" s="113" t="n"/>
      <c r="C3430" s="114" t="n"/>
      <c r="D3430" s="115" t="n"/>
      <c r="E3430" s="116" t="n"/>
      <c r="F3430" s="115" t="n"/>
      <c r="G3430" s="117">
        <f>IF(COUNTA(B3430:E3430)=0,"",IF(COUNTA(B3430:E3430)&lt;4,"⚠ กรอกไม่ครบ",IF(NOT(ISNUMBER(B3430)),"⚠ วันที่ไม่ถูกต้อง",IF(COUNTIFS(Setup!$L$6:$L$60,D3430,Setup!$M$6:$M$60,C3430)=0,"⚠ หมวดไม่ตรงประเภท","✓"))))</f>
        <v/>
      </c>
    </row>
    <row r="3431">
      <c r="B3431" s="113" t="n"/>
      <c r="C3431" s="114" t="n"/>
      <c r="D3431" s="115" t="n"/>
      <c r="E3431" s="116" t="n"/>
      <c r="F3431" s="115" t="n"/>
      <c r="G3431" s="117">
        <f>IF(COUNTA(B3431:E3431)=0,"",IF(COUNTA(B3431:E3431)&lt;4,"⚠ กรอกไม่ครบ",IF(NOT(ISNUMBER(B3431)),"⚠ วันที่ไม่ถูกต้อง",IF(COUNTIFS(Setup!$L$6:$L$60,D3431,Setup!$M$6:$M$60,C3431)=0,"⚠ หมวดไม่ตรงประเภท","✓"))))</f>
        <v/>
      </c>
    </row>
    <row r="3432">
      <c r="B3432" s="113" t="n"/>
      <c r="C3432" s="114" t="n"/>
      <c r="D3432" s="115" t="n"/>
      <c r="E3432" s="116" t="n"/>
      <c r="F3432" s="115" t="n"/>
      <c r="G3432" s="117">
        <f>IF(COUNTA(B3432:E3432)=0,"",IF(COUNTA(B3432:E3432)&lt;4,"⚠ กรอกไม่ครบ",IF(NOT(ISNUMBER(B3432)),"⚠ วันที่ไม่ถูกต้อง",IF(COUNTIFS(Setup!$L$6:$L$60,D3432,Setup!$M$6:$M$60,C3432)=0,"⚠ หมวดไม่ตรงประเภท","✓"))))</f>
        <v/>
      </c>
    </row>
    <row r="3433">
      <c r="B3433" s="113" t="n"/>
      <c r="C3433" s="114" t="n"/>
      <c r="D3433" s="115" t="n"/>
      <c r="E3433" s="116" t="n"/>
      <c r="F3433" s="115" t="n"/>
      <c r="G3433" s="117">
        <f>IF(COUNTA(B3433:E3433)=0,"",IF(COUNTA(B3433:E3433)&lt;4,"⚠ กรอกไม่ครบ",IF(NOT(ISNUMBER(B3433)),"⚠ วันที่ไม่ถูกต้อง",IF(COUNTIFS(Setup!$L$6:$L$60,D3433,Setup!$M$6:$M$60,C3433)=0,"⚠ หมวดไม่ตรงประเภท","✓"))))</f>
        <v/>
      </c>
    </row>
    <row r="3434">
      <c r="B3434" s="113" t="n"/>
      <c r="C3434" s="114" t="n"/>
      <c r="D3434" s="115" t="n"/>
      <c r="E3434" s="116" t="n"/>
      <c r="F3434" s="115" t="n"/>
      <c r="G3434" s="117">
        <f>IF(COUNTA(B3434:E3434)=0,"",IF(COUNTA(B3434:E3434)&lt;4,"⚠ กรอกไม่ครบ",IF(NOT(ISNUMBER(B3434)),"⚠ วันที่ไม่ถูกต้อง",IF(COUNTIFS(Setup!$L$6:$L$60,D3434,Setup!$M$6:$M$60,C3434)=0,"⚠ หมวดไม่ตรงประเภท","✓"))))</f>
        <v/>
      </c>
    </row>
    <row r="3435">
      <c r="B3435" s="113" t="n"/>
      <c r="C3435" s="114" t="n"/>
      <c r="D3435" s="115" t="n"/>
      <c r="E3435" s="116" t="n"/>
      <c r="F3435" s="115" t="n"/>
      <c r="G3435" s="117">
        <f>IF(COUNTA(B3435:E3435)=0,"",IF(COUNTA(B3435:E3435)&lt;4,"⚠ กรอกไม่ครบ",IF(NOT(ISNUMBER(B3435)),"⚠ วันที่ไม่ถูกต้อง",IF(COUNTIFS(Setup!$L$6:$L$60,D3435,Setup!$M$6:$M$60,C3435)=0,"⚠ หมวดไม่ตรงประเภท","✓"))))</f>
        <v/>
      </c>
    </row>
    <row r="3436">
      <c r="B3436" s="113" t="n"/>
      <c r="C3436" s="114" t="n"/>
      <c r="D3436" s="115" t="n"/>
      <c r="E3436" s="116" t="n"/>
      <c r="F3436" s="115" t="n"/>
      <c r="G3436" s="117">
        <f>IF(COUNTA(B3436:E3436)=0,"",IF(COUNTA(B3436:E3436)&lt;4,"⚠ กรอกไม่ครบ",IF(NOT(ISNUMBER(B3436)),"⚠ วันที่ไม่ถูกต้อง",IF(COUNTIFS(Setup!$L$6:$L$60,D3436,Setup!$M$6:$M$60,C3436)=0,"⚠ หมวดไม่ตรงประเภท","✓"))))</f>
        <v/>
      </c>
    </row>
    <row r="3437">
      <c r="B3437" s="113" t="n"/>
      <c r="C3437" s="114" t="n"/>
      <c r="D3437" s="115" t="n"/>
      <c r="E3437" s="116" t="n"/>
      <c r="F3437" s="115" t="n"/>
      <c r="G3437" s="117">
        <f>IF(COUNTA(B3437:E3437)=0,"",IF(COUNTA(B3437:E3437)&lt;4,"⚠ กรอกไม่ครบ",IF(NOT(ISNUMBER(B3437)),"⚠ วันที่ไม่ถูกต้อง",IF(COUNTIFS(Setup!$L$6:$L$60,D3437,Setup!$M$6:$M$60,C3437)=0,"⚠ หมวดไม่ตรงประเภท","✓"))))</f>
        <v/>
      </c>
    </row>
    <row r="3438">
      <c r="B3438" s="113" t="n"/>
      <c r="C3438" s="114" t="n"/>
      <c r="D3438" s="115" t="n"/>
      <c r="E3438" s="116" t="n"/>
      <c r="F3438" s="115" t="n"/>
      <c r="G3438" s="117">
        <f>IF(COUNTA(B3438:E3438)=0,"",IF(COUNTA(B3438:E3438)&lt;4,"⚠ กรอกไม่ครบ",IF(NOT(ISNUMBER(B3438)),"⚠ วันที่ไม่ถูกต้อง",IF(COUNTIFS(Setup!$L$6:$L$60,D3438,Setup!$M$6:$M$60,C3438)=0,"⚠ หมวดไม่ตรงประเภท","✓"))))</f>
        <v/>
      </c>
    </row>
    <row r="3439">
      <c r="B3439" s="113" t="n"/>
      <c r="C3439" s="114" t="n"/>
      <c r="D3439" s="115" t="n"/>
      <c r="E3439" s="116" t="n"/>
      <c r="F3439" s="115" t="n"/>
      <c r="G3439" s="117">
        <f>IF(COUNTA(B3439:E3439)=0,"",IF(COUNTA(B3439:E3439)&lt;4,"⚠ กรอกไม่ครบ",IF(NOT(ISNUMBER(B3439)),"⚠ วันที่ไม่ถูกต้อง",IF(COUNTIFS(Setup!$L$6:$L$60,D3439,Setup!$M$6:$M$60,C3439)=0,"⚠ หมวดไม่ตรงประเภท","✓"))))</f>
        <v/>
      </c>
    </row>
    <row r="3440">
      <c r="B3440" s="113" t="n"/>
      <c r="C3440" s="114" t="n"/>
      <c r="D3440" s="115" t="n"/>
      <c r="E3440" s="116" t="n"/>
      <c r="F3440" s="115" t="n"/>
      <c r="G3440" s="117">
        <f>IF(COUNTA(B3440:E3440)=0,"",IF(COUNTA(B3440:E3440)&lt;4,"⚠ กรอกไม่ครบ",IF(NOT(ISNUMBER(B3440)),"⚠ วันที่ไม่ถูกต้อง",IF(COUNTIFS(Setup!$L$6:$L$60,D3440,Setup!$M$6:$M$60,C3440)=0,"⚠ หมวดไม่ตรงประเภท","✓"))))</f>
        <v/>
      </c>
    </row>
    <row r="3441">
      <c r="B3441" s="113" t="n"/>
      <c r="C3441" s="114" t="n"/>
      <c r="D3441" s="115" t="n"/>
      <c r="E3441" s="116" t="n"/>
      <c r="F3441" s="115" t="n"/>
      <c r="G3441" s="117">
        <f>IF(COUNTA(B3441:E3441)=0,"",IF(COUNTA(B3441:E3441)&lt;4,"⚠ กรอกไม่ครบ",IF(NOT(ISNUMBER(B3441)),"⚠ วันที่ไม่ถูกต้อง",IF(COUNTIFS(Setup!$L$6:$L$60,D3441,Setup!$M$6:$M$60,C3441)=0,"⚠ หมวดไม่ตรงประเภท","✓"))))</f>
        <v/>
      </c>
    </row>
    <row r="3442">
      <c r="B3442" s="113" t="n"/>
      <c r="C3442" s="114" t="n"/>
      <c r="D3442" s="115" t="n"/>
      <c r="E3442" s="116" t="n"/>
      <c r="F3442" s="115" t="n"/>
      <c r="G3442" s="117">
        <f>IF(COUNTA(B3442:E3442)=0,"",IF(COUNTA(B3442:E3442)&lt;4,"⚠ กรอกไม่ครบ",IF(NOT(ISNUMBER(B3442)),"⚠ วันที่ไม่ถูกต้อง",IF(COUNTIFS(Setup!$L$6:$L$60,D3442,Setup!$M$6:$M$60,C3442)=0,"⚠ หมวดไม่ตรงประเภท","✓"))))</f>
        <v/>
      </c>
    </row>
    <row r="3443">
      <c r="B3443" s="113" t="n"/>
      <c r="C3443" s="114" t="n"/>
      <c r="D3443" s="115" t="n"/>
      <c r="E3443" s="116" t="n"/>
      <c r="F3443" s="115" t="n"/>
      <c r="G3443" s="117">
        <f>IF(COUNTA(B3443:E3443)=0,"",IF(COUNTA(B3443:E3443)&lt;4,"⚠ กรอกไม่ครบ",IF(NOT(ISNUMBER(B3443)),"⚠ วันที่ไม่ถูกต้อง",IF(COUNTIFS(Setup!$L$6:$L$60,D3443,Setup!$M$6:$M$60,C3443)=0,"⚠ หมวดไม่ตรงประเภท","✓"))))</f>
        <v/>
      </c>
    </row>
    <row r="3444">
      <c r="B3444" s="113" t="n"/>
      <c r="C3444" s="114" t="n"/>
      <c r="D3444" s="115" t="n"/>
      <c r="E3444" s="116" t="n"/>
      <c r="F3444" s="115" t="n"/>
      <c r="G3444" s="117">
        <f>IF(COUNTA(B3444:E3444)=0,"",IF(COUNTA(B3444:E3444)&lt;4,"⚠ กรอกไม่ครบ",IF(NOT(ISNUMBER(B3444)),"⚠ วันที่ไม่ถูกต้อง",IF(COUNTIFS(Setup!$L$6:$L$60,D3444,Setup!$M$6:$M$60,C3444)=0,"⚠ หมวดไม่ตรงประเภท","✓"))))</f>
        <v/>
      </c>
    </row>
    <row r="3445">
      <c r="B3445" s="113" t="n"/>
      <c r="C3445" s="114" t="n"/>
      <c r="D3445" s="115" t="n"/>
      <c r="E3445" s="116" t="n"/>
      <c r="F3445" s="115" t="n"/>
      <c r="G3445" s="117">
        <f>IF(COUNTA(B3445:E3445)=0,"",IF(COUNTA(B3445:E3445)&lt;4,"⚠ กรอกไม่ครบ",IF(NOT(ISNUMBER(B3445)),"⚠ วันที่ไม่ถูกต้อง",IF(COUNTIFS(Setup!$L$6:$L$60,D3445,Setup!$M$6:$M$60,C3445)=0,"⚠ หมวดไม่ตรงประเภท","✓"))))</f>
        <v/>
      </c>
    </row>
    <row r="3446">
      <c r="B3446" s="113" t="n"/>
      <c r="C3446" s="114" t="n"/>
      <c r="D3446" s="115" t="n"/>
      <c r="E3446" s="116" t="n"/>
      <c r="F3446" s="115" t="n"/>
      <c r="G3446" s="117">
        <f>IF(COUNTA(B3446:E3446)=0,"",IF(COUNTA(B3446:E3446)&lt;4,"⚠ กรอกไม่ครบ",IF(NOT(ISNUMBER(B3446)),"⚠ วันที่ไม่ถูกต้อง",IF(COUNTIFS(Setup!$L$6:$L$60,D3446,Setup!$M$6:$M$60,C3446)=0,"⚠ หมวดไม่ตรงประเภท","✓"))))</f>
        <v/>
      </c>
    </row>
    <row r="3447">
      <c r="B3447" s="113" t="n"/>
      <c r="C3447" s="114" t="n"/>
      <c r="D3447" s="115" t="n"/>
      <c r="E3447" s="116" t="n"/>
      <c r="F3447" s="115" t="n"/>
      <c r="G3447" s="117">
        <f>IF(COUNTA(B3447:E3447)=0,"",IF(COUNTA(B3447:E3447)&lt;4,"⚠ กรอกไม่ครบ",IF(NOT(ISNUMBER(B3447)),"⚠ วันที่ไม่ถูกต้อง",IF(COUNTIFS(Setup!$L$6:$L$60,D3447,Setup!$M$6:$M$60,C3447)=0,"⚠ หมวดไม่ตรงประเภท","✓"))))</f>
        <v/>
      </c>
    </row>
    <row r="3448">
      <c r="B3448" s="113" t="n"/>
      <c r="C3448" s="114" t="n"/>
      <c r="D3448" s="115" t="n"/>
      <c r="E3448" s="116" t="n"/>
      <c r="F3448" s="115" t="n"/>
      <c r="G3448" s="117">
        <f>IF(COUNTA(B3448:E3448)=0,"",IF(COUNTA(B3448:E3448)&lt;4,"⚠ กรอกไม่ครบ",IF(NOT(ISNUMBER(B3448)),"⚠ วันที่ไม่ถูกต้อง",IF(COUNTIFS(Setup!$L$6:$L$60,D3448,Setup!$M$6:$M$60,C3448)=0,"⚠ หมวดไม่ตรงประเภท","✓"))))</f>
        <v/>
      </c>
    </row>
    <row r="3449">
      <c r="B3449" s="113" t="n"/>
      <c r="C3449" s="114" t="n"/>
      <c r="D3449" s="115" t="n"/>
      <c r="E3449" s="116" t="n"/>
      <c r="F3449" s="115" t="n"/>
      <c r="G3449" s="117">
        <f>IF(COUNTA(B3449:E3449)=0,"",IF(COUNTA(B3449:E3449)&lt;4,"⚠ กรอกไม่ครบ",IF(NOT(ISNUMBER(B3449)),"⚠ วันที่ไม่ถูกต้อง",IF(COUNTIFS(Setup!$L$6:$L$60,D3449,Setup!$M$6:$M$60,C3449)=0,"⚠ หมวดไม่ตรงประเภท","✓"))))</f>
        <v/>
      </c>
    </row>
    <row r="3450">
      <c r="B3450" s="113" t="n"/>
      <c r="C3450" s="114" t="n"/>
      <c r="D3450" s="115" t="n"/>
      <c r="E3450" s="116" t="n"/>
      <c r="F3450" s="115" t="n"/>
      <c r="G3450" s="117">
        <f>IF(COUNTA(B3450:E3450)=0,"",IF(COUNTA(B3450:E3450)&lt;4,"⚠ กรอกไม่ครบ",IF(NOT(ISNUMBER(B3450)),"⚠ วันที่ไม่ถูกต้อง",IF(COUNTIFS(Setup!$L$6:$L$60,D3450,Setup!$M$6:$M$60,C3450)=0,"⚠ หมวดไม่ตรงประเภท","✓"))))</f>
        <v/>
      </c>
    </row>
    <row r="3451">
      <c r="B3451" s="113" t="n"/>
      <c r="C3451" s="114" t="n"/>
      <c r="D3451" s="115" t="n"/>
      <c r="E3451" s="116" t="n"/>
      <c r="F3451" s="115" t="n"/>
      <c r="G3451" s="117">
        <f>IF(COUNTA(B3451:E3451)=0,"",IF(COUNTA(B3451:E3451)&lt;4,"⚠ กรอกไม่ครบ",IF(NOT(ISNUMBER(B3451)),"⚠ วันที่ไม่ถูกต้อง",IF(COUNTIFS(Setup!$L$6:$L$60,D3451,Setup!$M$6:$M$60,C3451)=0,"⚠ หมวดไม่ตรงประเภท","✓"))))</f>
        <v/>
      </c>
    </row>
    <row r="3452">
      <c r="B3452" s="113" t="n"/>
      <c r="C3452" s="114" t="n"/>
      <c r="D3452" s="115" t="n"/>
      <c r="E3452" s="116" t="n"/>
      <c r="F3452" s="115" t="n"/>
      <c r="G3452" s="117">
        <f>IF(COUNTA(B3452:E3452)=0,"",IF(COUNTA(B3452:E3452)&lt;4,"⚠ กรอกไม่ครบ",IF(NOT(ISNUMBER(B3452)),"⚠ วันที่ไม่ถูกต้อง",IF(COUNTIFS(Setup!$L$6:$L$60,D3452,Setup!$M$6:$M$60,C3452)=0,"⚠ หมวดไม่ตรงประเภท","✓"))))</f>
        <v/>
      </c>
    </row>
    <row r="3453">
      <c r="B3453" s="113" t="n"/>
      <c r="C3453" s="114" t="n"/>
      <c r="D3453" s="115" t="n"/>
      <c r="E3453" s="116" t="n"/>
      <c r="F3453" s="115" t="n"/>
      <c r="G3453" s="117">
        <f>IF(COUNTA(B3453:E3453)=0,"",IF(COUNTA(B3453:E3453)&lt;4,"⚠ กรอกไม่ครบ",IF(NOT(ISNUMBER(B3453)),"⚠ วันที่ไม่ถูกต้อง",IF(COUNTIFS(Setup!$L$6:$L$60,D3453,Setup!$M$6:$M$60,C3453)=0,"⚠ หมวดไม่ตรงประเภท","✓"))))</f>
        <v/>
      </c>
    </row>
    <row r="3454">
      <c r="B3454" s="113" t="n"/>
      <c r="C3454" s="114" t="n"/>
      <c r="D3454" s="115" t="n"/>
      <c r="E3454" s="116" t="n"/>
      <c r="F3454" s="115" t="n"/>
      <c r="G3454" s="117">
        <f>IF(COUNTA(B3454:E3454)=0,"",IF(COUNTA(B3454:E3454)&lt;4,"⚠ กรอกไม่ครบ",IF(NOT(ISNUMBER(B3454)),"⚠ วันที่ไม่ถูกต้อง",IF(COUNTIFS(Setup!$L$6:$L$60,D3454,Setup!$M$6:$M$60,C3454)=0,"⚠ หมวดไม่ตรงประเภท","✓"))))</f>
        <v/>
      </c>
    </row>
    <row r="3455">
      <c r="B3455" s="113" t="n"/>
      <c r="C3455" s="114" t="n"/>
      <c r="D3455" s="115" t="n"/>
      <c r="E3455" s="116" t="n"/>
      <c r="F3455" s="115" t="n"/>
      <c r="G3455" s="117">
        <f>IF(COUNTA(B3455:E3455)=0,"",IF(COUNTA(B3455:E3455)&lt;4,"⚠ กรอกไม่ครบ",IF(NOT(ISNUMBER(B3455)),"⚠ วันที่ไม่ถูกต้อง",IF(COUNTIFS(Setup!$L$6:$L$60,D3455,Setup!$M$6:$M$60,C3455)=0,"⚠ หมวดไม่ตรงประเภท","✓"))))</f>
        <v/>
      </c>
    </row>
    <row r="3456">
      <c r="B3456" s="113" t="n"/>
      <c r="C3456" s="114" t="n"/>
      <c r="D3456" s="115" t="n"/>
      <c r="E3456" s="116" t="n"/>
      <c r="F3456" s="115" t="n"/>
      <c r="G3456" s="117">
        <f>IF(COUNTA(B3456:E3456)=0,"",IF(COUNTA(B3456:E3456)&lt;4,"⚠ กรอกไม่ครบ",IF(NOT(ISNUMBER(B3456)),"⚠ วันที่ไม่ถูกต้อง",IF(COUNTIFS(Setup!$L$6:$L$60,D3456,Setup!$M$6:$M$60,C3456)=0,"⚠ หมวดไม่ตรงประเภท","✓"))))</f>
        <v/>
      </c>
    </row>
    <row r="3457">
      <c r="B3457" s="113" t="n"/>
      <c r="C3457" s="114" t="n"/>
      <c r="D3457" s="115" t="n"/>
      <c r="E3457" s="116" t="n"/>
      <c r="F3457" s="115" t="n"/>
      <c r="G3457" s="117">
        <f>IF(COUNTA(B3457:E3457)=0,"",IF(COUNTA(B3457:E3457)&lt;4,"⚠ กรอกไม่ครบ",IF(NOT(ISNUMBER(B3457)),"⚠ วันที่ไม่ถูกต้อง",IF(COUNTIFS(Setup!$L$6:$L$60,D3457,Setup!$M$6:$M$60,C3457)=0,"⚠ หมวดไม่ตรงประเภท","✓"))))</f>
        <v/>
      </c>
    </row>
    <row r="3458">
      <c r="B3458" s="113" t="n"/>
      <c r="C3458" s="114" t="n"/>
      <c r="D3458" s="115" t="n"/>
      <c r="E3458" s="116" t="n"/>
      <c r="F3458" s="115" t="n"/>
      <c r="G3458" s="117">
        <f>IF(COUNTA(B3458:E3458)=0,"",IF(COUNTA(B3458:E3458)&lt;4,"⚠ กรอกไม่ครบ",IF(NOT(ISNUMBER(B3458)),"⚠ วันที่ไม่ถูกต้อง",IF(COUNTIFS(Setup!$L$6:$L$60,D3458,Setup!$M$6:$M$60,C3458)=0,"⚠ หมวดไม่ตรงประเภท","✓"))))</f>
        <v/>
      </c>
    </row>
    <row r="3459">
      <c r="B3459" s="113" t="n"/>
      <c r="C3459" s="114" t="n"/>
      <c r="D3459" s="115" t="n"/>
      <c r="E3459" s="116" t="n"/>
      <c r="F3459" s="115" t="n"/>
      <c r="G3459" s="117">
        <f>IF(COUNTA(B3459:E3459)=0,"",IF(COUNTA(B3459:E3459)&lt;4,"⚠ กรอกไม่ครบ",IF(NOT(ISNUMBER(B3459)),"⚠ วันที่ไม่ถูกต้อง",IF(COUNTIFS(Setup!$L$6:$L$60,D3459,Setup!$M$6:$M$60,C3459)=0,"⚠ หมวดไม่ตรงประเภท","✓"))))</f>
        <v/>
      </c>
    </row>
    <row r="3460">
      <c r="B3460" s="113" t="n"/>
      <c r="C3460" s="114" t="n"/>
      <c r="D3460" s="115" t="n"/>
      <c r="E3460" s="116" t="n"/>
      <c r="F3460" s="115" t="n"/>
      <c r="G3460" s="117">
        <f>IF(COUNTA(B3460:E3460)=0,"",IF(COUNTA(B3460:E3460)&lt;4,"⚠ กรอกไม่ครบ",IF(NOT(ISNUMBER(B3460)),"⚠ วันที่ไม่ถูกต้อง",IF(COUNTIFS(Setup!$L$6:$L$60,D3460,Setup!$M$6:$M$60,C3460)=0,"⚠ หมวดไม่ตรงประเภท","✓"))))</f>
        <v/>
      </c>
    </row>
    <row r="3461">
      <c r="B3461" s="113" t="n"/>
      <c r="C3461" s="114" t="n"/>
      <c r="D3461" s="115" t="n"/>
      <c r="E3461" s="116" t="n"/>
      <c r="F3461" s="115" t="n"/>
      <c r="G3461" s="117">
        <f>IF(COUNTA(B3461:E3461)=0,"",IF(COUNTA(B3461:E3461)&lt;4,"⚠ กรอกไม่ครบ",IF(NOT(ISNUMBER(B3461)),"⚠ วันที่ไม่ถูกต้อง",IF(COUNTIFS(Setup!$L$6:$L$60,D3461,Setup!$M$6:$M$60,C3461)=0,"⚠ หมวดไม่ตรงประเภท","✓"))))</f>
        <v/>
      </c>
    </row>
    <row r="3462">
      <c r="B3462" s="113" t="n"/>
      <c r="C3462" s="114" t="n"/>
      <c r="D3462" s="115" t="n"/>
      <c r="E3462" s="116" t="n"/>
      <c r="F3462" s="115" t="n"/>
      <c r="G3462" s="117">
        <f>IF(COUNTA(B3462:E3462)=0,"",IF(COUNTA(B3462:E3462)&lt;4,"⚠ กรอกไม่ครบ",IF(NOT(ISNUMBER(B3462)),"⚠ วันที่ไม่ถูกต้อง",IF(COUNTIFS(Setup!$L$6:$L$60,D3462,Setup!$M$6:$M$60,C3462)=0,"⚠ หมวดไม่ตรงประเภท","✓"))))</f>
        <v/>
      </c>
    </row>
    <row r="3463">
      <c r="B3463" s="113" t="n"/>
      <c r="C3463" s="114" t="n"/>
      <c r="D3463" s="115" t="n"/>
      <c r="E3463" s="116" t="n"/>
      <c r="F3463" s="115" t="n"/>
      <c r="G3463" s="117">
        <f>IF(COUNTA(B3463:E3463)=0,"",IF(COUNTA(B3463:E3463)&lt;4,"⚠ กรอกไม่ครบ",IF(NOT(ISNUMBER(B3463)),"⚠ วันที่ไม่ถูกต้อง",IF(COUNTIFS(Setup!$L$6:$L$60,D3463,Setup!$M$6:$M$60,C3463)=0,"⚠ หมวดไม่ตรงประเภท","✓"))))</f>
        <v/>
      </c>
    </row>
    <row r="3464">
      <c r="B3464" s="113" t="n"/>
      <c r="C3464" s="114" t="n"/>
      <c r="D3464" s="115" t="n"/>
      <c r="E3464" s="116" t="n"/>
      <c r="F3464" s="115" t="n"/>
      <c r="G3464" s="117">
        <f>IF(COUNTA(B3464:E3464)=0,"",IF(COUNTA(B3464:E3464)&lt;4,"⚠ กรอกไม่ครบ",IF(NOT(ISNUMBER(B3464)),"⚠ วันที่ไม่ถูกต้อง",IF(COUNTIFS(Setup!$L$6:$L$60,D3464,Setup!$M$6:$M$60,C3464)=0,"⚠ หมวดไม่ตรงประเภท","✓"))))</f>
        <v/>
      </c>
    </row>
    <row r="3465">
      <c r="B3465" s="113" t="n"/>
      <c r="C3465" s="114" t="n"/>
      <c r="D3465" s="115" t="n"/>
      <c r="E3465" s="116" t="n"/>
      <c r="F3465" s="115" t="n"/>
      <c r="G3465" s="117">
        <f>IF(COUNTA(B3465:E3465)=0,"",IF(COUNTA(B3465:E3465)&lt;4,"⚠ กรอกไม่ครบ",IF(NOT(ISNUMBER(B3465)),"⚠ วันที่ไม่ถูกต้อง",IF(COUNTIFS(Setup!$L$6:$L$60,D3465,Setup!$M$6:$M$60,C3465)=0,"⚠ หมวดไม่ตรงประเภท","✓"))))</f>
        <v/>
      </c>
    </row>
    <row r="3466">
      <c r="B3466" s="113" t="n"/>
      <c r="C3466" s="114" t="n"/>
      <c r="D3466" s="115" t="n"/>
      <c r="E3466" s="116" t="n"/>
      <c r="F3466" s="115" t="n"/>
      <c r="G3466" s="117">
        <f>IF(COUNTA(B3466:E3466)=0,"",IF(COUNTA(B3466:E3466)&lt;4,"⚠ กรอกไม่ครบ",IF(NOT(ISNUMBER(B3466)),"⚠ วันที่ไม่ถูกต้อง",IF(COUNTIFS(Setup!$L$6:$L$60,D3466,Setup!$M$6:$M$60,C3466)=0,"⚠ หมวดไม่ตรงประเภท","✓"))))</f>
        <v/>
      </c>
    </row>
    <row r="3467">
      <c r="B3467" s="113" t="n"/>
      <c r="C3467" s="114" t="n"/>
      <c r="D3467" s="115" t="n"/>
      <c r="E3467" s="116" t="n"/>
      <c r="F3467" s="115" t="n"/>
      <c r="G3467" s="117">
        <f>IF(COUNTA(B3467:E3467)=0,"",IF(COUNTA(B3467:E3467)&lt;4,"⚠ กรอกไม่ครบ",IF(NOT(ISNUMBER(B3467)),"⚠ วันที่ไม่ถูกต้อง",IF(COUNTIFS(Setup!$L$6:$L$60,D3467,Setup!$M$6:$M$60,C3467)=0,"⚠ หมวดไม่ตรงประเภท","✓"))))</f>
        <v/>
      </c>
    </row>
    <row r="3468">
      <c r="B3468" s="113" t="n"/>
      <c r="C3468" s="114" t="n"/>
      <c r="D3468" s="115" t="n"/>
      <c r="E3468" s="116" t="n"/>
      <c r="F3468" s="115" t="n"/>
      <c r="G3468" s="117">
        <f>IF(COUNTA(B3468:E3468)=0,"",IF(COUNTA(B3468:E3468)&lt;4,"⚠ กรอกไม่ครบ",IF(NOT(ISNUMBER(B3468)),"⚠ วันที่ไม่ถูกต้อง",IF(COUNTIFS(Setup!$L$6:$L$60,D3468,Setup!$M$6:$M$60,C3468)=0,"⚠ หมวดไม่ตรงประเภท","✓"))))</f>
        <v/>
      </c>
    </row>
    <row r="3469">
      <c r="B3469" s="113" t="n"/>
      <c r="C3469" s="114" t="n"/>
      <c r="D3469" s="115" t="n"/>
      <c r="E3469" s="116" t="n"/>
      <c r="F3469" s="115" t="n"/>
      <c r="G3469" s="117">
        <f>IF(COUNTA(B3469:E3469)=0,"",IF(COUNTA(B3469:E3469)&lt;4,"⚠ กรอกไม่ครบ",IF(NOT(ISNUMBER(B3469)),"⚠ วันที่ไม่ถูกต้อง",IF(COUNTIFS(Setup!$L$6:$L$60,D3469,Setup!$M$6:$M$60,C3469)=0,"⚠ หมวดไม่ตรงประเภท","✓"))))</f>
        <v/>
      </c>
    </row>
    <row r="3470">
      <c r="B3470" s="113" t="n"/>
      <c r="C3470" s="114" t="n"/>
      <c r="D3470" s="115" t="n"/>
      <c r="E3470" s="116" t="n"/>
      <c r="F3470" s="115" t="n"/>
      <c r="G3470" s="117">
        <f>IF(COUNTA(B3470:E3470)=0,"",IF(COUNTA(B3470:E3470)&lt;4,"⚠ กรอกไม่ครบ",IF(NOT(ISNUMBER(B3470)),"⚠ วันที่ไม่ถูกต้อง",IF(COUNTIFS(Setup!$L$6:$L$60,D3470,Setup!$M$6:$M$60,C3470)=0,"⚠ หมวดไม่ตรงประเภท","✓"))))</f>
        <v/>
      </c>
    </row>
    <row r="3471">
      <c r="B3471" s="113" t="n"/>
      <c r="C3471" s="114" t="n"/>
      <c r="D3471" s="115" t="n"/>
      <c r="E3471" s="116" t="n"/>
      <c r="F3471" s="115" t="n"/>
      <c r="G3471" s="117">
        <f>IF(COUNTA(B3471:E3471)=0,"",IF(COUNTA(B3471:E3471)&lt;4,"⚠ กรอกไม่ครบ",IF(NOT(ISNUMBER(B3471)),"⚠ วันที่ไม่ถูกต้อง",IF(COUNTIFS(Setup!$L$6:$L$60,D3471,Setup!$M$6:$M$60,C3471)=0,"⚠ หมวดไม่ตรงประเภท","✓"))))</f>
        <v/>
      </c>
    </row>
    <row r="3472">
      <c r="B3472" s="113" t="n"/>
      <c r="C3472" s="114" t="n"/>
      <c r="D3472" s="115" t="n"/>
      <c r="E3472" s="116" t="n"/>
      <c r="F3472" s="115" t="n"/>
      <c r="G3472" s="117">
        <f>IF(COUNTA(B3472:E3472)=0,"",IF(COUNTA(B3472:E3472)&lt;4,"⚠ กรอกไม่ครบ",IF(NOT(ISNUMBER(B3472)),"⚠ วันที่ไม่ถูกต้อง",IF(COUNTIFS(Setup!$L$6:$L$60,D3472,Setup!$M$6:$M$60,C3472)=0,"⚠ หมวดไม่ตรงประเภท","✓"))))</f>
        <v/>
      </c>
    </row>
    <row r="3473">
      <c r="B3473" s="113" t="n"/>
      <c r="C3473" s="114" t="n"/>
      <c r="D3473" s="115" t="n"/>
      <c r="E3473" s="116" t="n"/>
      <c r="F3473" s="115" t="n"/>
      <c r="G3473" s="117">
        <f>IF(COUNTA(B3473:E3473)=0,"",IF(COUNTA(B3473:E3473)&lt;4,"⚠ กรอกไม่ครบ",IF(NOT(ISNUMBER(B3473)),"⚠ วันที่ไม่ถูกต้อง",IF(COUNTIFS(Setup!$L$6:$L$60,D3473,Setup!$M$6:$M$60,C3473)=0,"⚠ หมวดไม่ตรงประเภท","✓"))))</f>
        <v/>
      </c>
    </row>
    <row r="3474">
      <c r="B3474" s="113" t="n"/>
      <c r="C3474" s="114" t="n"/>
      <c r="D3474" s="115" t="n"/>
      <c r="E3474" s="116" t="n"/>
      <c r="F3474" s="115" t="n"/>
      <c r="G3474" s="117">
        <f>IF(COUNTA(B3474:E3474)=0,"",IF(COUNTA(B3474:E3474)&lt;4,"⚠ กรอกไม่ครบ",IF(NOT(ISNUMBER(B3474)),"⚠ วันที่ไม่ถูกต้อง",IF(COUNTIFS(Setup!$L$6:$L$60,D3474,Setup!$M$6:$M$60,C3474)=0,"⚠ หมวดไม่ตรงประเภท","✓"))))</f>
        <v/>
      </c>
    </row>
    <row r="3475">
      <c r="B3475" s="113" t="n"/>
      <c r="C3475" s="114" t="n"/>
      <c r="D3475" s="115" t="n"/>
      <c r="E3475" s="116" t="n"/>
      <c r="F3475" s="115" t="n"/>
      <c r="G3475" s="117">
        <f>IF(COUNTA(B3475:E3475)=0,"",IF(COUNTA(B3475:E3475)&lt;4,"⚠ กรอกไม่ครบ",IF(NOT(ISNUMBER(B3475)),"⚠ วันที่ไม่ถูกต้อง",IF(COUNTIFS(Setup!$L$6:$L$60,D3475,Setup!$M$6:$M$60,C3475)=0,"⚠ หมวดไม่ตรงประเภท","✓"))))</f>
        <v/>
      </c>
    </row>
    <row r="3476">
      <c r="B3476" s="113" t="n"/>
      <c r="C3476" s="114" t="n"/>
      <c r="D3476" s="115" t="n"/>
      <c r="E3476" s="116" t="n"/>
      <c r="F3476" s="115" t="n"/>
      <c r="G3476" s="117">
        <f>IF(COUNTA(B3476:E3476)=0,"",IF(COUNTA(B3476:E3476)&lt;4,"⚠ กรอกไม่ครบ",IF(NOT(ISNUMBER(B3476)),"⚠ วันที่ไม่ถูกต้อง",IF(COUNTIFS(Setup!$L$6:$L$60,D3476,Setup!$M$6:$M$60,C3476)=0,"⚠ หมวดไม่ตรงประเภท","✓"))))</f>
        <v/>
      </c>
    </row>
    <row r="3477">
      <c r="B3477" s="113" t="n"/>
      <c r="C3477" s="114" t="n"/>
      <c r="D3477" s="115" t="n"/>
      <c r="E3477" s="116" t="n"/>
      <c r="F3477" s="115" t="n"/>
      <c r="G3477" s="117">
        <f>IF(COUNTA(B3477:E3477)=0,"",IF(COUNTA(B3477:E3477)&lt;4,"⚠ กรอกไม่ครบ",IF(NOT(ISNUMBER(B3477)),"⚠ วันที่ไม่ถูกต้อง",IF(COUNTIFS(Setup!$L$6:$L$60,D3477,Setup!$M$6:$M$60,C3477)=0,"⚠ หมวดไม่ตรงประเภท","✓"))))</f>
        <v/>
      </c>
    </row>
    <row r="3478">
      <c r="B3478" s="113" t="n"/>
      <c r="C3478" s="114" t="n"/>
      <c r="D3478" s="115" t="n"/>
      <c r="E3478" s="116" t="n"/>
      <c r="F3478" s="115" t="n"/>
      <c r="G3478" s="117">
        <f>IF(COUNTA(B3478:E3478)=0,"",IF(COUNTA(B3478:E3478)&lt;4,"⚠ กรอกไม่ครบ",IF(NOT(ISNUMBER(B3478)),"⚠ วันที่ไม่ถูกต้อง",IF(COUNTIFS(Setup!$L$6:$L$60,D3478,Setup!$M$6:$M$60,C3478)=0,"⚠ หมวดไม่ตรงประเภท","✓"))))</f>
        <v/>
      </c>
    </row>
    <row r="3479">
      <c r="B3479" s="113" t="n"/>
      <c r="C3479" s="114" t="n"/>
      <c r="D3479" s="115" t="n"/>
      <c r="E3479" s="116" t="n"/>
      <c r="F3479" s="115" t="n"/>
      <c r="G3479" s="117">
        <f>IF(COUNTA(B3479:E3479)=0,"",IF(COUNTA(B3479:E3479)&lt;4,"⚠ กรอกไม่ครบ",IF(NOT(ISNUMBER(B3479)),"⚠ วันที่ไม่ถูกต้อง",IF(COUNTIFS(Setup!$L$6:$L$60,D3479,Setup!$M$6:$M$60,C3479)=0,"⚠ หมวดไม่ตรงประเภท","✓"))))</f>
        <v/>
      </c>
    </row>
    <row r="3480">
      <c r="B3480" s="113" t="n"/>
      <c r="C3480" s="114" t="n"/>
      <c r="D3480" s="115" t="n"/>
      <c r="E3480" s="116" t="n"/>
      <c r="F3480" s="115" t="n"/>
      <c r="G3480" s="117">
        <f>IF(COUNTA(B3480:E3480)=0,"",IF(COUNTA(B3480:E3480)&lt;4,"⚠ กรอกไม่ครบ",IF(NOT(ISNUMBER(B3480)),"⚠ วันที่ไม่ถูกต้อง",IF(COUNTIFS(Setup!$L$6:$L$60,D3480,Setup!$M$6:$M$60,C3480)=0,"⚠ หมวดไม่ตรงประเภท","✓"))))</f>
        <v/>
      </c>
    </row>
    <row r="3481">
      <c r="B3481" s="113" t="n"/>
      <c r="C3481" s="114" t="n"/>
      <c r="D3481" s="115" t="n"/>
      <c r="E3481" s="116" t="n"/>
      <c r="F3481" s="115" t="n"/>
      <c r="G3481" s="117">
        <f>IF(COUNTA(B3481:E3481)=0,"",IF(COUNTA(B3481:E3481)&lt;4,"⚠ กรอกไม่ครบ",IF(NOT(ISNUMBER(B3481)),"⚠ วันที่ไม่ถูกต้อง",IF(COUNTIFS(Setup!$L$6:$L$60,D3481,Setup!$M$6:$M$60,C3481)=0,"⚠ หมวดไม่ตรงประเภท","✓"))))</f>
        <v/>
      </c>
    </row>
    <row r="3482">
      <c r="B3482" s="113" t="n"/>
      <c r="C3482" s="114" t="n"/>
      <c r="D3482" s="115" t="n"/>
      <c r="E3482" s="116" t="n"/>
      <c r="F3482" s="115" t="n"/>
      <c r="G3482" s="117">
        <f>IF(COUNTA(B3482:E3482)=0,"",IF(COUNTA(B3482:E3482)&lt;4,"⚠ กรอกไม่ครบ",IF(NOT(ISNUMBER(B3482)),"⚠ วันที่ไม่ถูกต้อง",IF(COUNTIFS(Setup!$L$6:$L$60,D3482,Setup!$M$6:$M$60,C3482)=0,"⚠ หมวดไม่ตรงประเภท","✓"))))</f>
        <v/>
      </c>
    </row>
    <row r="3483">
      <c r="B3483" s="113" t="n"/>
      <c r="C3483" s="114" t="n"/>
      <c r="D3483" s="115" t="n"/>
      <c r="E3483" s="116" t="n"/>
      <c r="F3483" s="115" t="n"/>
      <c r="G3483" s="117">
        <f>IF(COUNTA(B3483:E3483)=0,"",IF(COUNTA(B3483:E3483)&lt;4,"⚠ กรอกไม่ครบ",IF(NOT(ISNUMBER(B3483)),"⚠ วันที่ไม่ถูกต้อง",IF(COUNTIFS(Setup!$L$6:$L$60,D3483,Setup!$M$6:$M$60,C3483)=0,"⚠ หมวดไม่ตรงประเภท","✓"))))</f>
        <v/>
      </c>
    </row>
    <row r="3484">
      <c r="B3484" s="113" t="n"/>
      <c r="C3484" s="114" t="n"/>
      <c r="D3484" s="115" t="n"/>
      <c r="E3484" s="116" t="n"/>
      <c r="F3484" s="115" t="n"/>
      <c r="G3484" s="117">
        <f>IF(COUNTA(B3484:E3484)=0,"",IF(COUNTA(B3484:E3484)&lt;4,"⚠ กรอกไม่ครบ",IF(NOT(ISNUMBER(B3484)),"⚠ วันที่ไม่ถูกต้อง",IF(COUNTIFS(Setup!$L$6:$L$60,D3484,Setup!$M$6:$M$60,C3484)=0,"⚠ หมวดไม่ตรงประเภท","✓"))))</f>
        <v/>
      </c>
    </row>
    <row r="3485">
      <c r="B3485" s="113" t="n"/>
      <c r="C3485" s="114" t="n"/>
      <c r="D3485" s="115" t="n"/>
      <c r="E3485" s="116" t="n"/>
      <c r="F3485" s="115" t="n"/>
      <c r="G3485" s="117">
        <f>IF(COUNTA(B3485:E3485)=0,"",IF(COUNTA(B3485:E3485)&lt;4,"⚠ กรอกไม่ครบ",IF(NOT(ISNUMBER(B3485)),"⚠ วันที่ไม่ถูกต้อง",IF(COUNTIFS(Setup!$L$6:$L$60,D3485,Setup!$M$6:$M$60,C3485)=0,"⚠ หมวดไม่ตรงประเภท","✓"))))</f>
        <v/>
      </c>
    </row>
    <row r="3486">
      <c r="B3486" s="113" t="n"/>
      <c r="C3486" s="114" t="n"/>
      <c r="D3486" s="115" t="n"/>
      <c r="E3486" s="116" t="n"/>
      <c r="F3486" s="115" t="n"/>
      <c r="G3486" s="117">
        <f>IF(COUNTA(B3486:E3486)=0,"",IF(COUNTA(B3486:E3486)&lt;4,"⚠ กรอกไม่ครบ",IF(NOT(ISNUMBER(B3486)),"⚠ วันที่ไม่ถูกต้อง",IF(COUNTIFS(Setup!$L$6:$L$60,D3486,Setup!$M$6:$M$60,C3486)=0,"⚠ หมวดไม่ตรงประเภท","✓"))))</f>
        <v/>
      </c>
    </row>
    <row r="3487">
      <c r="B3487" s="113" t="n"/>
      <c r="C3487" s="114" t="n"/>
      <c r="D3487" s="115" t="n"/>
      <c r="E3487" s="116" t="n"/>
      <c r="F3487" s="115" t="n"/>
      <c r="G3487" s="117">
        <f>IF(COUNTA(B3487:E3487)=0,"",IF(COUNTA(B3487:E3487)&lt;4,"⚠ กรอกไม่ครบ",IF(NOT(ISNUMBER(B3487)),"⚠ วันที่ไม่ถูกต้อง",IF(COUNTIFS(Setup!$L$6:$L$60,D3487,Setup!$M$6:$M$60,C3487)=0,"⚠ หมวดไม่ตรงประเภท","✓"))))</f>
        <v/>
      </c>
    </row>
    <row r="3488">
      <c r="B3488" s="113" t="n"/>
      <c r="C3488" s="114" t="n"/>
      <c r="D3488" s="115" t="n"/>
      <c r="E3488" s="116" t="n"/>
      <c r="F3488" s="115" t="n"/>
      <c r="G3488" s="117">
        <f>IF(COUNTA(B3488:E3488)=0,"",IF(COUNTA(B3488:E3488)&lt;4,"⚠ กรอกไม่ครบ",IF(NOT(ISNUMBER(B3488)),"⚠ วันที่ไม่ถูกต้อง",IF(COUNTIFS(Setup!$L$6:$L$60,D3488,Setup!$M$6:$M$60,C3488)=0,"⚠ หมวดไม่ตรงประเภท","✓"))))</f>
        <v/>
      </c>
    </row>
    <row r="3489">
      <c r="B3489" s="113" t="n"/>
      <c r="C3489" s="114" t="n"/>
      <c r="D3489" s="115" t="n"/>
      <c r="E3489" s="116" t="n"/>
      <c r="F3489" s="115" t="n"/>
      <c r="G3489" s="117">
        <f>IF(COUNTA(B3489:E3489)=0,"",IF(COUNTA(B3489:E3489)&lt;4,"⚠ กรอกไม่ครบ",IF(NOT(ISNUMBER(B3489)),"⚠ วันที่ไม่ถูกต้อง",IF(COUNTIFS(Setup!$L$6:$L$60,D3489,Setup!$M$6:$M$60,C3489)=0,"⚠ หมวดไม่ตรงประเภท","✓"))))</f>
        <v/>
      </c>
    </row>
    <row r="3490">
      <c r="B3490" s="113" t="n"/>
      <c r="C3490" s="114" t="n"/>
      <c r="D3490" s="115" t="n"/>
      <c r="E3490" s="116" t="n"/>
      <c r="F3490" s="115" t="n"/>
      <c r="G3490" s="117">
        <f>IF(COUNTA(B3490:E3490)=0,"",IF(COUNTA(B3490:E3490)&lt;4,"⚠ กรอกไม่ครบ",IF(NOT(ISNUMBER(B3490)),"⚠ วันที่ไม่ถูกต้อง",IF(COUNTIFS(Setup!$L$6:$L$60,D3490,Setup!$M$6:$M$60,C3490)=0,"⚠ หมวดไม่ตรงประเภท","✓"))))</f>
        <v/>
      </c>
    </row>
    <row r="3491">
      <c r="B3491" s="113" t="n"/>
      <c r="C3491" s="114" t="n"/>
      <c r="D3491" s="115" t="n"/>
      <c r="E3491" s="116" t="n"/>
      <c r="F3491" s="115" t="n"/>
      <c r="G3491" s="117">
        <f>IF(COUNTA(B3491:E3491)=0,"",IF(COUNTA(B3491:E3491)&lt;4,"⚠ กรอกไม่ครบ",IF(NOT(ISNUMBER(B3491)),"⚠ วันที่ไม่ถูกต้อง",IF(COUNTIFS(Setup!$L$6:$L$60,D3491,Setup!$M$6:$M$60,C3491)=0,"⚠ หมวดไม่ตรงประเภท","✓"))))</f>
        <v/>
      </c>
    </row>
    <row r="3492">
      <c r="B3492" s="113" t="n"/>
      <c r="C3492" s="114" t="n"/>
      <c r="D3492" s="115" t="n"/>
      <c r="E3492" s="116" t="n"/>
      <c r="F3492" s="115" t="n"/>
      <c r="G3492" s="117">
        <f>IF(COUNTA(B3492:E3492)=0,"",IF(COUNTA(B3492:E3492)&lt;4,"⚠ กรอกไม่ครบ",IF(NOT(ISNUMBER(B3492)),"⚠ วันที่ไม่ถูกต้อง",IF(COUNTIFS(Setup!$L$6:$L$60,D3492,Setup!$M$6:$M$60,C3492)=0,"⚠ หมวดไม่ตรงประเภท","✓"))))</f>
        <v/>
      </c>
    </row>
    <row r="3493">
      <c r="B3493" s="113" t="n"/>
      <c r="C3493" s="114" t="n"/>
      <c r="D3493" s="115" t="n"/>
      <c r="E3493" s="116" t="n"/>
      <c r="F3493" s="115" t="n"/>
      <c r="G3493" s="117">
        <f>IF(COUNTA(B3493:E3493)=0,"",IF(COUNTA(B3493:E3493)&lt;4,"⚠ กรอกไม่ครบ",IF(NOT(ISNUMBER(B3493)),"⚠ วันที่ไม่ถูกต้อง",IF(COUNTIFS(Setup!$L$6:$L$60,D3493,Setup!$M$6:$M$60,C3493)=0,"⚠ หมวดไม่ตรงประเภท","✓"))))</f>
        <v/>
      </c>
    </row>
    <row r="3494">
      <c r="B3494" s="113" t="n"/>
      <c r="C3494" s="114" t="n"/>
      <c r="D3494" s="115" t="n"/>
      <c r="E3494" s="116" t="n"/>
      <c r="F3494" s="115" t="n"/>
      <c r="G3494" s="117">
        <f>IF(COUNTA(B3494:E3494)=0,"",IF(COUNTA(B3494:E3494)&lt;4,"⚠ กรอกไม่ครบ",IF(NOT(ISNUMBER(B3494)),"⚠ วันที่ไม่ถูกต้อง",IF(COUNTIFS(Setup!$L$6:$L$60,D3494,Setup!$M$6:$M$60,C3494)=0,"⚠ หมวดไม่ตรงประเภท","✓"))))</f>
        <v/>
      </c>
    </row>
    <row r="3495">
      <c r="B3495" s="113" t="n"/>
      <c r="C3495" s="114" t="n"/>
      <c r="D3495" s="115" t="n"/>
      <c r="E3495" s="116" t="n"/>
      <c r="F3495" s="115" t="n"/>
      <c r="G3495" s="117">
        <f>IF(COUNTA(B3495:E3495)=0,"",IF(COUNTA(B3495:E3495)&lt;4,"⚠ กรอกไม่ครบ",IF(NOT(ISNUMBER(B3495)),"⚠ วันที่ไม่ถูกต้อง",IF(COUNTIFS(Setup!$L$6:$L$60,D3495,Setup!$M$6:$M$60,C3495)=0,"⚠ หมวดไม่ตรงประเภท","✓"))))</f>
        <v/>
      </c>
    </row>
    <row r="3496">
      <c r="B3496" s="113" t="n"/>
      <c r="C3496" s="114" t="n"/>
      <c r="D3496" s="115" t="n"/>
      <c r="E3496" s="116" t="n"/>
      <c r="F3496" s="115" t="n"/>
      <c r="G3496" s="117">
        <f>IF(COUNTA(B3496:E3496)=0,"",IF(COUNTA(B3496:E3496)&lt;4,"⚠ กรอกไม่ครบ",IF(NOT(ISNUMBER(B3496)),"⚠ วันที่ไม่ถูกต้อง",IF(COUNTIFS(Setup!$L$6:$L$60,D3496,Setup!$M$6:$M$60,C3496)=0,"⚠ หมวดไม่ตรงประเภท","✓"))))</f>
        <v/>
      </c>
    </row>
    <row r="3497">
      <c r="B3497" s="113" t="n"/>
      <c r="C3497" s="114" t="n"/>
      <c r="D3497" s="115" t="n"/>
      <c r="E3497" s="116" t="n"/>
      <c r="F3497" s="115" t="n"/>
      <c r="G3497" s="117">
        <f>IF(COUNTA(B3497:E3497)=0,"",IF(COUNTA(B3497:E3497)&lt;4,"⚠ กรอกไม่ครบ",IF(NOT(ISNUMBER(B3497)),"⚠ วันที่ไม่ถูกต้อง",IF(COUNTIFS(Setup!$L$6:$L$60,D3497,Setup!$M$6:$M$60,C3497)=0,"⚠ หมวดไม่ตรงประเภท","✓"))))</f>
        <v/>
      </c>
    </row>
    <row r="3498">
      <c r="B3498" s="113" t="n"/>
      <c r="C3498" s="114" t="n"/>
      <c r="D3498" s="115" t="n"/>
      <c r="E3498" s="116" t="n"/>
      <c r="F3498" s="115" t="n"/>
      <c r="G3498" s="117">
        <f>IF(COUNTA(B3498:E3498)=0,"",IF(COUNTA(B3498:E3498)&lt;4,"⚠ กรอกไม่ครบ",IF(NOT(ISNUMBER(B3498)),"⚠ วันที่ไม่ถูกต้อง",IF(COUNTIFS(Setup!$L$6:$L$60,D3498,Setup!$M$6:$M$60,C3498)=0,"⚠ หมวดไม่ตรงประเภท","✓"))))</f>
        <v/>
      </c>
    </row>
    <row r="3499">
      <c r="B3499" s="113" t="n"/>
      <c r="C3499" s="114" t="n"/>
      <c r="D3499" s="115" t="n"/>
      <c r="E3499" s="116" t="n"/>
      <c r="F3499" s="115" t="n"/>
      <c r="G3499" s="117">
        <f>IF(COUNTA(B3499:E3499)=0,"",IF(COUNTA(B3499:E3499)&lt;4,"⚠ กรอกไม่ครบ",IF(NOT(ISNUMBER(B3499)),"⚠ วันที่ไม่ถูกต้อง",IF(COUNTIFS(Setup!$L$6:$L$60,D3499,Setup!$M$6:$M$60,C3499)=0,"⚠ หมวดไม่ตรงประเภท","✓"))))</f>
        <v/>
      </c>
    </row>
    <row r="3500">
      <c r="B3500" s="113" t="n"/>
      <c r="C3500" s="114" t="n"/>
      <c r="D3500" s="115" t="n"/>
      <c r="E3500" s="116" t="n"/>
      <c r="F3500" s="115" t="n"/>
      <c r="G3500" s="117">
        <f>IF(COUNTA(B3500:E3500)=0,"",IF(COUNTA(B3500:E3500)&lt;4,"⚠ กรอกไม่ครบ",IF(NOT(ISNUMBER(B3500)),"⚠ วันที่ไม่ถูกต้อง",IF(COUNTIFS(Setup!$L$6:$L$60,D3500,Setup!$M$6:$M$60,C3500)=0,"⚠ หมวดไม่ตรงประเภท","✓"))))</f>
        <v/>
      </c>
    </row>
    <row r="3501">
      <c r="B3501" s="113" t="n"/>
      <c r="C3501" s="114" t="n"/>
      <c r="D3501" s="115" t="n"/>
      <c r="E3501" s="116" t="n"/>
      <c r="F3501" s="115" t="n"/>
      <c r="G3501" s="117">
        <f>IF(COUNTA(B3501:E3501)=0,"",IF(COUNTA(B3501:E3501)&lt;4,"⚠ กรอกไม่ครบ",IF(NOT(ISNUMBER(B3501)),"⚠ วันที่ไม่ถูกต้อง",IF(COUNTIFS(Setup!$L$6:$L$60,D3501,Setup!$M$6:$M$60,C3501)=0,"⚠ หมวดไม่ตรงประเภท","✓"))))</f>
        <v/>
      </c>
    </row>
    <row r="3502">
      <c r="B3502" s="113" t="n"/>
      <c r="C3502" s="114" t="n"/>
      <c r="D3502" s="115" t="n"/>
      <c r="E3502" s="116" t="n"/>
      <c r="F3502" s="115" t="n"/>
      <c r="G3502" s="117">
        <f>IF(COUNTA(B3502:E3502)=0,"",IF(COUNTA(B3502:E3502)&lt;4,"⚠ กรอกไม่ครบ",IF(NOT(ISNUMBER(B3502)),"⚠ วันที่ไม่ถูกต้อง",IF(COUNTIFS(Setup!$L$6:$L$60,D3502,Setup!$M$6:$M$60,C3502)=0,"⚠ หมวดไม่ตรงประเภท","✓"))))</f>
        <v/>
      </c>
    </row>
    <row r="3503">
      <c r="B3503" s="113" t="n"/>
      <c r="C3503" s="114" t="n"/>
      <c r="D3503" s="115" t="n"/>
      <c r="E3503" s="116" t="n"/>
      <c r="F3503" s="115" t="n"/>
      <c r="G3503" s="117">
        <f>IF(COUNTA(B3503:E3503)=0,"",IF(COUNTA(B3503:E3503)&lt;4,"⚠ กรอกไม่ครบ",IF(NOT(ISNUMBER(B3503)),"⚠ วันที่ไม่ถูกต้อง",IF(COUNTIFS(Setup!$L$6:$L$60,D3503,Setup!$M$6:$M$60,C3503)=0,"⚠ หมวดไม่ตรงประเภท","✓"))))</f>
        <v/>
      </c>
    </row>
    <row r="3504">
      <c r="B3504" s="113" t="n"/>
      <c r="C3504" s="114" t="n"/>
      <c r="D3504" s="115" t="n"/>
      <c r="E3504" s="116" t="n"/>
      <c r="F3504" s="115" t="n"/>
      <c r="G3504" s="117">
        <f>IF(COUNTA(B3504:E3504)=0,"",IF(COUNTA(B3504:E3504)&lt;4,"⚠ กรอกไม่ครบ",IF(NOT(ISNUMBER(B3504)),"⚠ วันที่ไม่ถูกต้อง",IF(COUNTIFS(Setup!$L$6:$L$60,D3504,Setup!$M$6:$M$60,C3504)=0,"⚠ หมวดไม่ตรงประเภท","✓"))))</f>
        <v/>
      </c>
    </row>
    <row r="3505">
      <c r="B3505" s="113" t="n"/>
      <c r="C3505" s="114" t="n"/>
      <c r="D3505" s="115" t="n"/>
      <c r="E3505" s="116" t="n"/>
      <c r="F3505" s="115" t="n"/>
      <c r="G3505" s="117">
        <f>IF(COUNTA(B3505:E3505)=0,"",IF(COUNTA(B3505:E3505)&lt;4,"⚠ กรอกไม่ครบ",IF(NOT(ISNUMBER(B3505)),"⚠ วันที่ไม่ถูกต้อง",IF(COUNTIFS(Setup!$L$6:$L$60,D3505,Setup!$M$6:$M$60,C3505)=0,"⚠ หมวดไม่ตรงประเภท","✓"))))</f>
        <v/>
      </c>
    </row>
    <row r="3506">
      <c r="B3506" s="113" t="n"/>
      <c r="C3506" s="114" t="n"/>
      <c r="D3506" s="115" t="n"/>
      <c r="E3506" s="116" t="n"/>
      <c r="F3506" s="115" t="n"/>
      <c r="G3506" s="117">
        <f>IF(COUNTA(B3506:E3506)=0,"",IF(COUNTA(B3506:E3506)&lt;4,"⚠ กรอกไม่ครบ",IF(NOT(ISNUMBER(B3506)),"⚠ วันที่ไม่ถูกต้อง",IF(COUNTIFS(Setup!$L$6:$L$60,D3506,Setup!$M$6:$M$60,C3506)=0,"⚠ หมวดไม่ตรงประเภท","✓"))))</f>
        <v/>
      </c>
    </row>
    <row r="3507">
      <c r="B3507" s="113" t="n"/>
      <c r="C3507" s="114" t="n"/>
      <c r="D3507" s="115" t="n"/>
      <c r="E3507" s="116" t="n"/>
      <c r="F3507" s="115" t="n"/>
      <c r="G3507" s="117">
        <f>IF(COUNTA(B3507:E3507)=0,"",IF(COUNTA(B3507:E3507)&lt;4,"⚠ กรอกไม่ครบ",IF(NOT(ISNUMBER(B3507)),"⚠ วันที่ไม่ถูกต้อง",IF(COUNTIFS(Setup!$L$6:$L$60,D3507,Setup!$M$6:$M$60,C3507)=0,"⚠ หมวดไม่ตรงประเภท","✓"))))</f>
        <v/>
      </c>
    </row>
    <row r="3508">
      <c r="B3508" s="113" t="n"/>
      <c r="C3508" s="114" t="n"/>
      <c r="D3508" s="115" t="n"/>
      <c r="E3508" s="116" t="n"/>
      <c r="F3508" s="115" t="n"/>
      <c r="G3508" s="117">
        <f>IF(COUNTA(B3508:E3508)=0,"",IF(COUNTA(B3508:E3508)&lt;4,"⚠ กรอกไม่ครบ",IF(NOT(ISNUMBER(B3508)),"⚠ วันที่ไม่ถูกต้อง",IF(COUNTIFS(Setup!$L$6:$L$60,D3508,Setup!$M$6:$M$60,C3508)=0,"⚠ หมวดไม่ตรงประเภท","✓"))))</f>
        <v/>
      </c>
    </row>
    <row r="3509">
      <c r="B3509" s="113" t="n"/>
      <c r="C3509" s="114" t="n"/>
      <c r="D3509" s="115" t="n"/>
      <c r="E3509" s="116" t="n"/>
      <c r="F3509" s="115" t="n"/>
      <c r="G3509" s="117">
        <f>IF(COUNTA(B3509:E3509)=0,"",IF(COUNTA(B3509:E3509)&lt;4,"⚠ กรอกไม่ครบ",IF(NOT(ISNUMBER(B3509)),"⚠ วันที่ไม่ถูกต้อง",IF(COUNTIFS(Setup!$L$6:$L$60,D3509,Setup!$M$6:$M$60,C3509)=0,"⚠ หมวดไม่ตรงประเภท","✓"))))</f>
        <v/>
      </c>
    </row>
    <row r="3510">
      <c r="B3510" s="113" t="n"/>
      <c r="C3510" s="114" t="n"/>
      <c r="D3510" s="115" t="n"/>
      <c r="E3510" s="116" t="n"/>
      <c r="F3510" s="115" t="n"/>
      <c r="G3510" s="117">
        <f>IF(COUNTA(B3510:E3510)=0,"",IF(COUNTA(B3510:E3510)&lt;4,"⚠ กรอกไม่ครบ",IF(NOT(ISNUMBER(B3510)),"⚠ วันที่ไม่ถูกต้อง",IF(COUNTIFS(Setup!$L$6:$L$60,D3510,Setup!$M$6:$M$60,C3510)=0,"⚠ หมวดไม่ตรงประเภท","✓"))))</f>
        <v/>
      </c>
    </row>
    <row r="3511">
      <c r="B3511" s="113" t="n"/>
      <c r="C3511" s="114" t="n"/>
      <c r="D3511" s="115" t="n"/>
      <c r="E3511" s="116" t="n"/>
      <c r="F3511" s="115" t="n"/>
      <c r="G3511" s="117">
        <f>IF(COUNTA(B3511:E3511)=0,"",IF(COUNTA(B3511:E3511)&lt;4,"⚠ กรอกไม่ครบ",IF(NOT(ISNUMBER(B3511)),"⚠ วันที่ไม่ถูกต้อง",IF(COUNTIFS(Setup!$L$6:$L$60,D3511,Setup!$M$6:$M$60,C3511)=0,"⚠ หมวดไม่ตรงประเภท","✓"))))</f>
        <v/>
      </c>
    </row>
    <row r="3512">
      <c r="B3512" s="113" t="n"/>
      <c r="C3512" s="114" t="n"/>
      <c r="D3512" s="115" t="n"/>
      <c r="E3512" s="116" t="n"/>
      <c r="F3512" s="115" t="n"/>
      <c r="G3512" s="117">
        <f>IF(COUNTA(B3512:E3512)=0,"",IF(COUNTA(B3512:E3512)&lt;4,"⚠ กรอกไม่ครบ",IF(NOT(ISNUMBER(B3512)),"⚠ วันที่ไม่ถูกต้อง",IF(COUNTIFS(Setup!$L$6:$L$60,D3512,Setup!$M$6:$M$60,C3512)=0,"⚠ หมวดไม่ตรงประเภท","✓"))))</f>
        <v/>
      </c>
    </row>
    <row r="3513">
      <c r="B3513" s="113" t="n"/>
      <c r="C3513" s="114" t="n"/>
      <c r="D3513" s="115" t="n"/>
      <c r="E3513" s="116" t="n"/>
      <c r="F3513" s="115" t="n"/>
      <c r="G3513" s="117">
        <f>IF(COUNTA(B3513:E3513)=0,"",IF(COUNTA(B3513:E3513)&lt;4,"⚠ กรอกไม่ครบ",IF(NOT(ISNUMBER(B3513)),"⚠ วันที่ไม่ถูกต้อง",IF(COUNTIFS(Setup!$L$6:$L$60,D3513,Setup!$M$6:$M$60,C3513)=0,"⚠ หมวดไม่ตรงประเภท","✓"))))</f>
        <v/>
      </c>
    </row>
    <row r="3514">
      <c r="B3514" s="113" t="n"/>
      <c r="C3514" s="114" t="n"/>
      <c r="D3514" s="115" t="n"/>
      <c r="E3514" s="116" t="n"/>
      <c r="F3514" s="115" t="n"/>
      <c r="G3514" s="117">
        <f>IF(COUNTA(B3514:E3514)=0,"",IF(COUNTA(B3514:E3514)&lt;4,"⚠ กรอกไม่ครบ",IF(NOT(ISNUMBER(B3514)),"⚠ วันที่ไม่ถูกต้อง",IF(COUNTIFS(Setup!$L$6:$L$60,D3514,Setup!$M$6:$M$60,C3514)=0,"⚠ หมวดไม่ตรงประเภท","✓"))))</f>
        <v/>
      </c>
    </row>
    <row r="3515">
      <c r="B3515" s="113" t="n"/>
      <c r="C3515" s="114" t="n"/>
      <c r="D3515" s="115" t="n"/>
      <c r="E3515" s="116" t="n"/>
      <c r="F3515" s="115" t="n"/>
      <c r="G3515" s="117">
        <f>IF(COUNTA(B3515:E3515)=0,"",IF(COUNTA(B3515:E3515)&lt;4,"⚠ กรอกไม่ครบ",IF(NOT(ISNUMBER(B3515)),"⚠ วันที่ไม่ถูกต้อง",IF(COUNTIFS(Setup!$L$6:$L$60,D3515,Setup!$M$6:$M$60,C3515)=0,"⚠ หมวดไม่ตรงประเภท","✓"))))</f>
        <v/>
      </c>
    </row>
    <row r="3516">
      <c r="B3516" s="113" t="n"/>
      <c r="C3516" s="114" t="n"/>
      <c r="D3516" s="115" t="n"/>
      <c r="E3516" s="116" t="n"/>
      <c r="F3516" s="115" t="n"/>
      <c r="G3516" s="117">
        <f>IF(COUNTA(B3516:E3516)=0,"",IF(COUNTA(B3516:E3516)&lt;4,"⚠ กรอกไม่ครบ",IF(NOT(ISNUMBER(B3516)),"⚠ วันที่ไม่ถูกต้อง",IF(COUNTIFS(Setup!$L$6:$L$60,D3516,Setup!$M$6:$M$60,C3516)=0,"⚠ หมวดไม่ตรงประเภท","✓"))))</f>
        <v/>
      </c>
    </row>
    <row r="3517">
      <c r="B3517" s="113" t="n"/>
      <c r="C3517" s="114" t="n"/>
      <c r="D3517" s="115" t="n"/>
      <c r="E3517" s="116" t="n"/>
      <c r="F3517" s="115" t="n"/>
      <c r="G3517" s="117">
        <f>IF(COUNTA(B3517:E3517)=0,"",IF(COUNTA(B3517:E3517)&lt;4,"⚠ กรอกไม่ครบ",IF(NOT(ISNUMBER(B3517)),"⚠ วันที่ไม่ถูกต้อง",IF(COUNTIFS(Setup!$L$6:$L$60,D3517,Setup!$M$6:$M$60,C3517)=0,"⚠ หมวดไม่ตรงประเภท","✓"))))</f>
        <v/>
      </c>
    </row>
    <row r="3518">
      <c r="B3518" s="113" t="n"/>
      <c r="C3518" s="114" t="n"/>
      <c r="D3518" s="115" t="n"/>
      <c r="E3518" s="116" t="n"/>
      <c r="F3518" s="115" t="n"/>
      <c r="G3518" s="117">
        <f>IF(COUNTA(B3518:E3518)=0,"",IF(COUNTA(B3518:E3518)&lt;4,"⚠ กรอกไม่ครบ",IF(NOT(ISNUMBER(B3518)),"⚠ วันที่ไม่ถูกต้อง",IF(COUNTIFS(Setup!$L$6:$L$60,D3518,Setup!$M$6:$M$60,C3518)=0,"⚠ หมวดไม่ตรงประเภท","✓"))))</f>
        <v/>
      </c>
    </row>
    <row r="3519">
      <c r="B3519" s="113" t="n"/>
      <c r="C3519" s="114" t="n"/>
      <c r="D3519" s="115" t="n"/>
      <c r="E3519" s="116" t="n"/>
      <c r="F3519" s="115" t="n"/>
      <c r="G3519" s="117">
        <f>IF(COUNTA(B3519:E3519)=0,"",IF(COUNTA(B3519:E3519)&lt;4,"⚠ กรอกไม่ครบ",IF(NOT(ISNUMBER(B3519)),"⚠ วันที่ไม่ถูกต้อง",IF(COUNTIFS(Setup!$L$6:$L$60,D3519,Setup!$M$6:$M$60,C3519)=0,"⚠ หมวดไม่ตรงประเภท","✓"))))</f>
        <v/>
      </c>
    </row>
    <row r="3520">
      <c r="B3520" s="113" t="n"/>
      <c r="C3520" s="114" t="n"/>
      <c r="D3520" s="115" t="n"/>
      <c r="E3520" s="116" t="n"/>
      <c r="F3520" s="115" t="n"/>
      <c r="G3520" s="117">
        <f>IF(COUNTA(B3520:E3520)=0,"",IF(COUNTA(B3520:E3520)&lt;4,"⚠ กรอกไม่ครบ",IF(NOT(ISNUMBER(B3520)),"⚠ วันที่ไม่ถูกต้อง",IF(COUNTIFS(Setup!$L$6:$L$60,D3520,Setup!$M$6:$M$60,C3520)=0,"⚠ หมวดไม่ตรงประเภท","✓"))))</f>
        <v/>
      </c>
    </row>
    <row r="3521">
      <c r="B3521" s="113" t="n"/>
      <c r="C3521" s="114" t="n"/>
      <c r="D3521" s="115" t="n"/>
      <c r="E3521" s="116" t="n"/>
      <c r="F3521" s="115" t="n"/>
      <c r="G3521" s="117">
        <f>IF(COUNTA(B3521:E3521)=0,"",IF(COUNTA(B3521:E3521)&lt;4,"⚠ กรอกไม่ครบ",IF(NOT(ISNUMBER(B3521)),"⚠ วันที่ไม่ถูกต้อง",IF(COUNTIFS(Setup!$L$6:$L$60,D3521,Setup!$M$6:$M$60,C3521)=0,"⚠ หมวดไม่ตรงประเภท","✓"))))</f>
        <v/>
      </c>
    </row>
    <row r="3522">
      <c r="B3522" s="113" t="n"/>
      <c r="C3522" s="114" t="n"/>
      <c r="D3522" s="115" t="n"/>
      <c r="E3522" s="116" t="n"/>
      <c r="F3522" s="115" t="n"/>
      <c r="G3522" s="117">
        <f>IF(COUNTA(B3522:E3522)=0,"",IF(COUNTA(B3522:E3522)&lt;4,"⚠ กรอกไม่ครบ",IF(NOT(ISNUMBER(B3522)),"⚠ วันที่ไม่ถูกต้อง",IF(COUNTIFS(Setup!$L$6:$L$60,D3522,Setup!$M$6:$M$60,C3522)=0,"⚠ หมวดไม่ตรงประเภท","✓"))))</f>
        <v/>
      </c>
    </row>
    <row r="3523">
      <c r="B3523" s="113" t="n"/>
      <c r="C3523" s="114" t="n"/>
      <c r="D3523" s="115" t="n"/>
      <c r="E3523" s="116" t="n"/>
      <c r="F3523" s="115" t="n"/>
      <c r="G3523" s="117">
        <f>IF(COUNTA(B3523:E3523)=0,"",IF(COUNTA(B3523:E3523)&lt;4,"⚠ กรอกไม่ครบ",IF(NOT(ISNUMBER(B3523)),"⚠ วันที่ไม่ถูกต้อง",IF(COUNTIFS(Setup!$L$6:$L$60,D3523,Setup!$M$6:$M$60,C3523)=0,"⚠ หมวดไม่ตรงประเภท","✓"))))</f>
        <v/>
      </c>
    </row>
    <row r="3524">
      <c r="B3524" s="113" t="n"/>
      <c r="C3524" s="114" t="n"/>
      <c r="D3524" s="115" t="n"/>
      <c r="E3524" s="116" t="n"/>
      <c r="F3524" s="115" t="n"/>
      <c r="G3524" s="117">
        <f>IF(COUNTA(B3524:E3524)=0,"",IF(COUNTA(B3524:E3524)&lt;4,"⚠ กรอกไม่ครบ",IF(NOT(ISNUMBER(B3524)),"⚠ วันที่ไม่ถูกต้อง",IF(COUNTIFS(Setup!$L$6:$L$60,D3524,Setup!$M$6:$M$60,C3524)=0,"⚠ หมวดไม่ตรงประเภท","✓"))))</f>
        <v/>
      </c>
    </row>
    <row r="3525">
      <c r="B3525" s="113" t="n"/>
      <c r="C3525" s="114" t="n"/>
      <c r="D3525" s="115" t="n"/>
      <c r="E3525" s="116" t="n"/>
      <c r="F3525" s="115" t="n"/>
      <c r="G3525" s="117">
        <f>IF(COUNTA(B3525:E3525)=0,"",IF(COUNTA(B3525:E3525)&lt;4,"⚠ กรอกไม่ครบ",IF(NOT(ISNUMBER(B3525)),"⚠ วันที่ไม่ถูกต้อง",IF(COUNTIFS(Setup!$L$6:$L$60,D3525,Setup!$M$6:$M$60,C3525)=0,"⚠ หมวดไม่ตรงประเภท","✓"))))</f>
        <v/>
      </c>
    </row>
    <row r="3526">
      <c r="B3526" s="113" t="n"/>
      <c r="C3526" s="114" t="n"/>
      <c r="D3526" s="115" t="n"/>
      <c r="E3526" s="116" t="n"/>
      <c r="F3526" s="115" t="n"/>
      <c r="G3526" s="117">
        <f>IF(COUNTA(B3526:E3526)=0,"",IF(COUNTA(B3526:E3526)&lt;4,"⚠ กรอกไม่ครบ",IF(NOT(ISNUMBER(B3526)),"⚠ วันที่ไม่ถูกต้อง",IF(COUNTIFS(Setup!$L$6:$L$60,D3526,Setup!$M$6:$M$60,C3526)=0,"⚠ หมวดไม่ตรงประเภท","✓"))))</f>
        <v/>
      </c>
    </row>
    <row r="3527">
      <c r="B3527" s="113" t="n"/>
      <c r="C3527" s="114" t="n"/>
      <c r="D3527" s="115" t="n"/>
      <c r="E3527" s="116" t="n"/>
      <c r="F3527" s="115" t="n"/>
      <c r="G3527" s="117">
        <f>IF(COUNTA(B3527:E3527)=0,"",IF(COUNTA(B3527:E3527)&lt;4,"⚠ กรอกไม่ครบ",IF(NOT(ISNUMBER(B3527)),"⚠ วันที่ไม่ถูกต้อง",IF(COUNTIFS(Setup!$L$6:$L$60,D3527,Setup!$M$6:$M$60,C3527)=0,"⚠ หมวดไม่ตรงประเภท","✓"))))</f>
        <v/>
      </c>
    </row>
    <row r="3528">
      <c r="B3528" s="113" t="n"/>
      <c r="C3528" s="114" t="n"/>
      <c r="D3528" s="115" t="n"/>
      <c r="E3528" s="116" t="n"/>
      <c r="F3528" s="115" t="n"/>
      <c r="G3528" s="117">
        <f>IF(COUNTA(B3528:E3528)=0,"",IF(COUNTA(B3528:E3528)&lt;4,"⚠ กรอกไม่ครบ",IF(NOT(ISNUMBER(B3528)),"⚠ วันที่ไม่ถูกต้อง",IF(COUNTIFS(Setup!$L$6:$L$60,D3528,Setup!$M$6:$M$60,C3528)=0,"⚠ หมวดไม่ตรงประเภท","✓"))))</f>
        <v/>
      </c>
    </row>
    <row r="3529">
      <c r="B3529" s="113" t="n"/>
      <c r="C3529" s="114" t="n"/>
      <c r="D3529" s="115" t="n"/>
      <c r="E3529" s="116" t="n"/>
      <c r="F3529" s="115" t="n"/>
      <c r="G3529" s="117">
        <f>IF(COUNTA(B3529:E3529)=0,"",IF(COUNTA(B3529:E3529)&lt;4,"⚠ กรอกไม่ครบ",IF(NOT(ISNUMBER(B3529)),"⚠ วันที่ไม่ถูกต้อง",IF(COUNTIFS(Setup!$L$6:$L$60,D3529,Setup!$M$6:$M$60,C3529)=0,"⚠ หมวดไม่ตรงประเภท","✓"))))</f>
        <v/>
      </c>
    </row>
    <row r="3530">
      <c r="B3530" s="113" t="n"/>
      <c r="C3530" s="114" t="n"/>
      <c r="D3530" s="115" t="n"/>
      <c r="E3530" s="116" t="n"/>
      <c r="F3530" s="115" t="n"/>
      <c r="G3530" s="117">
        <f>IF(COUNTA(B3530:E3530)=0,"",IF(COUNTA(B3530:E3530)&lt;4,"⚠ กรอกไม่ครบ",IF(NOT(ISNUMBER(B3530)),"⚠ วันที่ไม่ถูกต้อง",IF(COUNTIFS(Setup!$L$6:$L$60,D3530,Setup!$M$6:$M$60,C3530)=0,"⚠ หมวดไม่ตรงประเภท","✓"))))</f>
        <v/>
      </c>
    </row>
    <row r="3531">
      <c r="B3531" s="113" t="n"/>
      <c r="C3531" s="114" t="n"/>
      <c r="D3531" s="115" t="n"/>
      <c r="E3531" s="116" t="n"/>
      <c r="F3531" s="115" t="n"/>
      <c r="G3531" s="117">
        <f>IF(COUNTA(B3531:E3531)=0,"",IF(COUNTA(B3531:E3531)&lt;4,"⚠ กรอกไม่ครบ",IF(NOT(ISNUMBER(B3531)),"⚠ วันที่ไม่ถูกต้อง",IF(COUNTIFS(Setup!$L$6:$L$60,D3531,Setup!$M$6:$M$60,C3531)=0,"⚠ หมวดไม่ตรงประเภท","✓"))))</f>
        <v/>
      </c>
    </row>
    <row r="3532">
      <c r="B3532" s="113" t="n"/>
      <c r="C3532" s="114" t="n"/>
      <c r="D3532" s="115" t="n"/>
      <c r="E3532" s="116" t="n"/>
      <c r="F3532" s="115" t="n"/>
      <c r="G3532" s="117">
        <f>IF(COUNTA(B3532:E3532)=0,"",IF(COUNTA(B3532:E3532)&lt;4,"⚠ กรอกไม่ครบ",IF(NOT(ISNUMBER(B3532)),"⚠ วันที่ไม่ถูกต้อง",IF(COUNTIFS(Setup!$L$6:$L$60,D3532,Setup!$M$6:$M$60,C3532)=0,"⚠ หมวดไม่ตรงประเภท","✓"))))</f>
        <v/>
      </c>
    </row>
    <row r="3533">
      <c r="B3533" s="113" t="n"/>
      <c r="C3533" s="114" t="n"/>
      <c r="D3533" s="115" t="n"/>
      <c r="E3533" s="116" t="n"/>
      <c r="F3533" s="115" t="n"/>
      <c r="G3533" s="117">
        <f>IF(COUNTA(B3533:E3533)=0,"",IF(COUNTA(B3533:E3533)&lt;4,"⚠ กรอกไม่ครบ",IF(NOT(ISNUMBER(B3533)),"⚠ วันที่ไม่ถูกต้อง",IF(COUNTIFS(Setup!$L$6:$L$60,D3533,Setup!$M$6:$M$60,C3533)=0,"⚠ หมวดไม่ตรงประเภท","✓"))))</f>
        <v/>
      </c>
    </row>
    <row r="3534">
      <c r="B3534" s="113" t="n"/>
      <c r="C3534" s="114" t="n"/>
      <c r="D3534" s="115" t="n"/>
      <c r="E3534" s="116" t="n"/>
      <c r="F3534" s="115" t="n"/>
      <c r="G3534" s="117">
        <f>IF(COUNTA(B3534:E3534)=0,"",IF(COUNTA(B3534:E3534)&lt;4,"⚠ กรอกไม่ครบ",IF(NOT(ISNUMBER(B3534)),"⚠ วันที่ไม่ถูกต้อง",IF(COUNTIFS(Setup!$L$6:$L$60,D3534,Setup!$M$6:$M$60,C3534)=0,"⚠ หมวดไม่ตรงประเภท","✓"))))</f>
        <v/>
      </c>
    </row>
    <row r="3535">
      <c r="B3535" s="113" t="n"/>
      <c r="C3535" s="114" t="n"/>
      <c r="D3535" s="115" t="n"/>
      <c r="E3535" s="116" t="n"/>
      <c r="F3535" s="115" t="n"/>
      <c r="G3535" s="117">
        <f>IF(COUNTA(B3535:E3535)=0,"",IF(COUNTA(B3535:E3535)&lt;4,"⚠ กรอกไม่ครบ",IF(NOT(ISNUMBER(B3535)),"⚠ วันที่ไม่ถูกต้อง",IF(COUNTIFS(Setup!$L$6:$L$60,D3535,Setup!$M$6:$M$60,C3535)=0,"⚠ หมวดไม่ตรงประเภท","✓"))))</f>
        <v/>
      </c>
    </row>
    <row r="3536">
      <c r="B3536" s="113" t="n"/>
      <c r="C3536" s="114" t="n"/>
      <c r="D3536" s="115" t="n"/>
      <c r="E3536" s="116" t="n"/>
      <c r="F3536" s="115" t="n"/>
      <c r="G3536" s="117">
        <f>IF(COUNTA(B3536:E3536)=0,"",IF(COUNTA(B3536:E3536)&lt;4,"⚠ กรอกไม่ครบ",IF(NOT(ISNUMBER(B3536)),"⚠ วันที่ไม่ถูกต้อง",IF(COUNTIFS(Setup!$L$6:$L$60,D3536,Setup!$M$6:$M$60,C3536)=0,"⚠ หมวดไม่ตรงประเภท","✓"))))</f>
        <v/>
      </c>
    </row>
    <row r="3537">
      <c r="B3537" s="113" t="n"/>
      <c r="C3537" s="114" t="n"/>
      <c r="D3537" s="115" t="n"/>
      <c r="E3537" s="116" t="n"/>
      <c r="F3537" s="115" t="n"/>
      <c r="G3537" s="117">
        <f>IF(COUNTA(B3537:E3537)=0,"",IF(COUNTA(B3537:E3537)&lt;4,"⚠ กรอกไม่ครบ",IF(NOT(ISNUMBER(B3537)),"⚠ วันที่ไม่ถูกต้อง",IF(COUNTIFS(Setup!$L$6:$L$60,D3537,Setup!$M$6:$M$60,C3537)=0,"⚠ หมวดไม่ตรงประเภท","✓"))))</f>
        <v/>
      </c>
    </row>
    <row r="3538">
      <c r="B3538" s="113" t="n"/>
      <c r="C3538" s="114" t="n"/>
      <c r="D3538" s="115" t="n"/>
      <c r="E3538" s="116" t="n"/>
      <c r="F3538" s="115" t="n"/>
      <c r="G3538" s="117">
        <f>IF(COUNTA(B3538:E3538)=0,"",IF(COUNTA(B3538:E3538)&lt;4,"⚠ กรอกไม่ครบ",IF(NOT(ISNUMBER(B3538)),"⚠ วันที่ไม่ถูกต้อง",IF(COUNTIFS(Setup!$L$6:$L$60,D3538,Setup!$M$6:$M$60,C3538)=0,"⚠ หมวดไม่ตรงประเภท","✓"))))</f>
        <v/>
      </c>
    </row>
    <row r="3539">
      <c r="B3539" s="113" t="n"/>
      <c r="C3539" s="114" t="n"/>
      <c r="D3539" s="115" t="n"/>
      <c r="E3539" s="116" t="n"/>
      <c r="F3539" s="115" t="n"/>
      <c r="G3539" s="117">
        <f>IF(COUNTA(B3539:E3539)=0,"",IF(COUNTA(B3539:E3539)&lt;4,"⚠ กรอกไม่ครบ",IF(NOT(ISNUMBER(B3539)),"⚠ วันที่ไม่ถูกต้อง",IF(COUNTIFS(Setup!$L$6:$L$60,D3539,Setup!$M$6:$M$60,C3539)=0,"⚠ หมวดไม่ตรงประเภท","✓"))))</f>
        <v/>
      </c>
    </row>
    <row r="3540">
      <c r="B3540" s="113" t="n"/>
      <c r="C3540" s="114" t="n"/>
      <c r="D3540" s="115" t="n"/>
      <c r="E3540" s="116" t="n"/>
      <c r="F3540" s="115" t="n"/>
      <c r="G3540" s="117">
        <f>IF(COUNTA(B3540:E3540)=0,"",IF(COUNTA(B3540:E3540)&lt;4,"⚠ กรอกไม่ครบ",IF(NOT(ISNUMBER(B3540)),"⚠ วันที่ไม่ถูกต้อง",IF(COUNTIFS(Setup!$L$6:$L$60,D3540,Setup!$M$6:$M$60,C3540)=0,"⚠ หมวดไม่ตรงประเภท","✓"))))</f>
        <v/>
      </c>
    </row>
    <row r="3541">
      <c r="B3541" s="113" t="n"/>
      <c r="C3541" s="114" t="n"/>
      <c r="D3541" s="115" t="n"/>
      <c r="E3541" s="116" t="n"/>
      <c r="F3541" s="115" t="n"/>
      <c r="G3541" s="117">
        <f>IF(COUNTA(B3541:E3541)=0,"",IF(COUNTA(B3541:E3541)&lt;4,"⚠ กรอกไม่ครบ",IF(NOT(ISNUMBER(B3541)),"⚠ วันที่ไม่ถูกต้อง",IF(COUNTIFS(Setup!$L$6:$L$60,D3541,Setup!$M$6:$M$60,C3541)=0,"⚠ หมวดไม่ตรงประเภท","✓"))))</f>
        <v/>
      </c>
    </row>
    <row r="3542">
      <c r="B3542" s="113" t="n"/>
      <c r="C3542" s="114" t="n"/>
      <c r="D3542" s="115" t="n"/>
      <c r="E3542" s="116" t="n"/>
      <c r="F3542" s="115" t="n"/>
      <c r="G3542" s="117">
        <f>IF(COUNTA(B3542:E3542)=0,"",IF(COUNTA(B3542:E3542)&lt;4,"⚠ กรอกไม่ครบ",IF(NOT(ISNUMBER(B3542)),"⚠ วันที่ไม่ถูกต้อง",IF(COUNTIFS(Setup!$L$6:$L$60,D3542,Setup!$M$6:$M$60,C3542)=0,"⚠ หมวดไม่ตรงประเภท","✓"))))</f>
        <v/>
      </c>
    </row>
    <row r="3543">
      <c r="B3543" s="113" t="n"/>
      <c r="C3543" s="114" t="n"/>
      <c r="D3543" s="115" t="n"/>
      <c r="E3543" s="116" t="n"/>
      <c r="F3543" s="115" t="n"/>
      <c r="G3543" s="117">
        <f>IF(COUNTA(B3543:E3543)=0,"",IF(COUNTA(B3543:E3543)&lt;4,"⚠ กรอกไม่ครบ",IF(NOT(ISNUMBER(B3543)),"⚠ วันที่ไม่ถูกต้อง",IF(COUNTIFS(Setup!$L$6:$L$60,D3543,Setup!$M$6:$M$60,C3543)=0,"⚠ หมวดไม่ตรงประเภท","✓"))))</f>
        <v/>
      </c>
    </row>
    <row r="3544">
      <c r="B3544" s="113" t="n"/>
      <c r="C3544" s="114" t="n"/>
      <c r="D3544" s="115" t="n"/>
      <c r="E3544" s="116" t="n"/>
      <c r="F3544" s="115" t="n"/>
      <c r="G3544" s="117">
        <f>IF(COUNTA(B3544:E3544)=0,"",IF(COUNTA(B3544:E3544)&lt;4,"⚠ กรอกไม่ครบ",IF(NOT(ISNUMBER(B3544)),"⚠ วันที่ไม่ถูกต้อง",IF(COUNTIFS(Setup!$L$6:$L$60,D3544,Setup!$M$6:$M$60,C3544)=0,"⚠ หมวดไม่ตรงประเภท","✓"))))</f>
        <v/>
      </c>
    </row>
    <row r="3545">
      <c r="B3545" s="113" t="n"/>
      <c r="C3545" s="114" t="n"/>
      <c r="D3545" s="115" t="n"/>
      <c r="E3545" s="116" t="n"/>
      <c r="F3545" s="115" t="n"/>
      <c r="G3545" s="117">
        <f>IF(COUNTA(B3545:E3545)=0,"",IF(COUNTA(B3545:E3545)&lt;4,"⚠ กรอกไม่ครบ",IF(NOT(ISNUMBER(B3545)),"⚠ วันที่ไม่ถูกต้อง",IF(COUNTIFS(Setup!$L$6:$L$60,D3545,Setup!$M$6:$M$60,C3545)=0,"⚠ หมวดไม่ตรงประเภท","✓"))))</f>
        <v/>
      </c>
    </row>
    <row r="3546">
      <c r="B3546" s="113" t="n"/>
      <c r="C3546" s="114" t="n"/>
      <c r="D3546" s="115" t="n"/>
      <c r="E3546" s="116" t="n"/>
      <c r="F3546" s="115" t="n"/>
      <c r="G3546" s="117">
        <f>IF(COUNTA(B3546:E3546)=0,"",IF(COUNTA(B3546:E3546)&lt;4,"⚠ กรอกไม่ครบ",IF(NOT(ISNUMBER(B3546)),"⚠ วันที่ไม่ถูกต้อง",IF(COUNTIFS(Setup!$L$6:$L$60,D3546,Setup!$M$6:$M$60,C3546)=0,"⚠ หมวดไม่ตรงประเภท","✓"))))</f>
        <v/>
      </c>
    </row>
    <row r="3547">
      <c r="B3547" s="113" t="n"/>
      <c r="C3547" s="114" t="n"/>
      <c r="D3547" s="115" t="n"/>
      <c r="E3547" s="116" t="n"/>
      <c r="F3547" s="115" t="n"/>
      <c r="G3547" s="117">
        <f>IF(COUNTA(B3547:E3547)=0,"",IF(COUNTA(B3547:E3547)&lt;4,"⚠ กรอกไม่ครบ",IF(NOT(ISNUMBER(B3547)),"⚠ วันที่ไม่ถูกต้อง",IF(COUNTIFS(Setup!$L$6:$L$60,D3547,Setup!$M$6:$M$60,C3547)=0,"⚠ หมวดไม่ตรงประเภท","✓"))))</f>
        <v/>
      </c>
    </row>
    <row r="3548">
      <c r="B3548" s="113" t="n"/>
      <c r="C3548" s="114" t="n"/>
      <c r="D3548" s="115" t="n"/>
      <c r="E3548" s="116" t="n"/>
      <c r="F3548" s="115" t="n"/>
      <c r="G3548" s="117">
        <f>IF(COUNTA(B3548:E3548)=0,"",IF(COUNTA(B3548:E3548)&lt;4,"⚠ กรอกไม่ครบ",IF(NOT(ISNUMBER(B3548)),"⚠ วันที่ไม่ถูกต้อง",IF(COUNTIFS(Setup!$L$6:$L$60,D3548,Setup!$M$6:$M$60,C3548)=0,"⚠ หมวดไม่ตรงประเภท","✓"))))</f>
        <v/>
      </c>
    </row>
    <row r="3549">
      <c r="B3549" s="113" t="n"/>
      <c r="C3549" s="114" t="n"/>
      <c r="D3549" s="115" t="n"/>
      <c r="E3549" s="116" t="n"/>
      <c r="F3549" s="115" t="n"/>
      <c r="G3549" s="117">
        <f>IF(COUNTA(B3549:E3549)=0,"",IF(COUNTA(B3549:E3549)&lt;4,"⚠ กรอกไม่ครบ",IF(NOT(ISNUMBER(B3549)),"⚠ วันที่ไม่ถูกต้อง",IF(COUNTIFS(Setup!$L$6:$L$60,D3549,Setup!$M$6:$M$60,C3549)=0,"⚠ หมวดไม่ตรงประเภท","✓"))))</f>
        <v/>
      </c>
    </row>
    <row r="3550">
      <c r="B3550" s="113" t="n"/>
      <c r="C3550" s="114" t="n"/>
      <c r="D3550" s="115" t="n"/>
      <c r="E3550" s="116" t="n"/>
      <c r="F3550" s="115" t="n"/>
      <c r="G3550" s="117">
        <f>IF(COUNTA(B3550:E3550)=0,"",IF(COUNTA(B3550:E3550)&lt;4,"⚠ กรอกไม่ครบ",IF(NOT(ISNUMBER(B3550)),"⚠ วันที่ไม่ถูกต้อง",IF(COUNTIFS(Setup!$L$6:$L$60,D3550,Setup!$M$6:$M$60,C3550)=0,"⚠ หมวดไม่ตรงประเภท","✓"))))</f>
        <v/>
      </c>
    </row>
    <row r="3551">
      <c r="B3551" s="113" t="n"/>
      <c r="C3551" s="114" t="n"/>
      <c r="D3551" s="115" t="n"/>
      <c r="E3551" s="116" t="n"/>
      <c r="F3551" s="115" t="n"/>
      <c r="G3551" s="117">
        <f>IF(COUNTA(B3551:E3551)=0,"",IF(COUNTA(B3551:E3551)&lt;4,"⚠ กรอกไม่ครบ",IF(NOT(ISNUMBER(B3551)),"⚠ วันที่ไม่ถูกต้อง",IF(COUNTIFS(Setup!$L$6:$L$60,D3551,Setup!$M$6:$M$60,C3551)=0,"⚠ หมวดไม่ตรงประเภท","✓"))))</f>
        <v/>
      </c>
    </row>
    <row r="3552">
      <c r="B3552" s="113" t="n"/>
      <c r="C3552" s="114" t="n"/>
      <c r="D3552" s="115" t="n"/>
      <c r="E3552" s="116" t="n"/>
      <c r="F3552" s="115" t="n"/>
      <c r="G3552" s="117">
        <f>IF(COUNTA(B3552:E3552)=0,"",IF(COUNTA(B3552:E3552)&lt;4,"⚠ กรอกไม่ครบ",IF(NOT(ISNUMBER(B3552)),"⚠ วันที่ไม่ถูกต้อง",IF(COUNTIFS(Setup!$L$6:$L$60,D3552,Setup!$M$6:$M$60,C3552)=0,"⚠ หมวดไม่ตรงประเภท","✓"))))</f>
        <v/>
      </c>
    </row>
    <row r="3553">
      <c r="B3553" s="113" t="n"/>
      <c r="C3553" s="114" t="n"/>
      <c r="D3553" s="115" t="n"/>
      <c r="E3553" s="116" t="n"/>
      <c r="F3553" s="115" t="n"/>
      <c r="G3553" s="117">
        <f>IF(COUNTA(B3553:E3553)=0,"",IF(COUNTA(B3553:E3553)&lt;4,"⚠ กรอกไม่ครบ",IF(NOT(ISNUMBER(B3553)),"⚠ วันที่ไม่ถูกต้อง",IF(COUNTIFS(Setup!$L$6:$L$60,D3553,Setup!$M$6:$M$60,C3553)=0,"⚠ หมวดไม่ตรงประเภท","✓"))))</f>
        <v/>
      </c>
    </row>
    <row r="3554">
      <c r="B3554" s="113" t="n"/>
      <c r="C3554" s="114" t="n"/>
      <c r="D3554" s="115" t="n"/>
      <c r="E3554" s="116" t="n"/>
      <c r="F3554" s="115" t="n"/>
      <c r="G3554" s="117">
        <f>IF(COUNTA(B3554:E3554)=0,"",IF(COUNTA(B3554:E3554)&lt;4,"⚠ กรอกไม่ครบ",IF(NOT(ISNUMBER(B3554)),"⚠ วันที่ไม่ถูกต้อง",IF(COUNTIFS(Setup!$L$6:$L$60,D3554,Setup!$M$6:$M$60,C3554)=0,"⚠ หมวดไม่ตรงประเภท","✓"))))</f>
        <v/>
      </c>
    </row>
    <row r="3555">
      <c r="B3555" s="113" t="n"/>
      <c r="C3555" s="114" t="n"/>
      <c r="D3555" s="115" t="n"/>
      <c r="E3555" s="116" t="n"/>
      <c r="F3555" s="115" t="n"/>
      <c r="G3555" s="117">
        <f>IF(COUNTA(B3555:E3555)=0,"",IF(COUNTA(B3555:E3555)&lt;4,"⚠ กรอกไม่ครบ",IF(NOT(ISNUMBER(B3555)),"⚠ วันที่ไม่ถูกต้อง",IF(COUNTIFS(Setup!$L$6:$L$60,D3555,Setup!$M$6:$M$60,C3555)=0,"⚠ หมวดไม่ตรงประเภท","✓"))))</f>
        <v/>
      </c>
    </row>
    <row r="3556">
      <c r="B3556" s="113" t="n"/>
      <c r="C3556" s="114" t="n"/>
      <c r="D3556" s="115" t="n"/>
      <c r="E3556" s="116" t="n"/>
      <c r="F3556" s="115" t="n"/>
      <c r="G3556" s="117">
        <f>IF(COUNTA(B3556:E3556)=0,"",IF(COUNTA(B3556:E3556)&lt;4,"⚠ กรอกไม่ครบ",IF(NOT(ISNUMBER(B3556)),"⚠ วันที่ไม่ถูกต้อง",IF(COUNTIFS(Setup!$L$6:$L$60,D3556,Setup!$M$6:$M$60,C3556)=0,"⚠ หมวดไม่ตรงประเภท","✓"))))</f>
        <v/>
      </c>
    </row>
    <row r="3557">
      <c r="B3557" s="113" t="n"/>
      <c r="C3557" s="114" t="n"/>
      <c r="D3557" s="115" t="n"/>
      <c r="E3557" s="116" t="n"/>
      <c r="F3557" s="115" t="n"/>
      <c r="G3557" s="117">
        <f>IF(COUNTA(B3557:E3557)=0,"",IF(COUNTA(B3557:E3557)&lt;4,"⚠ กรอกไม่ครบ",IF(NOT(ISNUMBER(B3557)),"⚠ วันที่ไม่ถูกต้อง",IF(COUNTIFS(Setup!$L$6:$L$60,D3557,Setup!$M$6:$M$60,C3557)=0,"⚠ หมวดไม่ตรงประเภท","✓"))))</f>
        <v/>
      </c>
    </row>
    <row r="3558">
      <c r="B3558" s="113" t="n"/>
      <c r="C3558" s="114" t="n"/>
      <c r="D3558" s="115" t="n"/>
      <c r="E3558" s="116" t="n"/>
      <c r="F3558" s="115" t="n"/>
      <c r="G3558" s="117">
        <f>IF(COUNTA(B3558:E3558)=0,"",IF(COUNTA(B3558:E3558)&lt;4,"⚠ กรอกไม่ครบ",IF(NOT(ISNUMBER(B3558)),"⚠ วันที่ไม่ถูกต้อง",IF(COUNTIFS(Setup!$L$6:$L$60,D3558,Setup!$M$6:$M$60,C3558)=0,"⚠ หมวดไม่ตรงประเภท","✓"))))</f>
        <v/>
      </c>
    </row>
    <row r="3559">
      <c r="B3559" s="113" t="n"/>
      <c r="C3559" s="114" t="n"/>
      <c r="D3559" s="115" t="n"/>
      <c r="E3559" s="116" t="n"/>
      <c r="F3559" s="115" t="n"/>
      <c r="G3559" s="117">
        <f>IF(COUNTA(B3559:E3559)=0,"",IF(COUNTA(B3559:E3559)&lt;4,"⚠ กรอกไม่ครบ",IF(NOT(ISNUMBER(B3559)),"⚠ วันที่ไม่ถูกต้อง",IF(COUNTIFS(Setup!$L$6:$L$60,D3559,Setup!$M$6:$M$60,C3559)=0,"⚠ หมวดไม่ตรงประเภท","✓"))))</f>
        <v/>
      </c>
    </row>
    <row r="3560">
      <c r="B3560" s="113" t="n"/>
      <c r="C3560" s="114" t="n"/>
      <c r="D3560" s="115" t="n"/>
      <c r="E3560" s="116" t="n"/>
      <c r="F3560" s="115" t="n"/>
      <c r="G3560" s="117">
        <f>IF(COUNTA(B3560:E3560)=0,"",IF(COUNTA(B3560:E3560)&lt;4,"⚠ กรอกไม่ครบ",IF(NOT(ISNUMBER(B3560)),"⚠ วันที่ไม่ถูกต้อง",IF(COUNTIFS(Setup!$L$6:$L$60,D3560,Setup!$M$6:$M$60,C3560)=0,"⚠ หมวดไม่ตรงประเภท","✓"))))</f>
        <v/>
      </c>
    </row>
    <row r="3561">
      <c r="B3561" s="113" t="n"/>
      <c r="C3561" s="114" t="n"/>
      <c r="D3561" s="115" t="n"/>
      <c r="E3561" s="116" t="n"/>
      <c r="F3561" s="115" t="n"/>
      <c r="G3561" s="117">
        <f>IF(COUNTA(B3561:E3561)=0,"",IF(COUNTA(B3561:E3561)&lt;4,"⚠ กรอกไม่ครบ",IF(NOT(ISNUMBER(B3561)),"⚠ วันที่ไม่ถูกต้อง",IF(COUNTIFS(Setup!$L$6:$L$60,D3561,Setup!$M$6:$M$60,C3561)=0,"⚠ หมวดไม่ตรงประเภท","✓"))))</f>
        <v/>
      </c>
    </row>
    <row r="3562">
      <c r="B3562" s="113" t="n"/>
      <c r="C3562" s="114" t="n"/>
      <c r="D3562" s="115" t="n"/>
      <c r="E3562" s="116" t="n"/>
      <c r="F3562" s="115" t="n"/>
      <c r="G3562" s="117">
        <f>IF(COUNTA(B3562:E3562)=0,"",IF(COUNTA(B3562:E3562)&lt;4,"⚠ กรอกไม่ครบ",IF(NOT(ISNUMBER(B3562)),"⚠ วันที่ไม่ถูกต้อง",IF(COUNTIFS(Setup!$L$6:$L$60,D3562,Setup!$M$6:$M$60,C3562)=0,"⚠ หมวดไม่ตรงประเภท","✓"))))</f>
        <v/>
      </c>
    </row>
    <row r="3563">
      <c r="B3563" s="113" t="n"/>
      <c r="C3563" s="114" t="n"/>
      <c r="D3563" s="115" t="n"/>
      <c r="E3563" s="116" t="n"/>
      <c r="F3563" s="115" t="n"/>
      <c r="G3563" s="117">
        <f>IF(COUNTA(B3563:E3563)=0,"",IF(COUNTA(B3563:E3563)&lt;4,"⚠ กรอกไม่ครบ",IF(NOT(ISNUMBER(B3563)),"⚠ วันที่ไม่ถูกต้อง",IF(COUNTIFS(Setup!$L$6:$L$60,D3563,Setup!$M$6:$M$60,C3563)=0,"⚠ หมวดไม่ตรงประเภท","✓"))))</f>
        <v/>
      </c>
    </row>
    <row r="3564">
      <c r="B3564" s="113" t="n"/>
      <c r="C3564" s="114" t="n"/>
      <c r="D3564" s="115" t="n"/>
      <c r="E3564" s="116" t="n"/>
      <c r="F3564" s="115" t="n"/>
      <c r="G3564" s="117">
        <f>IF(COUNTA(B3564:E3564)=0,"",IF(COUNTA(B3564:E3564)&lt;4,"⚠ กรอกไม่ครบ",IF(NOT(ISNUMBER(B3564)),"⚠ วันที่ไม่ถูกต้อง",IF(COUNTIFS(Setup!$L$6:$L$60,D3564,Setup!$M$6:$M$60,C3564)=0,"⚠ หมวดไม่ตรงประเภท","✓"))))</f>
        <v/>
      </c>
    </row>
    <row r="3565">
      <c r="B3565" s="113" t="n"/>
      <c r="C3565" s="114" t="n"/>
      <c r="D3565" s="115" t="n"/>
      <c r="E3565" s="116" t="n"/>
      <c r="F3565" s="115" t="n"/>
      <c r="G3565" s="117">
        <f>IF(COUNTA(B3565:E3565)=0,"",IF(COUNTA(B3565:E3565)&lt;4,"⚠ กรอกไม่ครบ",IF(NOT(ISNUMBER(B3565)),"⚠ วันที่ไม่ถูกต้อง",IF(COUNTIFS(Setup!$L$6:$L$60,D3565,Setup!$M$6:$M$60,C3565)=0,"⚠ หมวดไม่ตรงประเภท","✓"))))</f>
        <v/>
      </c>
    </row>
    <row r="3566">
      <c r="B3566" s="113" t="n"/>
      <c r="C3566" s="114" t="n"/>
      <c r="D3566" s="115" t="n"/>
      <c r="E3566" s="116" t="n"/>
      <c r="F3566" s="115" t="n"/>
      <c r="G3566" s="117">
        <f>IF(COUNTA(B3566:E3566)=0,"",IF(COUNTA(B3566:E3566)&lt;4,"⚠ กรอกไม่ครบ",IF(NOT(ISNUMBER(B3566)),"⚠ วันที่ไม่ถูกต้อง",IF(COUNTIFS(Setup!$L$6:$L$60,D3566,Setup!$M$6:$M$60,C3566)=0,"⚠ หมวดไม่ตรงประเภท","✓"))))</f>
        <v/>
      </c>
    </row>
    <row r="3567">
      <c r="B3567" s="113" t="n"/>
      <c r="C3567" s="114" t="n"/>
      <c r="D3567" s="115" t="n"/>
      <c r="E3567" s="116" t="n"/>
      <c r="F3567" s="115" t="n"/>
      <c r="G3567" s="117">
        <f>IF(COUNTA(B3567:E3567)=0,"",IF(COUNTA(B3567:E3567)&lt;4,"⚠ กรอกไม่ครบ",IF(NOT(ISNUMBER(B3567)),"⚠ วันที่ไม่ถูกต้อง",IF(COUNTIFS(Setup!$L$6:$L$60,D3567,Setup!$M$6:$M$60,C3567)=0,"⚠ หมวดไม่ตรงประเภท","✓"))))</f>
        <v/>
      </c>
    </row>
    <row r="3568">
      <c r="B3568" s="113" t="n"/>
      <c r="C3568" s="114" t="n"/>
      <c r="D3568" s="115" t="n"/>
      <c r="E3568" s="116" t="n"/>
      <c r="F3568" s="115" t="n"/>
      <c r="G3568" s="117">
        <f>IF(COUNTA(B3568:E3568)=0,"",IF(COUNTA(B3568:E3568)&lt;4,"⚠ กรอกไม่ครบ",IF(NOT(ISNUMBER(B3568)),"⚠ วันที่ไม่ถูกต้อง",IF(COUNTIFS(Setup!$L$6:$L$60,D3568,Setup!$M$6:$M$60,C3568)=0,"⚠ หมวดไม่ตรงประเภท","✓"))))</f>
        <v/>
      </c>
    </row>
    <row r="3569">
      <c r="B3569" s="113" t="n"/>
      <c r="C3569" s="114" t="n"/>
      <c r="D3569" s="115" t="n"/>
      <c r="E3569" s="116" t="n"/>
      <c r="F3569" s="115" t="n"/>
      <c r="G3569" s="117">
        <f>IF(COUNTA(B3569:E3569)=0,"",IF(COUNTA(B3569:E3569)&lt;4,"⚠ กรอกไม่ครบ",IF(NOT(ISNUMBER(B3569)),"⚠ วันที่ไม่ถูกต้อง",IF(COUNTIFS(Setup!$L$6:$L$60,D3569,Setup!$M$6:$M$60,C3569)=0,"⚠ หมวดไม่ตรงประเภท","✓"))))</f>
        <v/>
      </c>
    </row>
    <row r="3570">
      <c r="B3570" s="113" t="n"/>
      <c r="C3570" s="114" t="n"/>
      <c r="D3570" s="115" t="n"/>
      <c r="E3570" s="116" t="n"/>
      <c r="F3570" s="115" t="n"/>
      <c r="G3570" s="117">
        <f>IF(COUNTA(B3570:E3570)=0,"",IF(COUNTA(B3570:E3570)&lt;4,"⚠ กรอกไม่ครบ",IF(NOT(ISNUMBER(B3570)),"⚠ วันที่ไม่ถูกต้อง",IF(COUNTIFS(Setup!$L$6:$L$60,D3570,Setup!$M$6:$M$60,C3570)=0,"⚠ หมวดไม่ตรงประเภท","✓"))))</f>
        <v/>
      </c>
    </row>
    <row r="3571">
      <c r="B3571" s="113" t="n"/>
      <c r="C3571" s="114" t="n"/>
      <c r="D3571" s="115" t="n"/>
      <c r="E3571" s="116" t="n"/>
      <c r="F3571" s="115" t="n"/>
      <c r="G3571" s="117">
        <f>IF(COUNTA(B3571:E3571)=0,"",IF(COUNTA(B3571:E3571)&lt;4,"⚠ กรอกไม่ครบ",IF(NOT(ISNUMBER(B3571)),"⚠ วันที่ไม่ถูกต้อง",IF(COUNTIFS(Setup!$L$6:$L$60,D3571,Setup!$M$6:$M$60,C3571)=0,"⚠ หมวดไม่ตรงประเภท","✓"))))</f>
        <v/>
      </c>
    </row>
    <row r="3572">
      <c r="B3572" s="113" t="n"/>
      <c r="C3572" s="114" t="n"/>
      <c r="D3572" s="115" t="n"/>
      <c r="E3572" s="116" t="n"/>
      <c r="F3572" s="115" t="n"/>
      <c r="G3572" s="117">
        <f>IF(COUNTA(B3572:E3572)=0,"",IF(COUNTA(B3572:E3572)&lt;4,"⚠ กรอกไม่ครบ",IF(NOT(ISNUMBER(B3572)),"⚠ วันที่ไม่ถูกต้อง",IF(COUNTIFS(Setup!$L$6:$L$60,D3572,Setup!$M$6:$M$60,C3572)=0,"⚠ หมวดไม่ตรงประเภท","✓"))))</f>
        <v/>
      </c>
    </row>
    <row r="3573">
      <c r="B3573" s="113" t="n"/>
      <c r="C3573" s="114" t="n"/>
      <c r="D3573" s="115" t="n"/>
      <c r="E3573" s="116" t="n"/>
      <c r="F3573" s="115" t="n"/>
      <c r="G3573" s="117">
        <f>IF(COUNTA(B3573:E3573)=0,"",IF(COUNTA(B3573:E3573)&lt;4,"⚠ กรอกไม่ครบ",IF(NOT(ISNUMBER(B3573)),"⚠ วันที่ไม่ถูกต้อง",IF(COUNTIFS(Setup!$L$6:$L$60,D3573,Setup!$M$6:$M$60,C3573)=0,"⚠ หมวดไม่ตรงประเภท","✓"))))</f>
        <v/>
      </c>
    </row>
    <row r="3574">
      <c r="B3574" s="113" t="n"/>
      <c r="C3574" s="114" t="n"/>
      <c r="D3574" s="115" t="n"/>
      <c r="E3574" s="116" t="n"/>
      <c r="F3574" s="115" t="n"/>
      <c r="G3574" s="117">
        <f>IF(COUNTA(B3574:E3574)=0,"",IF(COUNTA(B3574:E3574)&lt;4,"⚠ กรอกไม่ครบ",IF(NOT(ISNUMBER(B3574)),"⚠ วันที่ไม่ถูกต้อง",IF(COUNTIFS(Setup!$L$6:$L$60,D3574,Setup!$M$6:$M$60,C3574)=0,"⚠ หมวดไม่ตรงประเภท","✓"))))</f>
        <v/>
      </c>
    </row>
    <row r="3575">
      <c r="B3575" s="113" t="n"/>
      <c r="C3575" s="114" t="n"/>
      <c r="D3575" s="115" t="n"/>
      <c r="E3575" s="116" t="n"/>
      <c r="F3575" s="115" t="n"/>
      <c r="G3575" s="117">
        <f>IF(COUNTA(B3575:E3575)=0,"",IF(COUNTA(B3575:E3575)&lt;4,"⚠ กรอกไม่ครบ",IF(NOT(ISNUMBER(B3575)),"⚠ วันที่ไม่ถูกต้อง",IF(COUNTIFS(Setup!$L$6:$L$60,D3575,Setup!$M$6:$M$60,C3575)=0,"⚠ หมวดไม่ตรงประเภท","✓"))))</f>
        <v/>
      </c>
    </row>
    <row r="3576">
      <c r="B3576" s="113" t="n"/>
      <c r="C3576" s="114" t="n"/>
      <c r="D3576" s="115" t="n"/>
      <c r="E3576" s="116" t="n"/>
      <c r="F3576" s="115" t="n"/>
      <c r="G3576" s="117">
        <f>IF(COUNTA(B3576:E3576)=0,"",IF(COUNTA(B3576:E3576)&lt;4,"⚠ กรอกไม่ครบ",IF(NOT(ISNUMBER(B3576)),"⚠ วันที่ไม่ถูกต้อง",IF(COUNTIFS(Setup!$L$6:$L$60,D3576,Setup!$M$6:$M$60,C3576)=0,"⚠ หมวดไม่ตรงประเภท","✓"))))</f>
        <v/>
      </c>
    </row>
    <row r="3577">
      <c r="B3577" s="113" t="n"/>
      <c r="C3577" s="114" t="n"/>
      <c r="D3577" s="115" t="n"/>
      <c r="E3577" s="116" t="n"/>
      <c r="F3577" s="115" t="n"/>
      <c r="G3577" s="117">
        <f>IF(COUNTA(B3577:E3577)=0,"",IF(COUNTA(B3577:E3577)&lt;4,"⚠ กรอกไม่ครบ",IF(NOT(ISNUMBER(B3577)),"⚠ วันที่ไม่ถูกต้อง",IF(COUNTIFS(Setup!$L$6:$L$60,D3577,Setup!$M$6:$M$60,C3577)=0,"⚠ หมวดไม่ตรงประเภท","✓"))))</f>
        <v/>
      </c>
    </row>
    <row r="3578">
      <c r="B3578" s="113" t="n"/>
      <c r="C3578" s="114" t="n"/>
      <c r="D3578" s="115" t="n"/>
      <c r="E3578" s="116" t="n"/>
      <c r="F3578" s="115" t="n"/>
      <c r="G3578" s="117">
        <f>IF(COUNTA(B3578:E3578)=0,"",IF(COUNTA(B3578:E3578)&lt;4,"⚠ กรอกไม่ครบ",IF(NOT(ISNUMBER(B3578)),"⚠ วันที่ไม่ถูกต้อง",IF(COUNTIFS(Setup!$L$6:$L$60,D3578,Setup!$M$6:$M$60,C3578)=0,"⚠ หมวดไม่ตรงประเภท","✓"))))</f>
        <v/>
      </c>
    </row>
    <row r="3579">
      <c r="B3579" s="113" t="n"/>
      <c r="C3579" s="114" t="n"/>
      <c r="D3579" s="115" t="n"/>
      <c r="E3579" s="116" t="n"/>
      <c r="F3579" s="115" t="n"/>
      <c r="G3579" s="117">
        <f>IF(COUNTA(B3579:E3579)=0,"",IF(COUNTA(B3579:E3579)&lt;4,"⚠ กรอกไม่ครบ",IF(NOT(ISNUMBER(B3579)),"⚠ วันที่ไม่ถูกต้อง",IF(COUNTIFS(Setup!$L$6:$L$60,D3579,Setup!$M$6:$M$60,C3579)=0,"⚠ หมวดไม่ตรงประเภท","✓"))))</f>
        <v/>
      </c>
    </row>
    <row r="3580">
      <c r="B3580" s="113" t="n"/>
      <c r="C3580" s="114" t="n"/>
      <c r="D3580" s="115" t="n"/>
      <c r="E3580" s="116" t="n"/>
      <c r="F3580" s="115" t="n"/>
      <c r="G3580" s="117">
        <f>IF(COUNTA(B3580:E3580)=0,"",IF(COUNTA(B3580:E3580)&lt;4,"⚠ กรอกไม่ครบ",IF(NOT(ISNUMBER(B3580)),"⚠ วันที่ไม่ถูกต้อง",IF(COUNTIFS(Setup!$L$6:$L$60,D3580,Setup!$M$6:$M$60,C3580)=0,"⚠ หมวดไม่ตรงประเภท","✓"))))</f>
        <v/>
      </c>
    </row>
    <row r="3581">
      <c r="B3581" s="113" t="n"/>
      <c r="C3581" s="114" t="n"/>
      <c r="D3581" s="115" t="n"/>
      <c r="E3581" s="116" t="n"/>
      <c r="F3581" s="115" t="n"/>
      <c r="G3581" s="117">
        <f>IF(COUNTA(B3581:E3581)=0,"",IF(COUNTA(B3581:E3581)&lt;4,"⚠ กรอกไม่ครบ",IF(NOT(ISNUMBER(B3581)),"⚠ วันที่ไม่ถูกต้อง",IF(COUNTIFS(Setup!$L$6:$L$60,D3581,Setup!$M$6:$M$60,C3581)=0,"⚠ หมวดไม่ตรงประเภท","✓"))))</f>
        <v/>
      </c>
    </row>
    <row r="3582">
      <c r="B3582" s="113" t="n"/>
      <c r="C3582" s="114" t="n"/>
      <c r="D3582" s="115" t="n"/>
      <c r="E3582" s="116" t="n"/>
      <c r="F3582" s="115" t="n"/>
      <c r="G3582" s="117">
        <f>IF(COUNTA(B3582:E3582)=0,"",IF(COUNTA(B3582:E3582)&lt;4,"⚠ กรอกไม่ครบ",IF(NOT(ISNUMBER(B3582)),"⚠ วันที่ไม่ถูกต้อง",IF(COUNTIFS(Setup!$L$6:$L$60,D3582,Setup!$M$6:$M$60,C3582)=0,"⚠ หมวดไม่ตรงประเภท","✓"))))</f>
        <v/>
      </c>
    </row>
    <row r="3583">
      <c r="B3583" s="113" t="n"/>
      <c r="C3583" s="114" t="n"/>
      <c r="D3583" s="115" t="n"/>
      <c r="E3583" s="116" t="n"/>
      <c r="F3583" s="115" t="n"/>
      <c r="G3583" s="117">
        <f>IF(COUNTA(B3583:E3583)=0,"",IF(COUNTA(B3583:E3583)&lt;4,"⚠ กรอกไม่ครบ",IF(NOT(ISNUMBER(B3583)),"⚠ วันที่ไม่ถูกต้อง",IF(COUNTIFS(Setup!$L$6:$L$60,D3583,Setup!$M$6:$M$60,C3583)=0,"⚠ หมวดไม่ตรงประเภท","✓"))))</f>
        <v/>
      </c>
    </row>
    <row r="3584">
      <c r="B3584" s="113" t="n"/>
      <c r="C3584" s="114" t="n"/>
      <c r="D3584" s="115" t="n"/>
      <c r="E3584" s="116" t="n"/>
      <c r="F3584" s="115" t="n"/>
      <c r="G3584" s="117">
        <f>IF(COUNTA(B3584:E3584)=0,"",IF(COUNTA(B3584:E3584)&lt;4,"⚠ กรอกไม่ครบ",IF(NOT(ISNUMBER(B3584)),"⚠ วันที่ไม่ถูกต้อง",IF(COUNTIFS(Setup!$L$6:$L$60,D3584,Setup!$M$6:$M$60,C3584)=0,"⚠ หมวดไม่ตรงประเภท","✓"))))</f>
        <v/>
      </c>
    </row>
    <row r="3585">
      <c r="B3585" s="113" t="n"/>
      <c r="C3585" s="114" t="n"/>
      <c r="D3585" s="115" t="n"/>
      <c r="E3585" s="116" t="n"/>
      <c r="F3585" s="115" t="n"/>
      <c r="G3585" s="117">
        <f>IF(COUNTA(B3585:E3585)=0,"",IF(COUNTA(B3585:E3585)&lt;4,"⚠ กรอกไม่ครบ",IF(NOT(ISNUMBER(B3585)),"⚠ วันที่ไม่ถูกต้อง",IF(COUNTIFS(Setup!$L$6:$L$60,D3585,Setup!$M$6:$M$60,C3585)=0,"⚠ หมวดไม่ตรงประเภท","✓"))))</f>
        <v/>
      </c>
    </row>
    <row r="3586">
      <c r="B3586" s="113" t="n"/>
      <c r="C3586" s="114" t="n"/>
      <c r="D3586" s="115" t="n"/>
      <c r="E3586" s="116" t="n"/>
      <c r="F3586" s="115" t="n"/>
      <c r="G3586" s="117">
        <f>IF(COUNTA(B3586:E3586)=0,"",IF(COUNTA(B3586:E3586)&lt;4,"⚠ กรอกไม่ครบ",IF(NOT(ISNUMBER(B3586)),"⚠ วันที่ไม่ถูกต้อง",IF(COUNTIFS(Setup!$L$6:$L$60,D3586,Setup!$M$6:$M$60,C3586)=0,"⚠ หมวดไม่ตรงประเภท","✓"))))</f>
        <v/>
      </c>
    </row>
    <row r="3587">
      <c r="B3587" s="113" t="n"/>
      <c r="C3587" s="114" t="n"/>
      <c r="D3587" s="115" t="n"/>
      <c r="E3587" s="116" t="n"/>
      <c r="F3587" s="115" t="n"/>
      <c r="G3587" s="117">
        <f>IF(COUNTA(B3587:E3587)=0,"",IF(COUNTA(B3587:E3587)&lt;4,"⚠ กรอกไม่ครบ",IF(NOT(ISNUMBER(B3587)),"⚠ วันที่ไม่ถูกต้อง",IF(COUNTIFS(Setup!$L$6:$L$60,D3587,Setup!$M$6:$M$60,C3587)=0,"⚠ หมวดไม่ตรงประเภท","✓"))))</f>
        <v/>
      </c>
    </row>
    <row r="3588">
      <c r="B3588" s="113" t="n"/>
      <c r="C3588" s="114" t="n"/>
      <c r="D3588" s="115" t="n"/>
      <c r="E3588" s="116" t="n"/>
      <c r="F3588" s="115" t="n"/>
      <c r="G3588" s="117">
        <f>IF(COUNTA(B3588:E3588)=0,"",IF(COUNTA(B3588:E3588)&lt;4,"⚠ กรอกไม่ครบ",IF(NOT(ISNUMBER(B3588)),"⚠ วันที่ไม่ถูกต้อง",IF(COUNTIFS(Setup!$L$6:$L$60,D3588,Setup!$M$6:$M$60,C3588)=0,"⚠ หมวดไม่ตรงประเภท","✓"))))</f>
        <v/>
      </c>
    </row>
    <row r="3589">
      <c r="B3589" s="113" t="n"/>
      <c r="C3589" s="114" t="n"/>
      <c r="D3589" s="115" t="n"/>
      <c r="E3589" s="116" t="n"/>
      <c r="F3589" s="115" t="n"/>
      <c r="G3589" s="117">
        <f>IF(COUNTA(B3589:E3589)=0,"",IF(COUNTA(B3589:E3589)&lt;4,"⚠ กรอกไม่ครบ",IF(NOT(ISNUMBER(B3589)),"⚠ วันที่ไม่ถูกต้อง",IF(COUNTIFS(Setup!$L$6:$L$60,D3589,Setup!$M$6:$M$60,C3589)=0,"⚠ หมวดไม่ตรงประเภท","✓"))))</f>
        <v/>
      </c>
    </row>
    <row r="3590">
      <c r="B3590" s="113" t="n"/>
      <c r="C3590" s="114" t="n"/>
      <c r="D3590" s="115" t="n"/>
      <c r="E3590" s="116" t="n"/>
      <c r="F3590" s="115" t="n"/>
      <c r="G3590" s="117">
        <f>IF(COUNTA(B3590:E3590)=0,"",IF(COUNTA(B3590:E3590)&lt;4,"⚠ กรอกไม่ครบ",IF(NOT(ISNUMBER(B3590)),"⚠ วันที่ไม่ถูกต้อง",IF(COUNTIFS(Setup!$L$6:$L$60,D3590,Setup!$M$6:$M$60,C3590)=0,"⚠ หมวดไม่ตรงประเภท","✓"))))</f>
        <v/>
      </c>
    </row>
    <row r="3591">
      <c r="B3591" s="113" t="n"/>
      <c r="C3591" s="114" t="n"/>
      <c r="D3591" s="115" t="n"/>
      <c r="E3591" s="116" t="n"/>
      <c r="F3591" s="115" t="n"/>
      <c r="G3591" s="117">
        <f>IF(COUNTA(B3591:E3591)=0,"",IF(COUNTA(B3591:E3591)&lt;4,"⚠ กรอกไม่ครบ",IF(NOT(ISNUMBER(B3591)),"⚠ วันที่ไม่ถูกต้อง",IF(COUNTIFS(Setup!$L$6:$L$60,D3591,Setup!$M$6:$M$60,C3591)=0,"⚠ หมวดไม่ตรงประเภท","✓"))))</f>
        <v/>
      </c>
    </row>
    <row r="3592">
      <c r="B3592" s="113" t="n"/>
      <c r="C3592" s="114" t="n"/>
      <c r="D3592" s="115" t="n"/>
      <c r="E3592" s="116" t="n"/>
      <c r="F3592" s="115" t="n"/>
      <c r="G3592" s="117">
        <f>IF(COUNTA(B3592:E3592)=0,"",IF(COUNTA(B3592:E3592)&lt;4,"⚠ กรอกไม่ครบ",IF(NOT(ISNUMBER(B3592)),"⚠ วันที่ไม่ถูกต้อง",IF(COUNTIFS(Setup!$L$6:$L$60,D3592,Setup!$M$6:$M$60,C3592)=0,"⚠ หมวดไม่ตรงประเภท","✓"))))</f>
        <v/>
      </c>
    </row>
    <row r="3593">
      <c r="B3593" s="113" t="n"/>
      <c r="C3593" s="114" t="n"/>
      <c r="D3593" s="115" t="n"/>
      <c r="E3593" s="116" t="n"/>
      <c r="F3593" s="115" t="n"/>
      <c r="G3593" s="117">
        <f>IF(COUNTA(B3593:E3593)=0,"",IF(COUNTA(B3593:E3593)&lt;4,"⚠ กรอกไม่ครบ",IF(NOT(ISNUMBER(B3593)),"⚠ วันที่ไม่ถูกต้อง",IF(COUNTIFS(Setup!$L$6:$L$60,D3593,Setup!$M$6:$M$60,C3593)=0,"⚠ หมวดไม่ตรงประเภท","✓"))))</f>
        <v/>
      </c>
    </row>
    <row r="3594">
      <c r="B3594" s="113" t="n"/>
      <c r="C3594" s="114" t="n"/>
      <c r="D3594" s="115" t="n"/>
      <c r="E3594" s="116" t="n"/>
      <c r="F3594" s="115" t="n"/>
      <c r="G3594" s="117">
        <f>IF(COUNTA(B3594:E3594)=0,"",IF(COUNTA(B3594:E3594)&lt;4,"⚠ กรอกไม่ครบ",IF(NOT(ISNUMBER(B3594)),"⚠ วันที่ไม่ถูกต้อง",IF(COUNTIFS(Setup!$L$6:$L$60,D3594,Setup!$M$6:$M$60,C3594)=0,"⚠ หมวดไม่ตรงประเภท","✓"))))</f>
        <v/>
      </c>
    </row>
    <row r="3595">
      <c r="B3595" s="113" t="n"/>
      <c r="C3595" s="114" t="n"/>
      <c r="D3595" s="115" t="n"/>
      <c r="E3595" s="116" t="n"/>
      <c r="F3595" s="115" t="n"/>
      <c r="G3595" s="117">
        <f>IF(COUNTA(B3595:E3595)=0,"",IF(COUNTA(B3595:E3595)&lt;4,"⚠ กรอกไม่ครบ",IF(NOT(ISNUMBER(B3595)),"⚠ วันที่ไม่ถูกต้อง",IF(COUNTIFS(Setup!$L$6:$L$60,D3595,Setup!$M$6:$M$60,C3595)=0,"⚠ หมวดไม่ตรงประเภท","✓"))))</f>
        <v/>
      </c>
    </row>
    <row r="3596">
      <c r="B3596" s="113" t="n"/>
      <c r="C3596" s="114" t="n"/>
      <c r="D3596" s="115" t="n"/>
      <c r="E3596" s="116" t="n"/>
      <c r="F3596" s="115" t="n"/>
      <c r="G3596" s="117">
        <f>IF(COUNTA(B3596:E3596)=0,"",IF(COUNTA(B3596:E3596)&lt;4,"⚠ กรอกไม่ครบ",IF(NOT(ISNUMBER(B3596)),"⚠ วันที่ไม่ถูกต้อง",IF(COUNTIFS(Setup!$L$6:$L$60,D3596,Setup!$M$6:$M$60,C3596)=0,"⚠ หมวดไม่ตรงประเภท","✓"))))</f>
        <v/>
      </c>
    </row>
    <row r="3597">
      <c r="B3597" s="113" t="n"/>
      <c r="C3597" s="114" t="n"/>
      <c r="D3597" s="115" t="n"/>
      <c r="E3597" s="116" t="n"/>
      <c r="F3597" s="115" t="n"/>
      <c r="G3597" s="117">
        <f>IF(COUNTA(B3597:E3597)=0,"",IF(COUNTA(B3597:E3597)&lt;4,"⚠ กรอกไม่ครบ",IF(NOT(ISNUMBER(B3597)),"⚠ วันที่ไม่ถูกต้อง",IF(COUNTIFS(Setup!$L$6:$L$60,D3597,Setup!$M$6:$M$60,C3597)=0,"⚠ หมวดไม่ตรงประเภท","✓"))))</f>
        <v/>
      </c>
    </row>
    <row r="3598">
      <c r="B3598" s="113" t="n"/>
      <c r="C3598" s="114" t="n"/>
      <c r="D3598" s="115" t="n"/>
      <c r="E3598" s="116" t="n"/>
      <c r="F3598" s="115" t="n"/>
      <c r="G3598" s="117">
        <f>IF(COUNTA(B3598:E3598)=0,"",IF(COUNTA(B3598:E3598)&lt;4,"⚠ กรอกไม่ครบ",IF(NOT(ISNUMBER(B3598)),"⚠ วันที่ไม่ถูกต้อง",IF(COUNTIFS(Setup!$L$6:$L$60,D3598,Setup!$M$6:$M$60,C3598)=0,"⚠ หมวดไม่ตรงประเภท","✓"))))</f>
        <v/>
      </c>
    </row>
    <row r="3599">
      <c r="B3599" s="113" t="n"/>
      <c r="C3599" s="114" t="n"/>
      <c r="D3599" s="115" t="n"/>
      <c r="E3599" s="116" t="n"/>
      <c r="F3599" s="115" t="n"/>
      <c r="G3599" s="117">
        <f>IF(COUNTA(B3599:E3599)=0,"",IF(COUNTA(B3599:E3599)&lt;4,"⚠ กรอกไม่ครบ",IF(NOT(ISNUMBER(B3599)),"⚠ วันที่ไม่ถูกต้อง",IF(COUNTIFS(Setup!$L$6:$L$60,D3599,Setup!$M$6:$M$60,C3599)=0,"⚠ หมวดไม่ตรงประเภท","✓"))))</f>
        <v/>
      </c>
    </row>
    <row r="3600">
      <c r="B3600" s="113" t="n"/>
      <c r="C3600" s="114" t="n"/>
      <c r="D3600" s="115" t="n"/>
      <c r="E3600" s="116" t="n"/>
      <c r="F3600" s="115" t="n"/>
      <c r="G3600" s="117">
        <f>IF(COUNTA(B3600:E3600)=0,"",IF(COUNTA(B3600:E3600)&lt;4,"⚠ กรอกไม่ครบ",IF(NOT(ISNUMBER(B3600)),"⚠ วันที่ไม่ถูกต้อง",IF(COUNTIFS(Setup!$L$6:$L$60,D3600,Setup!$M$6:$M$60,C3600)=0,"⚠ หมวดไม่ตรงประเภท","✓"))))</f>
        <v/>
      </c>
    </row>
    <row r="3601">
      <c r="B3601" s="113" t="n"/>
      <c r="C3601" s="114" t="n"/>
      <c r="D3601" s="115" t="n"/>
      <c r="E3601" s="116" t="n"/>
      <c r="F3601" s="115" t="n"/>
      <c r="G3601" s="117">
        <f>IF(COUNTA(B3601:E3601)=0,"",IF(COUNTA(B3601:E3601)&lt;4,"⚠ กรอกไม่ครบ",IF(NOT(ISNUMBER(B3601)),"⚠ วันที่ไม่ถูกต้อง",IF(COUNTIFS(Setup!$L$6:$L$60,D3601,Setup!$M$6:$M$60,C3601)=0,"⚠ หมวดไม่ตรงประเภท","✓"))))</f>
        <v/>
      </c>
    </row>
    <row r="3602">
      <c r="B3602" s="113" t="n"/>
      <c r="C3602" s="114" t="n"/>
      <c r="D3602" s="115" t="n"/>
      <c r="E3602" s="116" t="n"/>
      <c r="F3602" s="115" t="n"/>
      <c r="G3602" s="117">
        <f>IF(COUNTA(B3602:E3602)=0,"",IF(COUNTA(B3602:E3602)&lt;4,"⚠ กรอกไม่ครบ",IF(NOT(ISNUMBER(B3602)),"⚠ วันที่ไม่ถูกต้อง",IF(COUNTIFS(Setup!$L$6:$L$60,D3602,Setup!$M$6:$M$60,C3602)=0,"⚠ หมวดไม่ตรงประเภท","✓"))))</f>
        <v/>
      </c>
    </row>
    <row r="3603">
      <c r="B3603" s="113" t="n"/>
      <c r="C3603" s="114" t="n"/>
      <c r="D3603" s="115" t="n"/>
      <c r="E3603" s="116" t="n"/>
      <c r="F3603" s="115" t="n"/>
      <c r="G3603" s="117">
        <f>IF(COUNTA(B3603:E3603)=0,"",IF(COUNTA(B3603:E3603)&lt;4,"⚠ กรอกไม่ครบ",IF(NOT(ISNUMBER(B3603)),"⚠ วันที่ไม่ถูกต้อง",IF(COUNTIFS(Setup!$L$6:$L$60,D3603,Setup!$M$6:$M$60,C3603)=0,"⚠ หมวดไม่ตรงประเภท","✓"))))</f>
        <v/>
      </c>
    </row>
    <row r="3604">
      <c r="B3604" s="113" t="n"/>
      <c r="C3604" s="114" t="n"/>
      <c r="D3604" s="115" t="n"/>
      <c r="E3604" s="116" t="n"/>
      <c r="F3604" s="115" t="n"/>
      <c r="G3604" s="117">
        <f>IF(COUNTA(B3604:E3604)=0,"",IF(COUNTA(B3604:E3604)&lt;4,"⚠ กรอกไม่ครบ",IF(NOT(ISNUMBER(B3604)),"⚠ วันที่ไม่ถูกต้อง",IF(COUNTIFS(Setup!$L$6:$L$60,D3604,Setup!$M$6:$M$60,C3604)=0,"⚠ หมวดไม่ตรงประเภท","✓"))))</f>
        <v/>
      </c>
    </row>
    <row r="3605">
      <c r="B3605" s="113" t="n"/>
      <c r="C3605" s="114" t="n"/>
      <c r="D3605" s="115" t="n"/>
      <c r="E3605" s="116" t="n"/>
      <c r="F3605" s="115" t="n"/>
      <c r="G3605" s="117">
        <f>IF(COUNTA(B3605:E3605)=0,"",IF(COUNTA(B3605:E3605)&lt;4,"⚠ กรอกไม่ครบ",IF(NOT(ISNUMBER(B3605)),"⚠ วันที่ไม่ถูกต้อง",IF(COUNTIFS(Setup!$L$6:$L$60,D3605,Setup!$M$6:$M$60,C3605)=0,"⚠ หมวดไม่ตรงประเภท","✓"))))</f>
        <v/>
      </c>
    </row>
    <row r="3606">
      <c r="B3606" s="113" t="n"/>
      <c r="C3606" s="114" t="n"/>
      <c r="D3606" s="115" t="n"/>
      <c r="E3606" s="116" t="n"/>
      <c r="F3606" s="115" t="n"/>
      <c r="G3606" s="117">
        <f>IF(COUNTA(B3606:E3606)=0,"",IF(COUNTA(B3606:E3606)&lt;4,"⚠ กรอกไม่ครบ",IF(NOT(ISNUMBER(B3606)),"⚠ วันที่ไม่ถูกต้อง",IF(COUNTIFS(Setup!$L$6:$L$60,D3606,Setup!$M$6:$M$60,C3606)=0,"⚠ หมวดไม่ตรงประเภท","✓"))))</f>
        <v/>
      </c>
    </row>
    <row r="3607">
      <c r="B3607" s="113" t="n"/>
      <c r="C3607" s="114" t="n"/>
      <c r="D3607" s="115" t="n"/>
      <c r="E3607" s="116" t="n"/>
      <c r="F3607" s="115" t="n"/>
      <c r="G3607" s="117">
        <f>IF(COUNTA(B3607:E3607)=0,"",IF(COUNTA(B3607:E3607)&lt;4,"⚠ กรอกไม่ครบ",IF(NOT(ISNUMBER(B3607)),"⚠ วันที่ไม่ถูกต้อง",IF(COUNTIFS(Setup!$L$6:$L$60,D3607,Setup!$M$6:$M$60,C3607)=0,"⚠ หมวดไม่ตรงประเภท","✓"))))</f>
        <v/>
      </c>
    </row>
    <row r="3608">
      <c r="B3608" s="113" t="n"/>
      <c r="C3608" s="114" t="n"/>
      <c r="D3608" s="115" t="n"/>
      <c r="E3608" s="116" t="n"/>
      <c r="F3608" s="115" t="n"/>
      <c r="G3608" s="117">
        <f>IF(COUNTA(B3608:E3608)=0,"",IF(COUNTA(B3608:E3608)&lt;4,"⚠ กรอกไม่ครบ",IF(NOT(ISNUMBER(B3608)),"⚠ วันที่ไม่ถูกต้อง",IF(COUNTIFS(Setup!$L$6:$L$60,D3608,Setup!$M$6:$M$60,C3608)=0,"⚠ หมวดไม่ตรงประเภท","✓"))))</f>
        <v/>
      </c>
    </row>
    <row r="3609">
      <c r="B3609" s="113" t="n"/>
      <c r="C3609" s="114" t="n"/>
      <c r="D3609" s="115" t="n"/>
      <c r="E3609" s="116" t="n"/>
      <c r="F3609" s="115" t="n"/>
      <c r="G3609" s="117">
        <f>IF(COUNTA(B3609:E3609)=0,"",IF(COUNTA(B3609:E3609)&lt;4,"⚠ กรอกไม่ครบ",IF(NOT(ISNUMBER(B3609)),"⚠ วันที่ไม่ถูกต้อง",IF(COUNTIFS(Setup!$L$6:$L$60,D3609,Setup!$M$6:$M$60,C3609)=0,"⚠ หมวดไม่ตรงประเภท","✓"))))</f>
        <v/>
      </c>
    </row>
    <row r="3610">
      <c r="B3610" s="113" t="n"/>
      <c r="C3610" s="114" t="n"/>
      <c r="D3610" s="115" t="n"/>
      <c r="E3610" s="116" t="n"/>
      <c r="F3610" s="115" t="n"/>
      <c r="G3610" s="117">
        <f>IF(COUNTA(B3610:E3610)=0,"",IF(COUNTA(B3610:E3610)&lt;4,"⚠ กรอกไม่ครบ",IF(NOT(ISNUMBER(B3610)),"⚠ วันที่ไม่ถูกต้อง",IF(COUNTIFS(Setup!$L$6:$L$60,D3610,Setup!$M$6:$M$60,C3610)=0,"⚠ หมวดไม่ตรงประเภท","✓"))))</f>
        <v/>
      </c>
    </row>
    <row r="3611">
      <c r="B3611" s="113" t="n"/>
      <c r="C3611" s="114" t="n"/>
      <c r="D3611" s="115" t="n"/>
      <c r="E3611" s="116" t="n"/>
      <c r="F3611" s="115" t="n"/>
      <c r="G3611" s="117">
        <f>IF(COUNTA(B3611:E3611)=0,"",IF(COUNTA(B3611:E3611)&lt;4,"⚠ กรอกไม่ครบ",IF(NOT(ISNUMBER(B3611)),"⚠ วันที่ไม่ถูกต้อง",IF(COUNTIFS(Setup!$L$6:$L$60,D3611,Setup!$M$6:$M$60,C3611)=0,"⚠ หมวดไม่ตรงประเภท","✓"))))</f>
        <v/>
      </c>
    </row>
    <row r="3612">
      <c r="B3612" s="113" t="n"/>
      <c r="C3612" s="114" t="n"/>
      <c r="D3612" s="115" t="n"/>
      <c r="E3612" s="116" t="n"/>
      <c r="F3612" s="115" t="n"/>
      <c r="G3612" s="117">
        <f>IF(COUNTA(B3612:E3612)=0,"",IF(COUNTA(B3612:E3612)&lt;4,"⚠ กรอกไม่ครบ",IF(NOT(ISNUMBER(B3612)),"⚠ วันที่ไม่ถูกต้อง",IF(COUNTIFS(Setup!$L$6:$L$60,D3612,Setup!$M$6:$M$60,C3612)=0,"⚠ หมวดไม่ตรงประเภท","✓"))))</f>
        <v/>
      </c>
    </row>
    <row r="3613">
      <c r="B3613" s="113" t="n"/>
      <c r="C3613" s="114" t="n"/>
      <c r="D3613" s="115" t="n"/>
      <c r="E3613" s="116" t="n"/>
      <c r="F3613" s="115" t="n"/>
      <c r="G3613" s="117">
        <f>IF(COUNTA(B3613:E3613)=0,"",IF(COUNTA(B3613:E3613)&lt;4,"⚠ กรอกไม่ครบ",IF(NOT(ISNUMBER(B3613)),"⚠ วันที่ไม่ถูกต้อง",IF(COUNTIFS(Setup!$L$6:$L$60,D3613,Setup!$M$6:$M$60,C3613)=0,"⚠ หมวดไม่ตรงประเภท","✓"))))</f>
        <v/>
      </c>
    </row>
    <row r="3614">
      <c r="B3614" s="113" t="n"/>
      <c r="C3614" s="114" t="n"/>
      <c r="D3614" s="115" t="n"/>
      <c r="E3614" s="116" t="n"/>
      <c r="F3614" s="115" t="n"/>
      <c r="G3614" s="117">
        <f>IF(COUNTA(B3614:E3614)=0,"",IF(COUNTA(B3614:E3614)&lt;4,"⚠ กรอกไม่ครบ",IF(NOT(ISNUMBER(B3614)),"⚠ วันที่ไม่ถูกต้อง",IF(COUNTIFS(Setup!$L$6:$L$60,D3614,Setup!$M$6:$M$60,C3614)=0,"⚠ หมวดไม่ตรงประเภท","✓"))))</f>
        <v/>
      </c>
    </row>
    <row r="3615">
      <c r="B3615" s="113" t="n"/>
      <c r="C3615" s="114" t="n"/>
      <c r="D3615" s="115" t="n"/>
      <c r="E3615" s="116" t="n"/>
      <c r="F3615" s="115" t="n"/>
      <c r="G3615" s="117">
        <f>IF(COUNTA(B3615:E3615)=0,"",IF(COUNTA(B3615:E3615)&lt;4,"⚠ กรอกไม่ครบ",IF(NOT(ISNUMBER(B3615)),"⚠ วันที่ไม่ถูกต้อง",IF(COUNTIFS(Setup!$L$6:$L$60,D3615,Setup!$M$6:$M$60,C3615)=0,"⚠ หมวดไม่ตรงประเภท","✓"))))</f>
        <v/>
      </c>
    </row>
    <row r="3616">
      <c r="B3616" s="113" t="n"/>
      <c r="C3616" s="114" t="n"/>
      <c r="D3616" s="115" t="n"/>
      <c r="E3616" s="116" t="n"/>
      <c r="F3616" s="115" t="n"/>
      <c r="G3616" s="117">
        <f>IF(COUNTA(B3616:E3616)=0,"",IF(COUNTA(B3616:E3616)&lt;4,"⚠ กรอกไม่ครบ",IF(NOT(ISNUMBER(B3616)),"⚠ วันที่ไม่ถูกต้อง",IF(COUNTIFS(Setup!$L$6:$L$60,D3616,Setup!$M$6:$M$60,C3616)=0,"⚠ หมวดไม่ตรงประเภท","✓"))))</f>
        <v/>
      </c>
    </row>
    <row r="3617">
      <c r="B3617" s="113" t="n"/>
      <c r="C3617" s="114" t="n"/>
      <c r="D3617" s="115" t="n"/>
      <c r="E3617" s="116" t="n"/>
      <c r="F3617" s="115" t="n"/>
      <c r="G3617" s="117">
        <f>IF(COUNTA(B3617:E3617)=0,"",IF(COUNTA(B3617:E3617)&lt;4,"⚠ กรอกไม่ครบ",IF(NOT(ISNUMBER(B3617)),"⚠ วันที่ไม่ถูกต้อง",IF(COUNTIFS(Setup!$L$6:$L$60,D3617,Setup!$M$6:$M$60,C3617)=0,"⚠ หมวดไม่ตรงประเภท","✓"))))</f>
        <v/>
      </c>
    </row>
    <row r="3618">
      <c r="B3618" s="113" t="n"/>
      <c r="C3618" s="114" t="n"/>
      <c r="D3618" s="115" t="n"/>
      <c r="E3618" s="116" t="n"/>
      <c r="F3618" s="115" t="n"/>
      <c r="G3618" s="117">
        <f>IF(COUNTA(B3618:E3618)=0,"",IF(COUNTA(B3618:E3618)&lt;4,"⚠ กรอกไม่ครบ",IF(NOT(ISNUMBER(B3618)),"⚠ วันที่ไม่ถูกต้อง",IF(COUNTIFS(Setup!$L$6:$L$60,D3618,Setup!$M$6:$M$60,C3618)=0,"⚠ หมวดไม่ตรงประเภท","✓"))))</f>
        <v/>
      </c>
    </row>
    <row r="3619">
      <c r="B3619" s="113" t="n"/>
      <c r="C3619" s="114" t="n"/>
      <c r="D3619" s="115" t="n"/>
      <c r="E3619" s="116" t="n"/>
      <c r="F3619" s="115" t="n"/>
      <c r="G3619" s="117">
        <f>IF(COUNTA(B3619:E3619)=0,"",IF(COUNTA(B3619:E3619)&lt;4,"⚠ กรอกไม่ครบ",IF(NOT(ISNUMBER(B3619)),"⚠ วันที่ไม่ถูกต้อง",IF(COUNTIFS(Setup!$L$6:$L$60,D3619,Setup!$M$6:$M$60,C3619)=0,"⚠ หมวดไม่ตรงประเภท","✓"))))</f>
        <v/>
      </c>
    </row>
    <row r="3620">
      <c r="B3620" s="113" t="n"/>
      <c r="C3620" s="114" t="n"/>
      <c r="D3620" s="115" t="n"/>
      <c r="E3620" s="116" t="n"/>
      <c r="F3620" s="115" t="n"/>
      <c r="G3620" s="117">
        <f>IF(COUNTA(B3620:E3620)=0,"",IF(COUNTA(B3620:E3620)&lt;4,"⚠ กรอกไม่ครบ",IF(NOT(ISNUMBER(B3620)),"⚠ วันที่ไม่ถูกต้อง",IF(COUNTIFS(Setup!$L$6:$L$60,D3620,Setup!$M$6:$M$60,C3620)=0,"⚠ หมวดไม่ตรงประเภท","✓"))))</f>
        <v/>
      </c>
    </row>
    <row r="3621">
      <c r="B3621" s="113" t="n"/>
      <c r="C3621" s="114" t="n"/>
      <c r="D3621" s="115" t="n"/>
      <c r="E3621" s="116" t="n"/>
      <c r="F3621" s="115" t="n"/>
      <c r="G3621" s="117">
        <f>IF(COUNTA(B3621:E3621)=0,"",IF(COUNTA(B3621:E3621)&lt;4,"⚠ กรอกไม่ครบ",IF(NOT(ISNUMBER(B3621)),"⚠ วันที่ไม่ถูกต้อง",IF(COUNTIFS(Setup!$L$6:$L$60,D3621,Setup!$M$6:$M$60,C3621)=0,"⚠ หมวดไม่ตรงประเภท","✓"))))</f>
        <v/>
      </c>
    </row>
    <row r="3622">
      <c r="B3622" s="113" t="n"/>
      <c r="C3622" s="114" t="n"/>
      <c r="D3622" s="115" t="n"/>
      <c r="E3622" s="116" t="n"/>
      <c r="F3622" s="115" t="n"/>
      <c r="G3622" s="117">
        <f>IF(COUNTA(B3622:E3622)=0,"",IF(COUNTA(B3622:E3622)&lt;4,"⚠ กรอกไม่ครบ",IF(NOT(ISNUMBER(B3622)),"⚠ วันที่ไม่ถูกต้อง",IF(COUNTIFS(Setup!$L$6:$L$60,D3622,Setup!$M$6:$M$60,C3622)=0,"⚠ หมวดไม่ตรงประเภท","✓"))))</f>
        <v/>
      </c>
    </row>
    <row r="3623">
      <c r="B3623" s="113" t="n"/>
      <c r="C3623" s="114" t="n"/>
      <c r="D3623" s="115" t="n"/>
      <c r="E3623" s="116" t="n"/>
      <c r="F3623" s="115" t="n"/>
      <c r="G3623" s="117">
        <f>IF(COUNTA(B3623:E3623)=0,"",IF(COUNTA(B3623:E3623)&lt;4,"⚠ กรอกไม่ครบ",IF(NOT(ISNUMBER(B3623)),"⚠ วันที่ไม่ถูกต้อง",IF(COUNTIFS(Setup!$L$6:$L$60,D3623,Setup!$M$6:$M$60,C3623)=0,"⚠ หมวดไม่ตรงประเภท","✓"))))</f>
        <v/>
      </c>
    </row>
    <row r="3624">
      <c r="B3624" s="113" t="n"/>
      <c r="C3624" s="114" t="n"/>
      <c r="D3624" s="115" t="n"/>
      <c r="E3624" s="116" t="n"/>
      <c r="F3624" s="115" t="n"/>
      <c r="G3624" s="117">
        <f>IF(COUNTA(B3624:E3624)=0,"",IF(COUNTA(B3624:E3624)&lt;4,"⚠ กรอกไม่ครบ",IF(NOT(ISNUMBER(B3624)),"⚠ วันที่ไม่ถูกต้อง",IF(COUNTIFS(Setup!$L$6:$L$60,D3624,Setup!$M$6:$M$60,C3624)=0,"⚠ หมวดไม่ตรงประเภท","✓"))))</f>
        <v/>
      </c>
    </row>
    <row r="3625">
      <c r="B3625" s="113" t="n"/>
      <c r="C3625" s="114" t="n"/>
      <c r="D3625" s="115" t="n"/>
      <c r="E3625" s="116" t="n"/>
      <c r="F3625" s="115" t="n"/>
      <c r="G3625" s="117">
        <f>IF(COUNTA(B3625:E3625)=0,"",IF(COUNTA(B3625:E3625)&lt;4,"⚠ กรอกไม่ครบ",IF(NOT(ISNUMBER(B3625)),"⚠ วันที่ไม่ถูกต้อง",IF(COUNTIFS(Setup!$L$6:$L$60,D3625,Setup!$M$6:$M$60,C3625)=0,"⚠ หมวดไม่ตรงประเภท","✓"))))</f>
        <v/>
      </c>
    </row>
    <row r="3626">
      <c r="B3626" s="113" t="n"/>
      <c r="C3626" s="114" t="n"/>
      <c r="D3626" s="115" t="n"/>
      <c r="E3626" s="116" t="n"/>
      <c r="F3626" s="115" t="n"/>
      <c r="G3626" s="117">
        <f>IF(COUNTA(B3626:E3626)=0,"",IF(COUNTA(B3626:E3626)&lt;4,"⚠ กรอกไม่ครบ",IF(NOT(ISNUMBER(B3626)),"⚠ วันที่ไม่ถูกต้อง",IF(COUNTIFS(Setup!$L$6:$L$60,D3626,Setup!$M$6:$M$60,C3626)=0,"⚠ หมวดไม่ตรงประเภท","✓"))))</f>
        <v/>
      </c>
    </row>
    <row r="3627">
      <c r="B3627" s="113" t="n"/>
      <c r="C3627" s="114" t="n"/>
      <c r="D3627" s="115" t="n"/>
      <c r="E3627" s="116" t="n"/>
      <c r="F3627" s="115" t="n"/>
      <c r="G3627" s="117">
        <f>IF(COUNTA(B3627:E3627)=0,"",IF(COUNTA(B3627:E3627)&lt;4,"⚠ กรอกไม่ครบ",IF(NOT(ISNUMBER(B3627)),"⚠ วันที่ไม่ถูกต้อง",IF(COUNTIFS(Setup!$L$6:$L$60,D3627,Setup!$M$6:$M$60,C3627)=0,"⚠ หมวดไม่ตรงประเภท","✓"))))</f>
        <v/>
      </c>
    </row>
    <row r="3628">
      <c r="B3628" s="113" t="n"/>
      <c r="C3628" s="114" t="n"/>
      <c r="D3628" s="115" t="n"/>
      <c r="E3628" s="116" t="n"/>
      <c r="F3628" s="115" t="n"/>
      <c r="G3628" s="117">
        <f>IF(COUNTA(B3628:E3628)=0,"",IF(COUNTA(B3628:E3628)&lt;4,"⚠ กรอกไม่ครบ",IF(NOT(ISNUMBER(B3628)),"⚠ วันที่ไม่ถูกต้อง",IF(COUNTIFS(Setup!$L$6:$L$60,D3628,Setup!$M$6:$M$60,C3628)=0,"⚠ หมวดไม่ตรงประเภท","✓"))))</f>
        <v/>
      </c>
    </row>
    <row r="3629">
      <c r="B3629" s="113" t="n"/>
      <c r="C3629" s="114" t="n"/>
      <c r="D3629" s="115" t="n"/>
      <c r="E3629" s="116" t="n"/>
      <c r="F3629" s="115" t="n"/>
      <c r="G3629" s="117">
        <f>IF(COUNTA(B3629:E3629)=0,"",IF(COUNTA(B3629:E3629)&lt;4,"⚠ กรอกไม่ครบ",IF(NOT(ISNUMBER(B3629)),"⚠ วันที่ไม่ถูกต้อง",IF(COUNTIFS(Setup!$L$6:$L$60,D3629,Setup!$M$6:$M$60,C3629)=0,"⚠ หมวดไม่ตรงประเภท","✓"))))</f>
        <v/>
      </c>
    </row>
    <row r="3630">
      <c r="B3630" s="113" t="n"/>
      <c r="C3630" s="114" t="n"/>
      <c r="D3630" s="115" t="n"/>
      <c r="E3630" s="116" t="n"/>
      <c r="F3630" s="115" t="n"/>
      <c r="G3630" s="117">
        <f>IF(COUNTA(B3630:E3630)=0,"",IF(COUNTA(B3630:E3630)&lt;4,"⚠ กรอกไม่ครบ",IF(NOT(ISNUMBER(B3630)),"⚠ วันที่ไม่ถูกต้อง",IF(COUNTIFS(Setup!$L$6:$L$60,D3630,Setup!$M$6:$M$60,C3630)=0,"⚠ หมวดไม่ตรงประเภท","✓"))))</f>
        <v/>
      </c>
    </row>
    <row r="3631">
      <c r="B3631" s="113" t="n"/>
      <c r="C3631" s="114" t="n"/>
      <c r="D3631" s="115" t="n"/>
      <c r="E3631" s="116" t="n"/>
      <c r="F3631" s="115" t="n"/>
      <c r="G3631" s="117">
        <f>IF(COUNTA(B3631:E3631)=0,"",IF(COUNTA(B3631:E3631)&lt;4,"⚠ กรอกไม่ครบ",IF(NOT(ISNUMBER(B3631)),"⚠ วันที่ไม่ถูกต้อง",IF(COUNTIFS(Setup!$L$6:$L$60,D3631,Setup!$M$6:$M$60,C3631)=0,"⚠ หมวดไม่ตรงประเภท","✓"))))</f>
        <v/>
      </c>
    </row>
    <row r="3632">
      <c r="B3632" s="113" t="n"/>
      <c r="C3632" s="114" t="n"/>
      <c r="D3632" s="115" t="n"/>
      <c r="E3632" s="116" t="n"/>
      <c r="F3632" s="115" t="n"/>
      <c r="G3632" s="117">
        <f>IF(COUNTA(B3632:E3632)=0,"",IF(COUNTA(B3632:E3632)&lt;4,"⚠ กรอกไม่ครบ",IF(NOT(ISNUMBER(B3632)),"⚠ วันที่ไม่ถูกต้อง",IF(COUNTIFS(Setup!$L$6:$L$60,D3632,Setup!$M$6:$M$60,C3632)=0,"⚠ หมวดไม่ตรงประเภท","✓"))))</f>
        <v/>
      </c>
    </row>
    <row r="3633">
      <c r="B3633" s="113" t="n"/>
      <c r="C3633" s="114" t="n"/>
      <c r="D3633" s="115" t="n"/>
      <c r="E3633" s="116" t="n"/>
      <c r="F3633" s="115" t="n"/>
      <c r="G3633" s="117">
        <f>IF(COUNTA(B3633:E3633)=0,"",IF(COUNTA(B3633:E3633)&lt;4,"⚠ กรอกไม่ครบ",IF(NOT(ISNUMBER(B3633)),"⚠ วันที่ไม่ถูกต้อง",IF(COUNTIFS(Setup!$L$6:$L$60,D3633,Setup!$M$6:$M$60,C3633)=0,"⚠ หมวดไม่ตรงประเภท","✓"))))</f>
        <v/>
      </c>
    </row>
    <row r="3634">
      <c r="B3634" s="113" t="n"/>
      <c r="C3634" s="114" t="n"/>
      <c r="D3634" s="115" t="n"/>
      <c r="E3634" s="116" t="n"/>
      <c r="F3634" s="115" t="n"/>
      <c r="G3634" s="117">
        <f>IF(COUNTA(B3634:E3634)=0,"",IF(COUNTA(B3634:E3634)&lt;4,"⚠ กรอกไม่ครบ",IF(NOT(ISNUMBER(B3634)),"⚠ วันที่ไม่ถูกต้อง",IF(COUNTIFS(Setup!$L$6:$L$60,D3634,Setup!$M$6:$M$60,C3634)=0,"⚠ หมวดไม่ตรงประเภท","✓"))))</f>
        <v/>
      </c>
    </row>
    <row r="3635">
      <c r="B3635" s="113" t="n"/>
      <c r="C3635" s="114" t="n"/>
      <c r="D3635" s="115" t="n"/>
      <c r="E3635" s="116" t="n"/>
      <c r="F3635" s="115" t="n"/>
      <c r="G3635" s="117">
        <f>IF(COUNTA(B3635:E3635)=0,"",IF(COUNTA(B3635:E3635)&lt;4,"⚠ กรอกไม่ครบ",IF(NOT(ISNUMBER(B3635)),"⚠ วันที่ไม่ถูกต้อง",IF(COUNTIFS(Setup!$L$6:$L$60,D3635,Setup!$M$6:$M$60,C3635)=0,"⚠ หมวดไม่ตรงประเภท","✓"))))</f>
        <v/>
      </c>
    </row>
    <row r="3636">
      <c r="B3636" s="113" t="n"/>
      <c r="C3636" s="114" t="n"/>
      <c r="D3636" s="115" t="n"/>
      <c r="E3636" s="116" t="n"/>
      <c r="F3636" s="115" t="n"/>
      <c r="G3636" s="117">
        <f>IF(COUNTA(B3636:E3636)=0,"",IF(COUNTA(B3636:E3636)&lt;4,"⚠ กรอกไม่ครบ",IF(NOT(ISNUMBER(B3636)),"⚠ วันที่ไม่ถูกต้อง",IF(COUNTIFS(Setup!$L$6:$L$60,D3636,Setup!$M$6:$M$60,C3636)=0,"⚠ หมวดไม่ตรงประเภท","✓"))))</f>
        <v/>
      </c>
    </row>
    <row r="3637">
      <c r="B3637" s="113" t="n"/>
      <c r="C3637" s="114" t="n"/>
      <c r="D3637" s="115" t="n"/>
      <c r="E3637" s="116" t="n"/>
      <c r="F3637" s="115" t="n"/>
      <c r="G3637" s="117">
        <f>IF(COUNTA(B3637:E3637)=0,"",IF(COUNTA(B3637:E3637)&lt;4,"⚠ กรอกไม่ครบ",IF(NOT(ISNUMBER(B3637)),"⚠ วันที่ไม่ถูกต้อง",IF(COUNTIFS(Setup!$L$6:$L$60,D3637,Setup!$M$6:$M$60,C3637)=0,"⚠ หมวดไม่ตรงประเภท","✓"))))</f>
        <v/>
      </c>
    </row>
    <row r="3638">
      <c r="B3638" s="113" t="n"/>
      <c r="C3638" s="114" t="n"/>
      <c r="D3638" s="115" t="n"/>
      <c r="E3638" s="116" t="n"/>
      <c r="F3638" s="115" t="n"/>
      <c r="G3638" s="117">
        <f>IF(COUNTA(B3638:E3638)=0,"",IF(COUNTA(B3638:E3638)&lt;4,"⚠ กรอกไม่ครบ",IF(NOT(ISNUMBER(B3638)),"⚠ วันที่ไม่ถูกต้อง",IF(COUNTIFS(Setup!$L$6:$L$60,D3638,Setup!$M$6:$M$60,C3638)=0,"⚠ หมวดไม่ตรงประเภท","✓"))))</f>
        <v/>
      </c>
    </row>
    <row r="3639">
      <c r="B3639" s="113" t="n"/>
      <c r="C3639" s="114" t="n"/>
      <c r="D3639" s="115" t="n"/>
      <c r="E3639" s="116" t="n"/>
      <c r="F3639" s="115" t="n"/>
      <c r="G3639" s="117">
        <f>IF(COUNTA(B3639:E3639)=0,"",IF(COUNTA(B3639:E3639)&lt;4,"⚠ กรอกไม่ครบ",IF(NOT(ISNUMBER(B3639)),"⚠ วันที่ไม่ถูกต้อง",IF(COUNTIFS(Setup!$L$6:$L$60,D3639,Setup!$M$6:$M$60,C3639)=0,"⚠ หมวดไม่ตรงประเภท","✓"))))</f>
        <v/>
      </c>
    </row>
    <row r="3640">
      <c r="B3640" s="113" t="n"/>
      <c r="C3640" s="114" t="n"/>
      <c r="D3640" s="115" t="n"/>
      <c r="E3640" s="116" t="n"/>
      <c r="F3640" s="115" t="n"/>
      <c r="G3640" s="117">
        <f>IF(COUNTA(B3640:E3640)=0,"",IF(COUNTA(B3640:E3640)&lt;4,"⚠ กรอกไม่ครบ",IF(NOT(ISNUMBER(B3640)),"⚠ วันที่ไม่ถูกต้อง",IF(COUNTIFS(Setup!$L$6:$L$60,D3640,Setup!$M$6:$M$60,C3640)=0,"⚠ หมวดไม่ตรงประเภท","✓"))))</f>
        <v/>
      </c>
    </row>
    <row r="3641">
      <c r="B3641" s="113" t="n"/>
      <c r="C3641" s="114" t="n"/>
      <c r="D3641" s="115" t="n"/>
      <c r="E3641" s="116" t="n"/>
      <c r="F3641" s="115" t="n"/>
      <c r="G3641" s="117">
        <f>IF(COUNTA(B3641:E3641)=0,"",IF(COUNTA(B3641:E3641)&lt;4,"⚠ กรอกไม่ครบ",IF(NOT(ISNUMBER(B3641)),"⚠ วันที่ไม่ถูกต้อง",IF(COUNTIFS(Setup!$L$6:$L$60,D3641,Setup!$M$6:$M$60,C3641)=0,"⚠ หมวดไม่ตรงประเภท","✓"))))</f>
        <v/>
      </c>
    </row>
    <row r="3642">
      <c r="B3642" s="113" t="n"/>
      <c r="C3642" s="114" t="n"/>
      <c r="D3642" s="115" t="n"/>
      <c r="E3642" s="116" t="n"/>
      <c r="F3642" s="115" t="n"/>
      <c r="G3642" s="117">
        <f>IF(COUNTA(B3642:E3642)=0,"",IF(COUNTA(B3642:E3642)&lt;4,"⚠ กรอกไม่ครบ",IF(NOT(ISNUMBER(B3642)),"⚠ วันที่ไม่ถูกต้อง",IF(COUNTIFS(Setup!$L$6:$L$60,D3642,Setup!$M$6:$M$60,C3642)=0,"⚠ หมวดไม่ตรงประเภท","✓"))))</f>
        <v/>
      </c>
    </row>
    <row r="3643">
      <c r="B3643" s="113" t="n"/>
      <c r="C3643" s="114" t="n"/>
      <c r="D3643" s="115" t="n"/>
      <c r="E3643" s="116" t="n"/>
      <c r="F3643" s="115" t="n"/>
      <c r="G3643" s="117">
        <f>IF(COUNTA(B3643:E3643)=0,"",IF(COUNTA(B3643:E3643)&lt;4,"⚠ กรอกไม่ครบ",IF(NOT(ISNUMBER(B3643)),"⚠ วันที่ไม่ถูกต้อง",IF(COUNTIFS(Setup!$L$6:$L$60,D3643,Setup!$M$6:$M$60,C3643)=0,"⚠ หมวดไม่ตรงประเภท","✓"))))</f>
        <v/>
      </c>
    </row>
    <row r="3644">
      <c r="B3644" s="113" t="n"/>
      <c r="C3644" s="114" t="n"/>
      <c r="D3644" s="115" t="n"/>
      <c r="E3644" s="116" t="n"/>
      <c r="F3644" s="115" t="n"/>
      <c r="G3644" s="117">
        <f>IF(COUNTA(B3644:E3644)=0,"",IF(COUNTA(B3644:E3644)&lt;4,"⚠ กรอกไม่ครบ",IF(NOT(ISNUMBER(B3644)),"⚠ วันที่ไม่ถูกต้อง",IF(COUNTIFS(Setup!$L$6:$L$60,D3644,Setup!$M$6:$M$60,C3644)=0,"⚠ หมวดไม่ตรงประเภท","✓"))))</f>
        <v/>
      </c>
    </row>
    <row r="3645">
      <c r="B3645" s="113" t="n"/>
      <c r="C3645" s="114" t="n"/>
      <c r="D3645" s="115" t="n"/>
      <c r="E3645" s="116" t="n"/>
      <c r="F3645" s="115" t="n"/>
      <c r="G3645" s="117">
        <f>IF(COUNTA(B3645:E3645)=0,"",IF(COUNTA(B3645:E3645)&lt;4,"⚠ กรอกไม่ครบ",IF(NOT(ISNUMBER(B3645)),"⚠ วันที่ไม่ถูกต้อง",IF(COUNTIFS(Setup!$L$6:$L$60,D3645,Setup!$M$6:$M$60,C3645)=0,"⚠ หมวดไม่ตรงประเภท","✓"))))</f>
        <v/>
      </c>
    </row>
    <row r="3646">
      <c r="B3646" s="113" t="n"/>
      <c r="C3646" s="114" t="n"/>
      <c r="D3646" s="115" t="n"/>
      <c r="E3646" s="116" t="n"/>
      <c r="F3646" s="115" t="n"/>
      <c r="G3646" s="117">
        <f>IF(COUNTA(B3646:E3646)=0,"",IF(COUNTA(B3646:E3646)&lt;4,"⚠ กรอกไม่ครบ",IF(NOT(ISNUMBER(B3646)),"⚠ วันที่ไม่ถูกต้อง",IF(COUNTIFS(Setup!$L$6:$L$60,D3646,Setup!$M$6:$M$60,C3646)=0,"⚠ หมวดไม่ตรงประเภท","✓"))))</f>
        <v/>
      </c>
    </row>
    <row r="3647">
      <c r="B3647" s="113" t="n"/>
      <c r="C3647" s="114" t="n"/>
      <c r="D3647" s="115" t="n"/>
      <c r="E3647" s="116" t="n"/>
      <c r="F3647" s="115" t="n"/>
      <c r="G3647" s="117">
        <f>IF(COUNTA(B3647:E3647)=0,"",IF(COUNTA(B3647:E3647)&lt;4,"⚠ กรอกไม่ครบ",IF(NOT(ISNUMBER(B3647)),"⚠ วันที่ไม่ถูกต้อง",IF(COUNTIFS(Setup!$L$6:$L$60,D3647,Setup!$M$6:$M$60,C3647)=0,"⚠ หมวดไม่ตรงประเภท","✓"))))</f>
        <v/>
      </c>
    </row>
    <row r="3648">
      <c r="B3648" s="113" t="n"/>
      <c r="C3648" s="114" t="n"/>
      <c r="D3648" s="115" t="n"/>
      <c r="E3648" s="116" t="n"/>
      <c r="F3648" s="115" t="n"/>
      <c r="G3648" s="117">
        <f>IF(COUNTA(B3648:E3648)=0,"",IF(COUNTA(B3648:E3648)&lt;4,"⚠ กรอกไม่ครบ",IF(NOT(ISNUMBER(B3648)),"⚠ วันที่ไม่ถูกต้อง",IF(COUNTIFS(Setup!$L$6:$L$60,D3648,Setup!$M$6:$M$60,C3648)=0,"⚠ หมวดไม่ตรงประเภท","✓"))))</f>
        <v/>
      </c>
    </row>
    <row r="3649">
      <c r="B3649" s="113" t="n"/>
      <c r="C3649" s="114" t="n"/>
      <c r="D3649" s="115" t="n"/>
      <c r="E3649" s="116" t="n"/>
      <c r="F3649" s="115" t="n"/>
      <c r="G3649" s="117">
        <f>IF(COUNTA(B3649:E3649)=0,"",IF(COUNTA(B3649:E3649)&lt;4,"⚠ กรอกไม่ครบ",IF(NOT(ISNUMBER(B3649)),"⚠ วันที่ไม่ถูกต้อง",IF(COUNTIFS(Setup!$L$6:$L$60,D3649,Setup!$M$6:$M$60,C3649)=0,"⚠ หมวดไม่ตรงประเภท","✓"))))</f>
        <v/>
      </c>
    </row>
    <row r="3650">
      <c r="B3650" s="113" t="n"/>
      <c r="C3650" s="114" t="n"/>
      <c r="D3650" s="115" t="n"/>
      <c r="E3650" s="116" t="n"/>
      <c r="F3650" s="115" t="n"/>
      <c r="G3650" s="117">
        <f>IF(COUNTA(B3650:E3650)=0,"",IF(COUNTA(B3650:E3650)&lt;4,"⚠ กรอกไม่ครบ",IF(NOT(ISNUMBER(B3650)),"⚠ วันที่ไม่ถูกต้อง",IF(COUNTIFS(Setup!$L$6:$L$60,D3650,Setup!$M$6:$M$60,C3650)=0,"⚠ หมวดไม่ตรงประเภท","✓"))))</f>
        <v/>
      </c>
    </row>
    <row r="3651">
      <c r="B3651" s="113" t="n"/>
      <c r="C3651" s="114" t="n"/>
      <c r="D3651" s="115" t="n"/>
      <c r="E3651" s="116" t="n"/>
      <c r="F3651" s="115" t="n"/>
      <c r="G3651" s="117">
        <f>IF(COUNTA(B3651:E3651)=0,"",IF(COUNTA(B3651:E3651)&lt;4,"⚠ กรอกไม่ครบ",IF(NOT(ISNUMBER(B3651)),"⚠ วันที่ไม่ถูกต้อง",IF(COUNTIFS(Setup!$L$6:$L$60,D3651,Setup!$M$6:$M$60,C3651)=0,"⚠ หมวดไม่ตรงประเภท","✓"))))</f>
        <v/>
      </c>
    </row>
    <row r="3652">
      <c r="B3652" s="113" t="n"/>
      <c r="C3652" s="114" t="n"/>
      <c r="D3652" s="115" t="n"/>
      <c r="E3652" s="116" t="n"/>
      <c r="F3652" s="115" t="n"/>
      <c r="G3652" s="117">
        <f>IF(COUNTA(B3652:E3652)=0,"",IF(COUNTA(B3652:E3652)&lt;4,"⚠ กรอกไม่ครบ",IF(NOT(ISNUMBER(B3652)),"⚠ วันที่ไม่ถูกต้อง",IF(COUNTIFS(Setup!$L$6:$L$60,D3652,Setup!$M$6:$M$60,C3652)=0,"⚠ หมวดไม่ตรงประเภท","✓"))))</f>
        <v/>
      </c>
    </row>
    <row r="3653">
      <c r="B3653" s="113" t="n"/>
      <c r="C3653" s="114" t="n"/>
      <c r="D3653" s="115" t="n"/>
      <c r="E3653" s="116" t="n"/>
      <c r="F3653" s="115" t="n"/>
      <c r="G3653" s="117">
        <f>IF(COUNTA(B3653:E3653)=0,"",IF(COUNTA(B3653:E3653)&lt;4,"⚠ กรอกไม่ครบ",IF(NOT(ISNUMBER(B3653)),"⚠ วันที่ไม่ถูกต้อง",IF(COUNTIFS(Setup!$L$6:$L$60,D3653,Setup!$M$6:$M$60,C3653)=0,"⚠ หมวดไม่ตรงประเภท","✓"))))</f>
        <v/>
      </c>
    </row>
    <row r="3654">
      <c r="B3654" s="113" t="n"/>
      <c r="C3654" s="114" t="n"/>
      <c r="D3654" s="115" t="n"/>
      <c r="E3654" s="116" t="n"/>
      <c r="F3654" s="115" t="n"/>
      <c r="G3654" s="117">
        <f>IF(COUNTA(B3654:E3654)=0,"",IF(COUNTA(B3654:E3654)&lt;4,"⚠ กรอกไม่ครบ",IF(NOT(ISNUMBER(B3654)),"⚠ วันที่ไม่ถูกต้อง",IF(COUNTIFS(Setup!$L$6:$L$60,D3654,Setup!$M$6:$M$60,C3654)=0,"⚠ หมวดไม่ตรงประเภท","✓"))))</f>
        <v/>
      </c>
    </row>
    <row r="3655">
      <c r="B3655" s="113" t="n"/>
      <c r="C3655" s="114" t="n"/>
      <c r="D3655" s="115" t="n"/>
      <c r="E3655" s="116" t="n"/>
      <c r="F3655" s="115" t="n"/>
      <c r="G3655" s="117">
        <f>IF(COUNTA(B3655:E3655)=0,"",IF(COUNTA(B3655:E3655)&lt;4,"⚠ กรอกไม่ครบ",IF(NOT(ISNUMBER(B3655)),"⚠ วันที่ไม่ถูกต้อง",IF(COUNTIFS(Setup!$L$6:$L$60,D3655,Setup!$M$6:$M$60,C3655)=0,"⚠ หมวดไม่ตรงประเภท","✓"))))</f>
        <v/>
      </c>
    </row>
    <row r="3656">
      <c r="B3656" s="113" t="n"/>
      <c r="C3656" s="114" t="n"/>
      <c r="D3656" s="115" t="n"/>
      <c r="E3656" s="116" t="n"/>
      <c r="F3656" s="115" t="n"/>
      <c r="G3656" s="117">
        <f>IF(COUNTA(B3656:E3656)=0,"",IF(COUNTA(B3656:E3656)&lt;4,"⚠ กรอกไม่ครบ",IF(NOT(ISNUMBER(B3656)),"⚠ วันที่ไม่ถูกต้อง",IF(COUNTIFS(Setup!$L$6:$L$60,D3656,Setup!$M$6:$M$60,C3656)=0,"⚠ หมวดไม่ตรงประเภท","✓"))))</f>
        <v/>
      </c>
    </row>
    <row r="3657">
      <c r="B3657" s="113" t="n"/>
      <c r="C3657" s="114" t="n"/>
      <c r="D3657" s="115" t="n"/>
      <c r="E3657" s="116" t="n"/>
      <c r="F3657" s="115" t="n"/>
      <c r="G3657" s="117">
        <f>IF(COUNTA(B3657:E3657)=0,"",IF(COUNTA(B3657:E3657)&lt;4,"⚠ กรอกไม่ครบ",IF(NOT(ISNUMBER(B3657)),"⚠ วันที่ไม่ถูกต้อง",IF(COUNTIFS(Setup!$L$6:$L$60,D3657,Setup!$M$6:$M$60,C3657)=0,"⚠ หมวดไม่ตรงประเภท","✓"))))</f>
        <v/>
      </c>
    </row>
    <row r="3658">
      <c r="B3658" s="113" t="n"/>
      <c r="C3658" s="114" t="n"/>
      <c r="D3658" s="115" t="n"/>
      <c r="E3658" s="116" t="n"/>
      <c r="F3658" s="115" t="n"/>
      <c r="G3658" s="117">
        <f>IF(COUNTA(B3658:E3658)=0,"",IF(COUNTA(B3658:E3658)&lt;4,"⚠ กรอกไม่ครบ",IF(NOT(ISNUMBER(B3658)),"⚠ วันที่ไม่ถูกต้อง",IF(COUNTIFS(Setup!$L$6:$L$60,D3658,Setup!$M$6:$M$60,C3658)=0,"⚠ หมวดไม่ตรงประเภท","✓"))))</f>
        <v/>
      </c>
    </row>
    <row r="3659">
      <c r="B3659" s="113" t="n"/>
      <c r="C3659" s="114" t="n"/>
      <c r="D3659" s="115" t="n"/>
      <c r="E3659" s="116" t="n"/>
      <c r="F3659" s="115" t="n"/>
      <c r="G3659" s="117">
        <f>IF(COUNTA(B3659:E3659)=0,"",IF(COUNTA(B3659:E3659)&lt;4,"⚠ กรอกไม่ครบ",IF(NOT(ISNUMBER(B3659)),"⚠ วันที่ไม่ถูกต้อง",IF(COUNTIFS(Setup!$L$6:$L$60,D3659,Setup!$M$6:$M$60,C3659)=0,"⚠ หมวดไม่ตรงประเภท","✓"))))</f>
        <v/>
      </c>
    </row>
    <row r="3660">
      <c r="B3660" s="113" t="n"/>
      <c r="C3660" s="114" t="n"/>
      <c r="D3660" s="115" t="n"/>
      <c r="E3660" s="116" t="n"/>
      <c r="F3660" s="115" t="n"/>
      <c r="G3660" s="117">
        <f>IF(COUNTA(B3660:E3660)=0,"",IF(COUNTA(B3660:E3660)&lt;4,"⚠ กรอกไม่ครบ",IF(NOT(ISNUMBER(B3660)),"⚠ วันที่ไม่ถูกต้อง",IF(COUNTIFS(Setup!$L$6:$L$60,D3660,Setup!$M$6:$M$60,C3660)=0,"⚠ หมวดไม่ตรงประเภท","✓"))))</f>
        <v/>
      </c>
    </row>
    <row r="3661">
      <c r="B3661" s="113" t="n"/>
      <c r="C3661" s="114" t="n"/>
      <c r="D3661" s="115" t="n"/>
      <c r="E3661" s="116" t="n"/>
      <c r="F3661" s="115" t="n"/>
      <c r="G3661" s="117">
        <f>IF(COUNTA(B3661:E3661)=0,"",IF(COUNTA(B3661:E3661)&lt;4,"⚠ กรอกไม่ครบ",IF(NOT(ISNUMBER(B3661)),"⚠ วันที่ไม่ถูกต้อง",IF(COUNTIFS(Setup!$L$6:$L$60,D3661,Setup!$M$6:$M$60,C3661)=0,"⚠ หมวดไม่ตรงประเภท","✓"))))</f>
        <v/>
      </c>
    </row>
    <row r="3662">
      <c r="B3662" s="113" t="n"/>
      <c r="C3662" s="114" t="n"/>
      <c r="D3662" s="115" t="n"/>
      <c r="E3662" s="116" t="n"/>
      <c r="F3662" s="115" t="n"/>
      <c r="G3662" s="117">
        <f>IF(COUNTA(B3662:E3662)=0,"",IF(COUNTA(B3662:E3662)&lt;4,"⚠ กรอกไม่ครบ",IF(NOT(ISNUMBER(B3662)),"⚠ วันที่ไม่ถูกต้อง",IF(COUNTIFS(Setup!$L$6:$L$60,D3662,Setup!$M$6:$M$60,C3662)=0,"⚠ หมวดไม่ตรงประเภท","✓"))))</f>
        <v/>
      </c>
    </row>
    <row r="3663">
      <c r="B3663" s="113" t="n"/>
      <c r="C3663" s="114" t="n"/>
      <c r="D3663" s="115" t="n"/>
      <c r="E3663" s="116" t="n"/>
      <c r="F3663" s="115" t="n"/>
      <c r="G3663" s="117">
        <f>IF(COUNTA(B3663:E3663)=0,"",IF(COUNTA(B3663:E3663)&lt;4,"⚠ กรอกไม่ครบ",IF(NOT(ISNUMBER(B3663)),"⚠ วันที่ไม่ถูกต้อง",IF(COUNTIFS(Setup!$L$6:$L$60,D3663,Setup!$M$6:$M$60,C3663)=0,"⚠ หมวดไม่ตรงประเภท","✓"))))</f>
        <v/>
      </c>
    </row>
    <row r="3664">
      <c r="B3664" s="113" t="n"/>
      <c r="C3664" s="114" t="n"/>
      <c r="D3664" s="115" t="n"/>
      <c r="E3664" s="116" t="n"/>
      <c r="F3664" s="115" t="n"/>
      <c r="G3664" s="117">
        <f>IF(COUNTA(B3664:E3664)=0,"",IF(COUNTA(B3664:E3664)&lt;4,"⚠ กรอกไม่ครบ",IF(NOT(ISNUMBER(B3664)),"⚠ วันที่ไม่ถูกต้อง",IF(COUNTIFS(Setup!$L$6:$L$60,D3664,Setup!$M$6:$M$60,C3664)=0,"⚠ หมวดไม่ตรงประเภท","✓"))))</f>
        <v/>
      </c>
    </row>
    <row r="3665">
      <c r="B3665" s="113" t="n"/>
      <c r="C3665" s="114" t="n"/>
      <c r="D3665" s="115" t="n"/>
      <c r="E3665" s="116" t="n"/>
      <c r="F3665" s="115" t="n"/>
      <c r="G3665" s="117">
        <f>IF(COUNTA(B3665:E3665)=0,"",IF(COUNTA(B3665:E3665)&lt;4,"⚠ กรอกไม่ครบ",IF(NOT(ISNUMBER(B3665)),"⚠ วันที่ไม่ถูกต้อง",IF(COUNTIFS(Setup!$L$6:$L$60,D3665,Setup!$M$6:$M$60,C3665)=0,"⚠ หมวดไม่ตรงประเภท","✓"))))</f>
        <v/>
      </c>
    </row>
    <row r="3666">
      <c r="B3666" s="113" t="n"/>
      <c r="C3666" s="114" t="n"/>
      <c r="D3666" s="115" t="n"/>
      <c r="E3666" s="116" t="n"/>
      <c r="F3666" s="115" t="n"/>
      <c r="G3666" s="117">
        <f>IF(COUNTA(B3666:E3666)=0,"",IF(COUNTA(B3666:E3666)&lt;4,"⚠ กรอกไม่ครบ",IF(NOT(ISNUMBER(B3666)),"⚠ วันที่ไม่ถูกต้อง",IF(COUNTIFS(Setup!$L$6:$L$60,D3666,Setup!$M$6:$M$60,C3666)=0,"⚠ หมวดไม่ตรงประเภท","✓"))))</f>
        <v/>
      </c>
    </row>
    <row r="3667">
      <c r="B3667" s="113" t="n"/>
      <c r="C3667" s="114" t="n"/>
      <c r="D3667" s="115" t="n"/>
      <c r="E3667" s="116" t="n"/>
      <c r="F3667" s="115" t="n"/>
      <c r="G3667" s="117">
        <f>IF(COUNTA(B3667:E3667)=0,"",IF(COUNTA(B3667:E3667)&lt;4,"⚠ กรอกไม่ครบ",IF(NOT(ISNUMBER(B3667)),"⚠ วันที่ไม่ถูกต้อง",IF(COUNTIFS(Setup!$L$6:$L$60,D3667,Setup!$M$6:$M$60,C3667)=0,"⚠ หมวดไม่ตรงประเภท","✓"))))</f>
        <v/>
      </c>
    </row>
    <row r="3668">
      <c r="B3668" s="113" t="n"/>
      <c r="C3668" s="114" t="n"/>
      <c r="D3668" s="115" t="n"/>
      <c r="E3668" s="116" t="n"/>
      <c r="F3668" s="115" t="n"/>
      <c r="G3668" s="117">
        <f>IF(COUNTA(B3668:E3668)=0,"",IF(COUNTA(B3668:E3668)&lt;4,"⚠ กรอกไม่ครบ",IF(NOT(ISNUMBER(B3668)),"⚠ วันที่ไม่ถูกต้อง",IF(COUNTIFS(Setup!$L$6:$L$60,D3668,Setup!$M$6:$M$60,C3668)=0,"⚠ หมวดไม่ตรงประเภท","✓"))))</f>
        <v/>
      </c>
    </row>
    <row r="3669">
      <c r="B3669" s="113" t="n"/>
      <c r="C3669" s="114" t="n"/>
      <c r="D3669" s="115" t="n"/>
      <c r="E3669" s="116" t="n"/>
      <c r="F3669" s="115" t="n"/>
      <c r="G3669" s="117">
        <f>IF(COUNTA(B3669:E3669)=0,"",IF(COUNTA(B3669:E3669)&lt;4,"⚠ กรอกไม่ครบ",IF(NOT(ISNUMBER(B3669)),"⚠ วันที่ไม่ถูกต้อง",IF(COUNTIFS(Setup!$L$6:$L$60,D3669,Setup!$M$6:$M$60,C3669)=0,"⚠ หมวดไม่ตรงประเภท","✓"))))</f>
        <v/>
      </c>
    </row>
    <row r="3670">
      <c r="B3670" s="113" t="n"/>
      <c r="C3670" s="114" t="n"/>
      <c r="D3670" s="115" t="n"/>
      <c r="E3670" s="116" t="n"/>
      <c r="F3670" s="115" t="n"/>
      <c r="G3670" s="117">
        <f>IF(COUNTA(B3670:E3670)=0,"",IF(COUNTA(B3670:E3670)&lt;4,"⚠ กรอกไม่ครบ",IF(NOT(ISNUMBER(B3670)),"⚠ วันที่ไม่ถูกต้อง",IF(COUNTIFS(Setup!$L$6:$L$60,D3670,Setup!$M$6:$M$60,C3670)=0,"⚠ หมวดไม่ตรงประเภท","✓"))))</f>
        <v/>
      </c>
    </row>
    <row r="3671">
      <c r="B3671" s="113" t="n"/>
      <c r="C3671" s="114" t="n"/>
      <c r="D3671" s="115" t="n"/>
      <c r="E3671" s="116" t="n"/>
      <c r="F3671" s="115" t="n"/>
      <c r="G3671" s="117">
        <f>IF(COUNTA(B3671:E3671)=0,"",IF(COUNTA(B3671:E3671)&lt;4,"⚠ กรอกไม่ครบ",IF(NOT(ISNUMBER(B3671)),"⚠ วันที่ไม่ถูกต้อง",IF(COUNTIFS(Setup!$L$6:$L$60,D3671,Setup!$M$6:$M$60,C3671)=0,"⚠ หมวดไม่ตรงประเภท","✓"))))</f>
        <v/>
      </c>
    </row>
    <row r="3672">
      <c r="B3672" s="113" t="n"/>
      <c r="C3672" s="114" t="n"/>
      <c r="D3672" s="115" t="n"/>
      <c r="E3672" s="116" t="n"/>
      <c r="F3672" s="115" t="n"/>
      <c r="G3672" s="117">
        <f>IF(COUNTA(B3672:E3672)=0,"",IF(COUNTA(B3672:E3672)&lt;4,"⚠ กรอกไม่ครบ",IF(NOT(ISNUMBER(B3672)),"⚠ วันที่ไม่ถูกต้อง",IF(COUNTIFS(Setup!$L$6:$L$60,D3672,Setup!$M$6:$M$60,C3672)=0,"⚠ หมวดไม่ตรงประเภท","✓"))))</f>
        <v/>
      </c>
    </row>
    <row r="3673">
      <c r="B3673" s="113" t="n"/>
      <c r="C3673" s="114" t="n"/>
      <c r="D3673" s="115" t="n"/>
      <c r="E3673" s="116" t="n"/>
      <c r="F3673" s="115" t="n"/>
      <c r="G3673" s="117">
        <f>IF(COUNTA(B3673:E3673)=0,"",IF(COUNTA(B3673:E3673)&lt;4,"⚠ กรอกไม่ครบ",IF(NOT(ISNUMBER(B3673)),"⚠ วันที่ไม่ถูกต้อง",IF(COUNTIFS(Setup!$L$6:$L$60,D3673,Setup!$M$6:$M$60,C3673)=0,"⚠ หมวดไม่ตรงประเภท","✓"))))</f>
        <v/>
      </c>
    </row>
    <row r="3674">
      <c r="B3674" s="113" t="n"/>
      <c r="C3674" s="114" t="n"/>
      <c r="D3674" s="115" t="n"/>
      <c r="E3674" s="116" t="n"/>
      <c r="F3674" s="115" t="n"/>
      <c r="G3674" s="117">
        <f>IF(COUNTA(B3674:E3674)=0,"",IF(COUNTA(B3674:E3674)&lt;4,"⚠ กรอกไม่ครบ",IF(NOT(ISNUMBER(B3674)),"⚠ วันที่ไม่ถูกต้อง",IF(COUNTIFS(Setup!$L$6:$L$60,D3674,Setup!$M$6:$M$60,C3674)=0,"⚠ หมวดไม่ตรงประเภท","✓"))))</f>
        <v/>
      </c>
    </row>
    <row r="3675">
      <c r="B3675" s="113" t="n"/>
      <c r="C3675" s="114" t="n"/>
      <c r="D3675" s="115" t="n"/>
      <c r="E3675" s="116" t="n"/>
      <c r="F3675" s="115" t="n"/>
      <c r="G3675" s="117">
        <f>IF(COUNTA(B3675:E3675)=0,"",IF(COUNTA(B3675:E3675)&lt;4,"⚠ กรอกไม่ครบ",IF(NOT(ISNUMBER(B3675)),"⚠ วันที่ไม่ถูกต้อง",IF(COUNTIFS(Setup!$L$6:$L$60,D3675,Setup!$M$6:$M$60,C3675)=0,"⚠ หมวดไม่ตรงประเภท","✓"))))</f>
        <v/>
      </c>
    </row>
    <row r="3676">
      <c r="B3676" s="113" t="n"/>
      <c r="C3676" s="114" t="n"/>
      <c r="D3676" s="115" t="n"/>
      <c r="E3676" s="116" t="n"/>
      <c r="F3676" s="115" t="n"/>
      <c r="G3676" s="117">
        <f>IF(COUNTA(B3676:E3676)=0,"",IF(COUNTA(B3676:E3676)&lt;4,"⚠ กรอกไม่ครบ",IF(NOT(ISNUMBER(B3676)),"⚠ วันที่ไม่ถูกต้อง",IF(COUNTIFS(Setup!$L$6:$L$60,D3676,Setup!$M$6:$M$60,C3676)=0,"⚠ หมวดไม่ตรงประเภท","✓"))))</f>
        <v/>
      </c>
    </row>
    <row r="3677">
      <c r="B3677" s="113" t="n"/>
      <c r="C3677" s="114" t="n"/>
      <c r="D3677" s="115" t="n"/>
      <c r="E3677" s="116" t="n"/>
      <c r="F3677" s="115" t="n"/>
      <c r="G3677" s="117">
        <f>IF(COUNTA(B3677:E3677)=0,"",IF(COUNTA(B3677:E3677)&lt;4,"⚠ กรอกไม่ครบ",IF(NOT(ISNUMBER(B3677)),"⚠ วันที่ไม่ถูกต้อง",IF(COUNTIFS(Setup!$L$6:$L$60,D3677,Setup!$M$6:$M$60,C3677)=0,"⚠ หมวดไม่ตรงประเภท","✓"))))</f>
        <v/>
      </c>
    </row>
    <row r="3678">
      <c r="B3678" s="113" t="n"/>
      <c r="C3678" s="114" t="n"/>
      <c r="D3678" s="115" t="n"/>
      <c r="E3678" s="116" t="n"/>
      <c r="F3678" s="115" t="n"/>
      <c r="G3678" s="117">
        <f>IF(COUNTA(B3678:E3678)=0,"",IF(COUNTA(B3678:E3678)&lt;4,"⚠ กรอกไม่ครบ",IF(NOT(ISNUMBER(B3678)),"⚠ วันที่ไม่ถูกต้อง",IF(COUNTIFS(Setup!$L$6:$L$60,D3678,Setup!$M$6:$M$60,C3678)=0,"⚠ หมวดไม่ตรงประเภท","✓"))))</f>
        <v/>
      </c>
    </row>
    <row r="3679">
      <c r="B3679" s="113" t="n"/>
      <c r="C3679" s="114" t="n"/>
      <c r="D3679" s="115" t="n"/>
      <c r="E3679" s="116" t="n"/>
      <c r="F3679" s="115" t="n"/>
      <c r="G3679" s="117">
        <f>IF(COUNTA(B3679:E3679)=0,"",IF(COUNTA(B3679:E3679)&lt;4,"⚠ กรอกไม่ครบ",IF(NOT(ISNUMBER(B3679)),"⚠ วันที่ไม่ถูกต้อง",IF(COUNTIFS(Setup!$L$6:$L$60,D3679,Setup!$M$6:$M$60,C3679)=0,"⚠ หมวดไม่ตรงประเภท","✓"))))</f>
        <v/>
      </c>
    </row>
    <row r="3680">
      <c r="B3680" s="113" t="n"/>
      <c r="C3680" s="114" t="n"/>
      <c r="D3680" s="115" t="n"/>
      <c r="E3680" s="116" t="n"/>
      <c r="F3680" s="115" t="n"/>
      <c r="G3680" s="117">
        <f>IF(COUNTA(B3680:E3680)=0,"",IF(COUNTA(B3680:E3680)&lt;4,"⚠ กรอกไม่ครบ",IF(NOT(ISNUMBER(B3680)),"⚠ วันที่ไม่ถูกต้อง",IF(COUNTIFS(Setup!$L$6:$L$60,D3680,Setup!$M$6:$M$60,C3680)=0,"⚠ หมวดไม่ตรงประเภท","✓"))))</f>
        <v/>
      </c>
    </row>
    <row r="3681">
      <c r="B3681" s="113" t="n"/>
      <c r="C3681" s="114" t="n"/>
      <c r="D3681" s="115" t="n"/>
      <c r="E3681" s="116" t="n"/>
      <c r="F3681" s="115" t="n"/>
      <c r="G3681" s="117">
        <f>IF(COUNTA(B3681:E3681)=0,"",IF(COUNTA(B3681:E3681)&lt;4,"⚠ กรอกไม่ครบ",IF(NOT(ISNUMBER(B3681)),"⚠ วันที่ไม่ถูกต้อง",IF(COUNTIFS(Setup!$L$6:$L$60,D3681,Setup!$M$6:$M$60,C3681)=0,"⚠ หมวดไม่ตรงประเภท","✓"))))</f>
        <v/>
      </c>
    </row>
    <row r="3682">
      <c r="B3682" s="113" t="n"/>
      <c r="C3682" s="114" t="n"/>
      <c r="D3682" s="115" t="n"/>
      <c r="E3682" s="116" t="n"/>
      <c r="F3682" s="115" t="n"/>
      <c r="G3682" s="117">
        <f>IF(COUNTA(B3682:E3682)=0,"",IF(COUNTA(B3682:E3682)&lt;4,"⚠ กรอกไม่ครบ",IF(NOT(ISNUMBER(B3682)),"⚠ วันที่ไม่ถูกต้อง",IF(COUNTIFS(Setup!$L$6:$L$60,D3682,Setup!$M$6:$M$60,C3682)=0,"⚠ หมวดไม่ตรงประเภท","✓"))))</f>
        <v/>
      </c>
    </row>
    <row r="3683">
      <c r="B3683" s="113" t="n"/>
      <c r="C3683" s="114" t="n"/>
      <c r="D3683" s="115" t="n"/>
      <c r="E3683" s="116" t="n"/>
      <c r="F3683" s="115" t="n"/>
      <c r="G3683" s="117">
        <f>IF(COUNTA(B3683:E3683)=0,"",IF(COUNTA(B3683:E3683)&lt;4,"⚠ กรอกไม่ครบ",IF(NOT(ISNUMBER(B3683)),"⚠ วันที่ไม่ถูกต้อง",IF(COUNTIFS(Setup!$L$6:$L$60,D3683,Setup!$M$6:$M$60,C3683)=0,"⚠ หมวดไม่ตรงประเภท","✓"))))</f>
        <v/>
      </c>
    </row>
    <row r="3684">
      <c r="B3684" s="113" t="n"/>
      <c r="C3684" s="114" t="n"/>
      <c r="D3684" s="115" t="n"/>
      <c r="E3684" s="116" t="n"/>
      <c r="F3684" s="115" t="n"/>
      <c r="G3684" s="117">
        <f>IF(COUNTA(B3684:E3684)=0,"",IF(COUNTA(B3684:E3684)&lt;4,"⚠ กรอกไม่ครบ",IF(NOT(ISNUMBER(B3684)),"⚠ วันที่ไม่ถูกต้อง",IF(COUNTIFS(Setup!$L$6:$L$60,D3684,Setup!$M$6:$M$60,C3684)=0,"⚠ หมวดไม่ตรงประเภท","✓"))))</f>
        <v/>
      </c>
    </row>
    <row r="3685">
      <c r="B3685" s="113" t="n"/>
      <c r="C3685" s="114" t="n"/>
      <c r="D3685" s="115" t="n"/>
      <c r="E3685" s="116" t="n"/>
      <c r="F3685" s="115" t="n"/>
      <c r="G3685" s="117">
        <f>IF(COUNTA(B3685:E3685)=0,"",IF(COUNTA(B3685:E3685)&lt;4,"⚠ กรอกไม่ครบ",IF(NOT(ISNUMBER(B3685)),"⚠ วันที่ไม่ถูกต้อง",IF(COUNTIFS(Setup!$L$6:$L$60,D3685,Setup!$M$6:$M$60,C3685)=0,"⚠ หมวดไม่ตรงประเภท","✓"))))</f>
        <v/>
      </c>
    </row>
    <row r="3686">
      <c r="B3686" s="113" t="n"/>
      <c r="C3686" s="114" t="n"/>
      <c r="D3686" s="115" t="n"/>
      <c r="E3686" s="116" t="n"/>
      <c r="F3686" s="115" t="n"/>
      <c r="G3686" s="117">
        <f>IF(COUNTA(B3686:E3686)=0,"",IF(COUNTA(B3686:E3686)&lt;4,"⚠ กรอกไม่ครบ",IF(NOT(ISNUMBER(B3686)),"⚠ วันที่ไม่ถูกต้อง",IF(COUNTIFS(Setup!$L$6:$L$60,D3686,Setup!$M$6:$M$60,C3686)=0,"⚠ หมวดไม่ตรงประเภท","✓"))))</f>
        <v/>
      </c>
    </row>
    <row r="3687">
      <c r="B3687" s="113" t="n"/>
      <c r="C3687" s="114" t="n"/>
      <c r="D3687" s="115" t="n"/>
      <c r="E3687" s="116" t="n"/>
      <c r="F3687" s="115" t="n"/>
      <c r="G3687" s="117">
        <f>IF(COUNTA(B3687:E3687)=0,"",IF(COUNTA(B3687:E3687)&lt;4,"⚠ กรอกไม่ครบ",IF(NOT(ISNUMBER(B3687)),"⚠ วันที่ไม่ถูกต้อง",IF(COUNTIFS(Setup!$L$6:$L$60,D3687,Setup!$M$6:$M$60,C3687)=0,"⚠ หมวดไม่ตรงประเภท","✓"))))</f>
        <v/>
      </c>
    </row>
    <row r="3688">
      <c r="B3688" s="113" t="n"/>
      <c r="C3688" s="114" t="n"/>
      <c r="D3688" s="115" t="n"/>
      <c r="E3688" s="116" t="n"/>
      <c r="F3688" s="115" t="n"/>
      <c r="G3688" s="117">
        <f>IF(COUNTA(B3688:E3688)=0,"",IF(COUNTA(B3688:E3688)&lt;4,"⚠ กรอกไม่ครบ",IF(NOT(ISNUMBER(B3688)),"⚠ วันที่ไม่ถูกต้อง",IF(COUNTIFS(Setup!$L$6:$L$60,D3688,Setup!$M$6:$M$60,C3688)=0,"⚠ หมวดไม่ตรงประเภท","✓"))))</f>
        <v/>
      </c>
    </row>
    <row r="3689">
      <c r="B3689" s="113" t="n"/>
      <c r="C3689" s="114" t="n"/>
      <c r="D3689" s="115" t="n"/>
      <c r="E3689" s="116" t="n"/>
      <c r="F3689" s="115" t="n"/>
      <c r="G3689" s="117">
        <f>IF(COUNTA(B3689:E3689)=0,"",IF(COUNTA(B3689:E3689)&lt;4,"⚠ กรอกไม่ครบ",IF(NOT(ISNUMBER(B3689)),"⚠ วันที่ไม่ถูกต้อง",IF(COUNTIFS(Setup!$L$6:$L$60,D3689,Setup!$M$6:$M$60,C3689)=0,"⚠ หมวดไม่ตรงประเภท","✓"))))</f>
        <v/>
      </c>
    </row>
    <row r="3690">
      <c r="B3690" s="113" t="n"/>
      <c r="C3690" s="114" t="n"/>
      <c r="D3690" s="115" t="n"/>
      <c r="E3690" s="116" t="n"/>
      <c r="F3690" s="115" t="n"/>
      <c r="G3690" s="117">
        <f>IF(COUNTA(B3690:E3690)=0,"",IF(COUNTA(B3690:E3690)&lt;4,"⚠ กรอกไม่ครบ",IF(NOT(ISNUMBER(B3690)),"⚠ วันที่ไม่ถูกต้อง",IF(COUNTIFS(Setup!$L$6:$L$60,D3690,Setup!$M$6:$M$60,C3690)=0,"⚠ หมวดไม่ตรงประเภท","✓"))))</f>
        <v/>
      </c>
    </row>
    <row r="3691">
      <c r="B3691" s="113" t="n"/>
      <c r="C3691" s="114" t="n"/>
      <c r="D3691" s="115" t="n"/>
      <c r="E3691" s="116" t="n"/>
      <c r="F3691" s="115" t="n"/>
      <c r="G3691" s="117">
        <f>IF(COUNTA(B3691:E3691)=0,"",IF(COUNTA(B3691:E3691)&lt;4,"⚠ กรอกไม่ครบ",IF(NOT(ISNUMBER(B3691)),"⚠ วันที่ไม่ถูกต้อง",IF(COUNTIFS(Setup!$L$6:$L$60,D3691,Setup!$M$6:$M$60,C3691)=0,"⚠ หมวดไม่ตรงประเภท","✓"))))</f>
        <v/>
      </c>
    </row>
    <row r="3692">
      <c r="B3692" s="113" t="n"/>
      <c r="C3692" s="114" t="n"/>
      <c r="D3692" s="115" t="n"/>
      <c r="E3692" s="116" t="n"/>
      <c r="F3692" s="115" t="n"/>
      <c r="G3692" s="117">
        <f>IF(COUNTA(B3692:E3692)=0,"",IF(COUNTA(B3692:E3692)&lt;4,"⚠ กรอกไม่ครบ",IF(NOT(ISNUMBER(B3692)),"⚠ วันที่ไม่ถูกต้อง",IF(COUNTIFS(Setup!$L$6:$L$60,D3692,Setup!$M$6:$M$60,C3692)=0,"⚠ หมวดไม่ตรงประเภท","✓"))))</f>
        <v/>
      </c>
    </row>
    <row r="3693">
      <c r="B3693" s="113" t="n"/>
      <c r="C3693" s="114" t="n"/>
      <c r="D3693" s="115" t="n"/>
      <c r="E3693" s="116" t="n"/>
      <c r="F3693" s="115" t="n"/>
      <c r="G3693" s="117">
        <f>IF(COUNTA(B3693:E3693)=0,"",IF(COUNTA(B3693:E3693)&lt;4,"⚠ กรอกไม่ครบ",IF(NOT(ISNUMBER(B3693)),"⚠ วันที่ไม่ถูกต้อง",IF(COUNTIFS(Setup!$L$6:$L$60,D3693,Setup!$M$6:$M$60,C3693)=0,"⚠ หมวดไม่ตรงประเภท","✓"))))</f>
        <v/>
      </c>
    </row>
    <row r="3694">
      <c r="B3694" s="113" t="n"/>
      <c r="C3694" s="114" t="n"/>
      <c r="D3694" s="115" t="n"/>
      <c r="E3694" s="116" t="n"/>
      <c r="F3694" s="115" t="n"/>
      <c r="G3694" s="117">
        <f>IF(COUNTA(B3694:E3694)=0,"",IF(COUNTA(B3694:E3694)&lt;4,"⚠ กรอกไม่ครบ",IF(NOT(ISNUMBER(B3694)),"⚠ วันที่ไม่ถูกต้อง",IF(COUNTIFS(Setup!$L$6:$L$60,D3694,Setup!$M$6:$M$60,C3694)=0,"⚠ หมวดไม่ตรงประเภท","✓"))))</f>
        <v/>
      </c>
    </row>
    <row r="3695">
      <c r="B3695" s="113" t="n"/>
      <c r="C3695" s="114" t="n"/>
      <c r="D3695" s="115" t="n"/>
      <c r="E3695" s="116" t="n"/>
      <c r="F3695" s="115" t="n"/>
      <c r="G3695" s="117">
        <f>IF(COUNTA(B3695:E3695)=0,"",IF(COUNTA(B3695:E3695)&lt;4,"⚠ กรอกไม่ครบ",IF(NOT(ISNUMBER(B3695)),"⚠ วันที่ไม่ถูกต้อง",IF(COUNTIFS(Setup!$L$6:$L$60,D3695,Setup!$M$6:$M$60,C3695)=0,"⚠ หมวดไม่ตรงประเภท","✓"))))</f>
        <v/>
      </c>
    </row>
    <row r="3696">
      <c r="B3696" s="113" t="n"/>
      <c r="C3696" s="114" t="n"/>
      <c r="D3696" s="115" t="n"/>
      <c r="E3696" s="116" t="n"/>
      <c r="F3696" s="115" t="n"/>
      <c r="G3696" s="117">
        <f>IF(COUNTA(B3696:E3696)=0,"",IF(COUNTA(B3696:E3696)&lt;4,"⚠ กรอกไม่ครบ",IF(NOT(ISNUMBER(B3696)),"⚠ วันที่ไม่ถูกต้อง",IF(COUNTIFS(Setup!$L$6:$L$60,D3696,Setup!$M$6:$M$60,C3696)=0,"⚠ หมวดไม่ตรงประเภท","✓"))))</f>
        <v/>
      </c>
    </row>
    <row r="3697">
      <c r="B3697" s="113" t="n"/>
      <c r="C3697" s="114" t="n"/>
      <c r="D3697" s="115" t="n"/>
      <c r="E3697" s="116" t="n"/>
      <c r="F3697" s="115" t="n"/>
      <c r="G3697" s="117">
        <f>IF(COUNTA(B3697:E3697)=0,"",IF(COUNTA(B3697:E3697)&lt;4,"⚠ กรอกไม่ครบ",IF(NOT(ISNUMBER(B3697)),"⚠ วันที่ไม่ถูกต้อง",IF(COUNTIFS(Setup!$L$6:$L$60,D3697,Setup!$M$6:$M$60,C3697)=0,"⚠ หมวดไม่ตรงประเภท","✓"))))</f>
        <v/>
      </c>
    </row>
    <row r="3698">
      <c r="B3698" s="113" t="n"/>
      <c r="C3698" s="114" t="n"/>
      <c r="D3698" s="115" t="n"/>
      <c r="E3698" s="116" t="n"/>
      <c r="F3698" s="115" t="n"/>
      <c r="G3698" s="117">
        <f>IF(COUNTA(B3698:E3698)=0,"",IF(COUNTA(B3698:E3698)&lt;4,"⚠ กรอกไม่ครบ",IF(NOT(ISNUMBER(B3698)),"⚠ วันที่ไม่ถูกต้อง",IF(COUNTIFS(Setup!$L$6:$L$60,D3698,Setup!$M$6:$M$60,C3698)=0,"⚠ หมวดไม่ตรงประเภท","✓"))))</f>
        <v/>
      </c>
    </row>
    <row r="3699">
      <c r="B3699" s="113" t="n"/>
      <c r="C3699" s="114" t="n"/>
      <c r="D3699" s="115" t="n"/>
      <c r="E3699" s="116" t="n"/>
      <c r="F3699" s="115" t="n"/>
      <c r="G3699" s="117">
        <f>IF(COUNTA(B3699:E3699)=0,"",IF(COUNTA(B3699:E3699)&lt;4,"⚠ กรอกไม่ครบ",IF(NOT(ISNUMBER(B3699)),"⚠ วันที่ไม่ถูกต้อง",IF(COUNTIFS(Setup!$L$6:$L$60,D3699,Setup!$M$6:$M$60,C3699)=0,"⚠ หมวดไม่ตรงประเภท","✓"))))</f>
        <v/>
      </c>
    </row>
    <row r="3700">
      <c r="B3700" s="113" t="n"/>
      <c r="C3700" s="114" t="n"/>
      <c r="D3700" s="115" t="n"/>
      <c r="E3700" s="116" t="n"/>
      <c r="F3700" s="115" t="n"/>
      <c r="G3700" s="117">
        <f>IF(COUNTA(B3700:E3700)=0,"",IF(COUNTA(B3700:E3700)&lt;4,"⚠ กรอกไม่ครบ",IF(NOT(ISNUMBER(B3700)),"⚠ วันที่ไม่ถูกต้อง",IF(COUNTIFS(Setup!$L$6:$L$60,D3700,Setup!$M$6:$M$60,C3700)=0,"⚠ หมวดไม่ตรงประเภท","✓"))))</f>
        <v/>
      </c>
    </row>
    <row r="3701">
      <c r="B3701" s="113" t="n"/>
      <c r="C3701" s="114" t="n"/>
      <c r="D3701" s="115" t="n"/>
      <c r="E3701" s="116" t="n"/>
      <c r="F3701" s="115" t="n"/>
      <c r="G3701" s="117">
        <f>IF(COUNTA(B3701:E3701)=0,"",IF(COUNTA(B3701:E3701)&lt;4,"⚠ กรอกไม่ครบ",IF(NOT(ISNUMBER(B3701)),"⚠ วันที่ไม่ถูกต้อง",IF(COUNTIFS(Setup!$L$6:$L$60,D3701,Setup!$M$6:$M$60,C3701)=0,"⚠ หมวดไม่ตรงประเภท","✓"))))</f>
        <v/>
      </c>
    </row>
    <row r="3702">
      <c r="B3702" s="113" t="n"/>
      <c r="C3702" s="114" t="n"/>
      <c r="D3702" s="115" t="n"/>
      <c r="E3702" s="116" t="n"/>
      <c r="F3702" s="115" t="n"/>
      <c r="G3702" s="117">
        <f>IF(COUNTA(B3702:E3702)=0,"",IF(COUNTA(B3702:E3702)&lt;4,"⚠ กรอกไม่ครบ",IF(NOT(ISNUMBER(B3702)),"⚠ วันที่ไม่ถูกต้อง",IF(COUNTIFS(Setup!$L$6:$L$60,D3702,Setup!$M$6:$M$60,C3702)=0,"⚠ หมวดไม่ตรงประเภท","✓"))))</f>
        <v/>
      </c>
    </row>
    <row r="3703">
      <c r="B3703" s="113" t="n"/>
      <c r="C3703" s="114" t="n"/>
      <c r="D3703" s="115" t="n"/>
      <c r="E3703" s="116" t="n"/>
      <c r="F3703" s="115" t="n"/>
      <c r="G3703" s="117">
        <f>IF(COUNTA(B3703:E3703)=0,"",IF(COUNTA(B3703:E3703)&lt;4,"⚠ กรอกไม่ครบ",IF(NOT(ISNUMBER(B3703)),"⚠ วันที่ไม่ถูกต้อง",IF(COUNTIFS(Setup!$L$6:$L$60,D3703,Setup!$M$6:$M$60,C3703)=0,"⚠ หมวดไม่ตรงประเภท","✓"))))</f>
        <v/>
      </c>
    </row>
    <row r="3704">
      <c r="B3704" s="113" t="n"/>
      <c r="C3704" s="114" t="n"/>
      <c r="D3704" s="115" t="n"/>
      <c r="E3704" s="116" t="n"/>
      <c r="F3704" s="115" t="n"/>
      <c r="G3704" s="117">
        <f>IF(COUNTA(B3704:E3704)=0,"",IF(COUNTA(B3704:E3704)&lt;4,"⚠ กรอกไม่ครบ",IF(NOT(ISNUMBER(B3704)),"⚠ วันที่ไม่ถูกต้อง",IF(COUNTIFS(Setup!$L$6:$L$60,D3704,Setup!$M$6:$M$60,C3704)=0,"⚠ หมวดไม่ตรงประเภท","✓"))))</f>
        <v/>
      </c>
    </row>
    <row r="3705">
      <c r="B3705" s="113" t="n"/>
      <c r="C3705" s="114" t="n"/>
      <c r="D3705" s="115" t="n"/>
      <c r="E3705" s="116" t="n"/>
      <c r="F3705" s="115" t="n"/>
      <c r="G3705" s="117">
        <f>IF(COUNTA(B3705:E3705)=0,"",IF(COUNTA(B3705:E3705)&lt;4,"⚠ กรอกไม่ครบ",IF(NOT(ISNUMBER(B3705)),"⚠ วันที่ไม่ถูกต้อง",IF(COUNTIFS(Setup!$L$6:$L$60,D3705,Setup!$M$6:$M$60,C3705)=0,"⚠ หมวดไม่ตรงประเภท","✓"))))</f>
        <v/>
      </c>
    </row>
    <row r="3706">
      <c r="B3706" s="113" t="n"/>
      <c r="C3706" s="114" t="n"/>
      <c r="D3706" s="115" t="n"/>
      <c r="E3706" s="116" t="n"/>
      <c r="F3706" s="115" t="n"/>
      <c r="G3706" s="117">
        <f>IF(COUNTA(B3706:E3706)=0,"",IF(COUNTA(B3706:E3706)&lt;4,"⚠ กรอกไม่ครบ",IF(NOT(ISNUMBER(B3706)),"⚠ วันที่ไม่ถูกต้อง",IF(COUNTIFS(Setup!$L$6:$L$60,D3706,Setup!$M$6:$M$60,C3706)=0,"⚠ หมวดไม่ตรงประเภท","✓"))))</f>
        <v/>
      </c>
    </row>
    <row r="3707">
      <c r="B3707" s="113" t="n"/>
      <c r="C3707" s="114" t="n"/>
      <c r="D3707" s="115" t="n"/>
      <c r="E3707" s="116" t="n"/>
      <c r="F3707" s="115" t="n"/>
      <c r="G3707" s="117">
        <f>IF(COUNTA(B3707:E3707)=0,"",IF(COUNTA(B3707:E3707)&lt;4,"⚠ กรอกไม่ครบ",IF(NOT(ISNUMBER(B3707)),"⚠ วันที่ไม่ถูกต้อง",IF(COUNTIFS(Setup!$L$6:$L$60,D3707,Setup!$M$6:$M$60,C3707)=0,"⚠ หมวดไม่ตรงประเภท","✓"))))</f>
        <v/>
      </c>
    </row>
    <row r="3708">
      <c r="B3708" s="113" t="n"/>
      <c r="C3708" s="114" t="n"/>
      <c r="D3708" s="115" t="n"/>
      <c r="E3708" s="116" t="n"/>
      <c r="F3708" s="115" t="n"/>
      <c r="G3708" s="117">
        <f>IF(COUNTA(B3708:E3708)=0,"",IF(COUNTA(B3708:E3708)&lt;4,"⚠ กรอกไม่ครบ",IF(NOT(ISNUMBER(B3708)),"⚠ วันที่ไม่ถูกต้อง",IF(COUNTIFS(Setup!$L$6:$L$60,D3708,Setup!$M$6:$M$60,C3708)=0,"⚠ หมวดไม่ตรงประเภท","✓"))))</f>
        <v/>
      </c>
    </row>
    <row r="3709">
      <c r="B3709" s="113" t="n"/>
      <c r="C3709" s="114" t="n"/>
      <c r="D3709" s="115" t="n"/>
      <c r="E3709" s="116" t="n"/>
      <c r="F3709" s="115" t="n"/>
      <c r="G3709" s="117">
        <f>IF(COUNTA(B3709:E3709)=0,"",IF(COUNTA(B3709:E3709)&lt;4,"⚠ กรอกไม่ครบ",IF(NOT(ISNUMBER(B3709)),"⚠ วันที่ไม่ถูกต้อง",IF(COUNTIFS(Setup!$L$6:$L$60,D3709,Setup!$M$6:$M$60,C3709)=0,"⚠ หมวดไม่ตรงประเภท","✓"))))</f>
        <v/>
      </c>
    </row>
    <row r="3710">
      <c r="B3710" s="113" t="n"/>
      <c r="C3710" s="114" t="n"/>
      <c r="D3710" s="115" t="n"/>
      <c r="E3710" s="116" t="n"/>
      <c r="F3710" s="115" t="n"/>
      <c r="G3710" s="117">
        <f>IF(COUNTA(B3710:E3710)=0,"",IF(COUNTA(B3710:E3710)&lt;4,"⚠ กรอกไม่ครบ",IF(NOT(ISNUMBER(B3710)),"⚠ วันที่ไม่ถูกต้อง",IF(COUNTIFS(Setup!$L$6:$L$60,D3710,Setup!$M$6:$M$60,C3710)=0,"⚠ หมวดไม่ตรงประเภท","✓"))))</f>
        <v/>
      </c>
    </row>
    <row r="3711">
      <c r="B3711" s="113" t="n"/>
      <c r="C3711" s="114" t="n"/>
      <c r="D3711" s="115" t="n"/>
      <c r="E3711" s="116" t="n"/>
      <c r="F3711" s="115" t="n"/>
      <c r="G3711" s="117">
        <f>IF(COUNTA(B3711:E3711)=0,"",IF(COUNTA(B3711:E3711)&lt;4,"⚠ กรอกไม่ครบ",IF(NOT(ISNUMBER(B3711)),"⚠ วันที่ไม่ถูกต้อง",IF(COUNTIFS(Setup!$L$6:$L$60,D3711,Setup!$M$6:$M$60,C3711)=0,"⚠ หมวดไม่ตรงประเภท","✓"))))</f>
        <v/>
      </c>
    </row>
    <row r="3712">
      <c r="B3712" s="113" t="n"/>
      <c r="C3712" s="114" t="n"/>
      <c r="D3712" s="115" t="n"/>
      <c r="E3712" s="116" t="n"/>
      <c r="F3712" s="115" t="n"/>
      <c r="G3712" s="117">
        <f>IF(COUNTA(B3712:E3712)=0,"",IF(COUNTA(B3712:E3712)&lt;4,"⚠ กรอกไม่ครบ",IF(NOT(ISNUMBER(B3712)),"⚠ วันที่ไม่ถูกต้อง",IF(COUNTIFS(Setup!$L$6:$L$60,D3712,Setup!$M$6:$M$60,C3712)=0,"⚠ หมวดไม่ตรงประเภท","✓"))))</f>
        <v/>
      </c>
    </row>
    <row r="3713">
      <c r="B3713" s="113" t="n"/>
      <c r="C3713" s="114" t="n"/>
      <c r="D3713" s="115" t="n"/>
      <c r="E3713" s="116" t="n"/>
      <c r="F3713" s="115" t="n"/>
      <c r="G3713" s="117">
        <f>IF(COUNTA(B3713:E3713)=0,"",IF(COUNTA(B3713:E3713)&lt;4,"⚠ กรอกไม่ครบ",IF(NOT(ISNUMBER(B3713)),"⚠ วันที่ไม่ถูกต้อง",IF(COUNTIFS(Setup!$L$6:$L$60,D3713,Setup!$M$6:$M$60,C3713)=0,"⚠ หมวดไม่ตรงประเภท","✓"))))</f>
        <v/>
      </c>
    </row>
    <row r="3714">
      <c r="B3714" s="113" t="n"/>
      <c r="C3714" s="114" t="n"/>
      <c r="D3714" s="115" t="n"/>
      <c r="E3714" s="116" t="n"/>
      <c r="F3714" s="115" t="n"/>
      <c r="G3714" s="117">
        <f>IF(COUNTA(B3714:E3714)=0,"",IF(COUNTA(B3714:E3714)&lt;4,"⚠ กรอกไม่ครบ",IF(NOT(ISNUMBER(B3714)),"⚠ วันที่ไม่ถูกต้อง",IF(COUNTIFS(Setup!$L$6:$L$60,D3714,Setup!$M$6:$M$60,C3714)=0,"⚠ หมวดไม่ตรงประเภท","✓"))))</f>
        <v/>
      </c>
    </row>
    <row r="3715">
      <c r="B3715" s="113" t="n"/>
      <c r="C3715" s="114" t="n"/>
      <c r="D3715" s="115" t="n"/>
      <c r="E3715" s="116" t="n"/>
      <c r="F3715" s="115" t="n"/>
      <c r="G3715" s="117">
        <f>IF(COUNTA(B3715:E3715)=0,"",IF(COUNTA(B3715:E3715)&lt;4,"⚠ กรอกไม่ครบ",IF(NOT(ISNUMBER(B3715)),"⚠ วันที่ไม่ถูกต้อง",IF(COUNTIFS(Setup!$L$6:$L$60,D3715,Setup!$M$6:$M$60,C3715)=0,"⚠ หมวดไม่ตรงประเภท","✓"))))</f>
        <v/>
      </c>
    </row>
    <row r="3716">
      <c r="B3716" s="113" t="n"/>
      <c r="C3716" s="114" t="n"/>
      <c r="D3716" s="115" t="n"/>
      <c r="E3716" s="116" t="n"/>
      <c r="F3716" s="115" t="n"/>
      <c r="G3716" s="117">
        <f>IF(COUNTA(B3716:E3716)=0,"",IF(COUNTA(B3716:E3716)&lt;4,"⚠ กรอกไม่ครบ",IF(NOT(ISNUMBER(B3716)),"⚠ วันที่ไม่ถูกต้อง",IF(COUNTIFS(Setup!$L$6:$L$60,D3716,Setup!$M$6:$M$60,C3716)=0,"⚠ หมวดไม่ตรงประเภท","✓"))))</f>
        <v/>
      </c>
    </row>
    <row r="3717">
      <c r="B3717" s="113" t="n"/>
      <c r="C3717" s="114" t="n"/>
      <c r="D3717" s="115" t="n"/>
      <c r="E3717" s="116" t="n"/>
      <c r="F3717" s="115" t="n"/>
      <c r="G3717" s="117">
        <f>IF(COUNTA(B3717:E3717)=0,"",IF(COUNTA(B3717:E3717)&lt;4,"⚠ กรอกไม่ครบ",IF(NOT(ISNUMBER(B3717)),"⚠ วันที่ไม่ถูกต้อง",IF(COUNTIFS(Setup!$L$6:$L$60,D3717,Setup!$M$6:$M$60,C3717)=0,"⚠ หมวดไม่ตรงประเภท","✓"))))</f>
        <v/>
      </c>
    </row>
    <row r="3718">
      <c r="B3718" s="113" t="n"/>
      <c r="C3718" s="114" t="n"/>
      <c r="D3718" s="115" t="n"/>
      <c r="E3718" s="116" t="n"/>
      <c r="F3718" s="115" t="n"/>
      <c r="G3718" s="117">
        <f>IF(COUNTA(B3718:E3718)=0,"",IF(COUNTA(B3718:E3718)&lt;4,"⚠ กรอกไม่ครบ",IF(NOT(ISNUMBER(B3718)),"⚠ วันที่ไม่ถูกต้อง",IF(COUNTIFS(Setup!$L$6:$L$60,D3718,Setup!$M$6:$M$60,C3718)=0,"⚠ หมวดไม่ตรงประเภท","✓"))))</f>
        <v/>
      </c>
    </row>
    <row r="3719">
      <c r="B3719" s="113" t="n"/>
      <c r="C3719" s="114" t="n"/>
      <c r="D3719" s="115" t="n"/>
      <c r="E3719" s="116" t="n"/>
      <c r="F3719" s="115" t="n"/>
      <c r="G3719" s="117">
        <f>IF(COUNTA(B3719:E3719)=0,"",IF(COUNTA(B3719:E3719)&lt;4,"⚠ กรอกไม่ครบ",IF(NOT(ISNUMBER(B3719)),"⚠ วันที่ไม่ถูกต้อง",IF(COUNTIFS(Setup!$L$6:$L$60,D3719,Setup!$M$6:$M$60,C3719)=0,"⚠ หมวดไม่ตรงประเภท","✓"))))</f>
        <v/>
      </c>
    </row>
    <row r="3720">
      <c r="B3720" s="113" t="n"/>
      <c r="C3720" s="114" t="n"/>
      <c r="D3720" s="115" t="n"/>
      <c r="E3720" s="116" t="n"/>
      <c r="F3720" s="115" t="n"/>
      <c r="G3720" s="117">
        <f>IF(COUNTA(B3720:E3720)=0,"",IF(COUNTA(B3720:E3720)&lt;4,"⚠ กรอกไม่ครบ",IF(NOT(ISNUMBER(B3720)),"⚠ วันที่ไม่ถูกต้อง",IF(COUNTIFS(Setup!$L$6:$L$60,D3720,Setup!$M$6:$M$60,C3720)=0,"⚠ หมวดไม่ตรงประเภท","✓"))))</f>
        <v/>
      </c>
    </row>
    <row r="3721">
      <c r="B3721" s="113" t="n"/>
      <c r="C3721" s="114" t="n"/>
      <c r="D3721" s="115" t="n"/>
      <c r="E3721" s="116" t="n"/>
      <c r="F3721" s="115" t="n"/>
      <c r="G3721" s="117">
        <f>IF(COUNTA(B3721:E3721)=0,"",IF(COUNTA(B3721:E3721)&lt;4,"⚠ กรอกไม่ครบ",IF(NOT(ISNUMBER(B3721)),"⚠ วันที่ไม่ถูกต้อง",IF(COUNTIFS(Setup!$L$6:$L$60,D3721,Setup!$M$6:$M$60,C3721)=0,"⚠ หมวดไม่ตรงประเภท","✓"))))</f>
        <v/>
      </c>
    </row>
    <row r="3722">
      <c r="B3722" s="113" t="n"/>
      <c r="C3722" s="114" t="n"/>
      <c r="D3722" s="115" t="n"/>
      <c r="E3722" s="116" t="n"/>
      <c r="F3722" s="115" t="n"/>
      <c r="G3722" s="117">
        <f>IF(COUNTA(B3722:E3722)=0,"",IF(COUNTA(B3722:E3722)&lt;4,"⚠ กรอกไม่ครบ",IF(NOT(ISNUMBER(B3722)),"⚠ วันที่ไม่ถูกต้อง",IF(COUNTIFS(Setup!$L$6:$L$60,D3722,Setup!$M$6:$M$60,C3722)=0,"⚠ หมวดไม่ตรงประเภท","✓"))))</f>
        <v/>
      </c>
    </row>
    <row r="3723">
      <c r="B3723" s="113" t="n"/>
      <c r="C3723" s="114" t="n"/>
      <c r="D3723" s="115" t="n"/>
      <c r="E3723" s="116" t="n"/>
      <c r="F3723" s="115" t="n"/>
      <c r="G3723" s="117">
        <f>IF(COUNTA(B3723:E3723)=0,"",IF(COUNTA(B3723:E3723)&lt;4,"⚠ กรอกไม่ครบ",IF(NOT(ISNUMBER(B3723)),"⚠ วันที่ไม่ถูกต้อง",IF(COUNTIFS(Setup!$L$6:$L$60,D3723,Setup!$M$6:$M$60,C3723)=0,"⚠ หมวดไม่ตรงประเภท","✓"))))</f>
        <v/>
      </c>
    </row>
    <row r="3724">
      <c r="B3724" s="113" t="n"/>
      <c r="C3724" s="114" t="n"/>
      <c r="D3724" s="115" t="n"/>
      <c r="E3724" s="116" t="n"/>
      <c r="F3724" s="115" t="n"/>
      <c r="G3724" s="117">
        <f>IF(COUNTA(B3724:E3724)=0,"",IF(COUNTA(B3724:E3724)&lt;4,"⚠ กรอกไม่ครบ",IF(NOT(ISNUMBER(B3724)),"⚠ วันที่ไม่ถูกต้อง",IF(COUNTIFS(Setup!$L$6:$L$60,D3724,Setup!$M$6:$M$60,C3724)=0,"⚠ หมวดไม่ตรงประเภท","✓"))))</f>
        <v/>
      </c>
    </row>
    <row r="3725">
      <c r="B3725" s="113" t="n"/>
      <c r="C3725" s="114" t="n"/>
      <c r="D3725" s="115" t="n"/>
      <c r="E3725" s="116" t="n"/>
      <c r="F3725" s="115" t="n"/>
      <c r="G3725" s="117">
        <f>IF(COUNTA(B3725:E3725)=0,"",IF(COUNTA(B3725:E3725)&lt;4,"⚠ กรอกไม่ครบ",IF(NOT(ISNUMBER(B3725)),"⚠ วันที่ไม่ถูกต้อง",IF(COUNTIFS(Setup!$L$6:$L$60,D3725,Setup!$M$6:$M$60,C3725)=0,"⚠ หมวดไม่ตรงประเภท","✓"))))</f>
        <v/>
      </c>
    </row>
    <row r="3726">
      <c r="B3726" s="113" t="n"/>
      <c r="C3726" s="114" t="n"/>
      <c r="D3726" s="115" t="n"/>
      <c r="E3726" s="116" t="n"/>
      <c r="F3726" s="115" t="n"/>
      <c r="G3726" s="117">
        <f>IF(COUNTA(B3726:E3726)=0,"",IF(COUNTA(B3726:E3726)&lt;4,"⚠ กรอกไม่ครบ",IF(NOT(ISNUMBER(B3726)),"⚠ วันที่ไม่ถูกต้อง",IF(COUNTIFS(Setup!$L$6:$L$60,D3726,Setup!$M$6:$M$60,C3726)=0,"⚠ หมวดไม่ตรงประเภท","✓"))))</f>
        <v/>
      </c>
    </row>
    <row r="3727">
      <c r="B3727" s="113" t="n"/>
      <c r="C3727" s="114" t="n"/>
      <c r="D3727" s="115" t="n"/>
      <c r="E3727" s="116" t="n"/>
      <c r="F3727" s="115" t="n"/>
      <c r="G3727" s="117">
        <f>IF(COUNTA(B3727:E3727)=0,"",IF(COUNTA(B3727:E3727)&lt;4,"⚠ กรอกไม่ครบ",IF(NOT(ISNUMBER(B3727)),"⚠ วันที่ไม่ถูกต้อง",IF(COUNTIFS(Setup!$L$6:$L$60,D3727,Setup!$M$6:$M$60,C3727)=0,"⚠ หมวดไม่ตรงประเภท","✓"))))</f>
        <v/>
      </c>
    </row>
    <row r="3728">
      <c r="B3728" s="113" t="n"/>
      <c r="C3728" s="114" t="n"/>
      <c r="D3728" s="115" t="n"/>
      <c r="E3728" s="116" t="n"/>
      <c r="F3728" s="115" t="n"/>
      <c r="G3728" s="117">
        <f>IF(COUNTA(B3728:E3728)=0,"",IF(COUNTA(B3728:E3728)&lt;4,"⚠ กรอกไม่ครบ",IF(NOT(ISNUMBER(B3728)),"⚠ วันที่ไม่ถูกต้อง",IF(COUNTIFS(Setup!$L$6:$L$60,D3728,Setup!$M$6:$M$60,C3728)=0,"⚠ หมวดไม่ตรงประเภท","✓"))))</f>
        <v/>
      </c>
    </row>
    <row r="3729">
      <c r="B3729" s="113" t="n"/>
      <c r="C3729" s="114" t="n"/>
      <c r="D3729" s="115" t="n"/>
      <c r="E3729" s="116" t="n"/>
      <c r="F3729" s="115" t="n"/>
      <c r="G3729" s="117">
        <f>IF(COUNTA(B3729:E3729)=0,"",IF(COUNTA(B3729:E3729)&lt;4,"⚠ กรอกไม่ครบ",IF(NOT(ISNUMBER(B3729)),"⚠ วันที่ไม่ถูกต้อง",IF(COUNTIFS(Setup!$L$6:$L$60,D3729,Setup!$M$6:$M$60,C3729)=0,"⚠ หมวดไม่ตรงประเภท","✓"))))</f>
        <v/>
      </c>
    </row>
    <row r="3730">
      <c r="B3730" s="113" t="n"/>
      <c r="C3730" s="114" t="n"/>
      <c r="D3730" s="115" t="n"/>
      <c r="E3730" s="116" t="n"/>
      <c r="F3730" s="115" t="n"/>
      <c r="G3730" s="117">
        <f>IF(COUNTA(B3730:E3730)=0,"",IF(COUNTA(B3730:E3730)&lt;4,"⚠ กรอกไม่ครบ",IF(NOT(ISNUMBER(B3730)),"⚠ วันที่ไม่ถูกต้อง",IF(COUNTIFS(Setup!$L$6:$L$60,D3730,Setup!$M$6:$M$60,C3730)=0,"⚠ หมวดไม่ตรงประเภท","✓"))))</f>
        <v/>
      </c>
    </row>
    <row r="3731">
      <c r="B3731" s="113" t="n"/>
      <c r="C3731" s="114" t="n"/>
      <c r="D3731" s="115" t="n"/>
      <c r="E3731" s="116" t="n"/>
      <c r="F3731" s="115" t="n"/>
      <c r="G3731" s="117">
        <f>IF(COUNTA(B3731:E3731)=0,"",IF(COUNTA(B3731:E3731)&lt;4,"⚠ กรอกไม่ครบ",IF(NOT(ISNUMBER(B3731)),"⚠ วันที่ไม่ถูกต้อง",IF(COUNTIFS(Setup!$L$6:$L$60,D3731,Setup!$M$6:$M$60,C3731)=0,"⚠ หมวดไม่ตรงประเภท","✓"))))</f>
        <v/>
      </c>
    </row>
    <row r="3732">
      <c r="B3732" s="113" t="n"/>
      <c r="C3732" s="114" t="n"/>
      <c r="D3732" s="115" t="n"/>
      <c r="E3732" s="116" t="n"/>
      <c r="F3732" s="115" t="n"/>
      <c r="G3732" s="117">
        <f>IF(COUNTA(B3732:E3732)=0,"",IF(COUNTA(B3732:E3732)&lt;4,"⚠ กรอกไม่ครบ",IF(NOT(ISNUMBER(B3732)),"⚠ วันที่ไม่ถูกต้อง",IF(COUNTIFS(Setup!$L$6:$L$60,D3732,Setup!$M$6:$M$60,C3732)=0,"⚠ หมวดไม่ตรงประเภท","✓"))))</f>
        <v/>
      </c>
    </row>
    <row r="3733">
      <c r="B3733" s="113" t="n"/>
      <c r="C3733" s="114" t="n"/>
      <c r="D3733" s="115" t="n"/>
      <c r="E3733" s="116" t="n"/>
      <c r="F3733" s="115" t="n"/>
      <c r="G3733" s="117">
        <f>IF(COUNTA(B3733:E3733)=0,"",IF(COUNTA(B3733:E3733)&lt;4,"⚠ กรอกไม่ครบ",IF(NOT(ISNUMBER(B3733)),"⚠ วันที่ไม่ถูกต้อง",IF(COUNTIFS(Setup!$L$6:$L$60,D3733,Setup!$M$6:$M$60,C3733)=0,"⚠ หมวดไม่ตรงประเภท","✓"))))</f>
        <v/>
      </c>
    </row>
    <row r="3734">
      <c r="B3734" s="113" t="n"/>
      <c r="C3734" s="114" t="n"/>
      <c r="D3734" s="115" t="n"/>
      <c r="E3734" s="116" t="n"/>
      <c r="F3734" s="115" t="n"/>
      <c r="G3734" s="117">
        <f>IF(COUNTA(B3734:E3734)=0,"",IF(COUNTA(B3734:E3734)&lt;4,"⚠ กรอกไม่ครบ",IF(NOT(ISNUMBER(B3734)),"⚠ วันที่ไม่ถูกต้อง",IF(COUNTIFS(Setup!$L$6:$L$60,D3734,Setup!$M$6:$M$60,C3734)=0,"⚠ หมวดไม่ตรงประเภท","✓"))))</f>
        <v/>
      </c>
    </row>
    <row r="3735">
      <c r="B3735" s="113" t="n"/>
      <c r="C3735" s="114" t="n"/>
      <c r="D3735" s="115" t="n"/>
      <c r="E3735" s="116" t="n"/>
      <c r="F3735" s="115" t="n"/>
      <c r="G3735" s="117">
        <f>IF(COUNTA(B3735:E3735)=0,"",IF(COUNTA(B3735:E3735)&lt;4,"⚠ กรอกไม่ครบ",IF(NOT(ISNUMBER(B3735)),"⚠ วันที่ไม่ถูกต้อง",IF(COUNTIFS(Setup!$L$6:$L$60,D3735,Setup!$M$6:$M$60,C3735)=0,"⚠ หมวดไม่ตรงประเภท","✓"))))</f>
        <v/>
      </c>
    </row>
    <row r="3736">
      <c r="B3736" s="113" t="n"/>
      <c r="C3736" s="114" t="n"/>
      <c r="D3736" s="115" t="n"/>
      <c r="E3736" s="116" t="n"/>
      <c r="F3736" s="115" t="n"/>
      <c r="G3736" s="117">
        <f>IF(COUNTA(B3736:E3736)=0,"",IF(COUNTA(B3736:E3736)&lt;4,"⚠ กรอกไม่ครบ",IF(NOT(ISNUMBER(B3736)),"⚠ วันที่ไม่ถูกต้อง",IF(COUNTIFS(Setup!$L$6:$L$60,D3736,Setup!$M$6:$M$60,C3736)=0,"⚠ หมวดไม่ตรงประเภท","✓"))))</f>
        <v/>
      </c>
    </row>
    <row r="3737">
      <c r="B3737" s="113" t="n"/>
      <c r="C3737" s="114" t="n"/>
      <c r="D3737" s="115" t="n"/>
      <c r="E3737" s="116" t="n"/>
      <c r="F3737" s="115" t="n"/>
      <c r="G3737" s="117">
        <f>IF(COUNTA(B3737:E3737)=0,"",IF(COUNTA(B3737:E3737)&lt;4,"⚠ กรอกไม่ครบ",IF(NOT(ISNUMBER(B3737)),"⚠ วันที่ไม่ถูกต้อง",IF(COUNTIFS(Setup!$L$6:$L$60,D3737,Setup!$M$6:$M$60,C3737)=0,"⚠ หมวดไม่ตรงประเภท","✓"))))</f>
        <v/>
      </c>
    </row>
    <row r="3738">
      <c r="B3738" s="113" t="n"/>
      <c r="C3738" s="114" t="n"/>
      <c r="D3738" s="115" t="n"/>
      <c r="E3738" s="116" t="n"/>
      <c r="F3738" s="115" t="n"/>
      <c r="G3738" s="117">
        <f>IF(COUNTA(B3738:E3738)=0,"",IF(COUNTA(B3738:E3738)&lt;4,"⚠ กรอกไม่ครบ",IF(NOT(ISNUMBER(B3738)),"⚠ วันที่ไม่ถูกต้อง",IF(COUNTIFS(Setup!$L$6:$L$60,D3738,Setup!$M$6:$M$60,C3738)=0,"⚠ หมวดไม่ตรงประเภท","✓"))))</f>
        <v/>
      </c>
    </row>
    <row r="3739">
      <c r="B3739" s="113" t="n"/>
      <c r="C3739" s="114" t="n"/>
      <c r="D3739" s="115" t="n"/>
      <c r="E3739" s="116" t="n"/>
      <c r="F3739" s="115" t="n"/>
      <c r="G3739" s="117">
        <f>IF(COUNTA(B3739:E3739)=0,"",IF(COUNTA(B3739:E3739)&lt;4,"⚠ กรอกไม่ครบ",IF(NOT(ISNUMBER(B3739)),"⚠ วันที่ไม่ถูกต้อง",IF(COUNTIFS(Setup!$L$6:$L$60,D3739,Setup!$M$6:$M$60,C3739)=0,"⚠ หมวดไม่ตรงประเภท","✓"))))</f>
        <v/>
      </c>
    </row>
    <row r="3740">
      <c r="B3740" s="113" t="n"/>
      <c r="C3740" s="114" t="n"/>
      <c r="D3740" s="115" t="n"/>
      <c r="E3740" s="116" t="n"/>
      <c r="F3740" s="115" t="n"/>
      <c r="G3740" s="117">
        <f>IF(COUNTA(B3740:E3740)=0,"",IF(COUNTA(B3740:E3740)&lt;4,"⚠ กรอกไม่ครบ",IF(NOT(ISNUMBER(B3740)),"⚠ วันที่ไม่ถูกต้อง",IF(COUNTIFS(Setup!$L$6:$L$60,D3740,Setup!$M$6:$M$60,C3740)=0,"⚠ หมวดไม่ตรงประเภท","✓"))))</f>
        <v/>
      </c>
    </row>
    <row r="3741">
      <c r="B3741" s="113" t="n"/>
      <c r="C3741" s="114" t="n"/>
      <c r="D3741" s="115" t="n"/>
      <c r="E3741" s="116" t="n"/>
      <c r="F3741" s="115" t="n"/>
      <c r="G3741" s="117">
        <f>IF(COUNTA(B3741:E3741)=0,"",IF(COUNTA(B3741:E3741)&lt;4,"⚠ กรอกไม่ครบ",IF(NOT(ISNUMBER(B3741)),"⚠ วันที่ไม่ถูกต้อง",IF(COUNTIFS(Setup!$L$6:$L$60,D3741,Setup!$M$6:$M$60,C3741)=0,"⚠ หมวดไม่ตรงประเภท","✓"))))</f>
        <v/>
      </c>
    </row>
    <row r="3742">
      <c r="B3742" s="113" t="n"/>
      <c r="C3742" s="114" t="n"/>
      <c r="D3742" s="115" t="n"/>
      <c r="E3742" s="116" t="n"/>
      <c r="F3742" s="115" t="n"/>
      <c r="G3742" s="117">
        <f>IF(COUNTA(B3742:E3742)=0,"",IF(COUNTA(B3742:E3742)&lt;4,"⚠ กรอกไม่ครบ",IF(NOT(ISNUMBER(B3742)),"⚠ วันที่ไม่ถูกต้อง",IF(COUNTIFS(Setup!$L$6:$L$60,D3742,Setup!$M$6:$M$60,C3742)=0,"⚠ หมวดไม่ตรงประเภท","✓"))))</f>
        <v/>
      </c>
    </row>
    <row r="3743">
      <c r="B3743" s="113" t="n"/>
      <c r="C3743" s="114" t="n"/>
      <c r="D3743" s="115" t="n"/>
      <c r="E3743" s="116" t="n"/>
      <c r="F3743" s="115" t="n"/>
      <c r="G3743" s="117">
        <f>IF(COUNTA(B3743:E3743)=0,"",IF(COUNTA(B3743:E3743)&lt;4,"⚠ กรอกไม่ครบ",IF(NOT(ISNUMBER(B3743)),"⚠ วันที่ไม่ถูกต้อง",IF(COUNTIFS(Setup!$L$6:$L$60,D3743,Setup!$M$6:$M$60,C3743)=0,"⚠ หมวดไม่ตรงประเภท","✓"))))</f>
        <v/>
      </c>
    </row>
    <row r="3744">
      <c r="B3744" s="113" t="n"/>
      <c r="C3744" s="114" t="n"/>
      <c r="D3744" s="115" t="n"/>
      <c r="E3744" s="116" t="n"/>
      <c r="F3744" s="115" t="n"/>
      <c r="G3744" s="117">
        <f>IF(COUNTA(B3744:E3744)=0,"",IF(COUNTA(B3744:E3744)&lt;4,"⚠ กรอกไม่ครบ",IF(NOT(ISNUMBER(B3744)),"⚠ วันที่ไม่ถูกต้อง",IF(COUNTIFS(Setup!$L$6:$L$60,D3744,Setup!$M$6:$M$60,C3744)=0,"⚠ หมวดไม่ตรงประเภท","✓"))))</f>
        <v/>
      </c>
    </row>
    <row r="3745">
      <c r="B3745" s="113" t="n"/>
      <c r="C3745" s="114" t="n"/>
      <c r="D3745" s="115" t="n"/>
      <c r="E3745" s="116" t="n"/>
      <c r="F3745" s="115" t="n"/>
      <c r="G3745" s="117">
        <f>IF(COUNTA(B3745:E3745)=0,"",IF(COUNTA(B3745:E3745)&lt;4,"⚠ กรอกไม่ครบ",IF(NOT(ISNUMBER(B3745)),"⚠ วันที่ไม่ถูกต้อง",IF(COUNTIFS(Setup!$L$6:$L$60,D3745,Setup!$M$6:$M$60,C3745)=0,"⚠ หมวดไม่ตรงประเภท","✓"))))</f>
        <v/>
      </c>
    </row>
    <row r="3746">
      <c r="B3746" s="113" t="n"/>
      <c r="C3746" s="114" t="n"/>
      <c r="D3746" s="115" t="n"/>
      <c r="E3746" s="116" t="n"/>
      <c r="F3746" s="115" t="n"/>
      <c r="G3746" s="117">
        <f>IF(COUNTA(B3746:E3746)=0,"",IF(COUNTA(B3746:E3746)&lt;4,"⚠ กรอกไม่ครบ",IF(NOT(ISNUMBER(B3746)),"⚠ วันที่ไม่ถูกต้อง",IF(COUNTIFS(Setup!$L$6:$L$60,D3746,Setup!$M$6:$M$60,C3746)=0,"⚠ หมวดไม่ตรงประเภท","✓"))))</f>
        <v/>
      </c>
    </row>
    <row r="3747">
      <c r="B3747" s="113" t="n"/>
      <c r="C3747" s="114" t="n"/>
      <c r="D3747" s="115" t="n"/>
      <c r="E3747" s="116" t="n"/>
      <c r="F3747" s="115" t="n"/>
      <c r="G3747" s="117">
        <f>IF(COUNTA(B3747:E3747)=0,"",IF(COUNTA(B3747:E3747)&lt;4,"⚠ กรอกไม่ครบ",IF(NOT(ISNUMBER(B3747)),"⚠ วันที่ไม่ถูกต้อง",IF(COUNTIFS(Setup!$L$6:$L$60,D3747,Setup!$M$6:$M$60,C3747)=0,"⚠ หมวดไม่ตรงประเภท","✓"))))</f>
        <v/>
      </c>
    </row>
    <row r="3748">
      <c r="B3748" s="113" t="n"/>
      <c r="C3748" s="114" t="n"/>
      <c r="D3748" s="115" t="n"/>
      <c r="E3748" s="116" t="n"/>
      <c r="F3748" s="115" t="n"/>
      <c r="G3748" s="117">
        <f>IF(COUNTA(B3748:E3748)=0,"",IF(COUNTA(B3748:E3748)&lt;4,"⚠ กรอกไม่ครบ",IF(NOT(ISNUMBER(B3748)),"⚠ วันที่ไม่ถูกต้อง",IF(COUNTIFS(Setup!$L$6:$L$60,D3748,Setup!$M$6:$M$60,C3748)=0,"⚠ หมวดไม่ตรงประเภท","✓"))))</f>
        <v/>
      </c>
    </row>
    <row r="3749">
      <c r="B3749" s="113" t="n"/>
      <c r="C3749" s="114" t="n"/>
      <c r="D3749" s="115" t="n"/>
      <c r="E3749" s="116" t="n"/>
      <c r="F3749" s="115" t="n"/>
      <c r="G3749" s="117">
        <f>IF(COUNTA(B3749:E3749)=0,"",IF(COUNTA(B3749:E3749)&lt;4,"⚠ กรอกไม่ครบ",IF(NOT(ISNUMBER(B3749)),"⚠ วันที่ไม่ถูกต้อง",IF(COUNTIFS(Setup!$L$6:$L$60,D3749,Setup!$M$6:$M$60,C3749)=0,"⚠ หมวดไม่ตรงประเภท","✓"))))</f>
        <v/>
      </c>
    </row>
    <row r="3750">
      <c r="B3750" s="113" t="n"/>
      <c r="C3750" s="114" t="n"/>
      <c r="D3750" s="115" t="n"/>
      <c r="E3750" s="116" t="n"/>
      <c r="F3750" s="115" t="n"/>
      <c r="G3750" s="117">
        <f>IF(COUNTA(B3750:E3750)=0,"",IF(COUNTA(B3750:E3750)&lt;4,"⚠ กรอกไม่ครบ",IF(NOT(ISNUMBER(B3750)),"⚠ วันที่ไม่ถูกต้อง",IF(COUNTIFS(Setup!$L$6:$L$60,D3750,Setup!$M$6:$M$60,C3750)=0,"⚠ หมวดไม่ตรงประเภท","✓"))))</f>
        <v/>
      </c>
    </row>
    <row r="3751">
      <c r="B3751" s="113" t="n"/>
      <c r="C3751" s="114" t="n"/>
      <c r="D3751" s="115" t="n"/>
      <c r="E3751" s="116" t="n"/>
      <c r="F3751" s="115" t="n"/>
      <c r="G3751" s="117">
        <f>IF(COUNTA(B3751:E3751)=0,"",IF(COUNTA(B3751:E3751)&lt;4,"⚠ กรอกไม่ครบ",IF(NOT(ISNUMBER(B3751)),"⚠ วันที่ไม่ถูกต้อง",IF(COUNTIFS(Setup!$L$6:$L$60,D3751,Setup!$M$6:$M$60,C3751)=0,"⚠ หมวดไม่ตรงประเภท","✓"))))</f>
        <v/>
      </c>
    </row>
    <row r="3752">
      <c r="B3752" s="113" t="n"/>
      <c r="C3752" s="114" t="n"/>
      <c r="D3752" s="115" t="n"/>
      <c r="E3752" s="116" t="n"/>
      <c r="F3752" s="115" t="n"/>
      <c r="G3752" s="117">
        <f>IF(COUNTA(B3752:E3752)=0,"",IF(COUNTA(B3752:E3752)&lt;4,"⚠ กรอกไม่ครบ",IF(NOT(ISNUMBER(B3752)),"⚠ วันที่ไม่ถูกต้อง",IF(COUNTIFS(Setup!$L$6:$L$60,D3752,Setup!$M$6:$M$60,C3752)=0,"⚠ หมวดไม่ตรงประเภท","✓"))))</f>
        <v/>
      </c>
    </row>
    <row r="3753">
      <c r="B3753" s="113" t="n"/>
      <c r="C3753" s="114" t="n"/>
      <c r="D3753" s="115" t="n"/>
      <c r="E3753" s="116" t="n"/>
      <c r="F3753" s="115" t="n"/>
      <c r="G3753" s="117">
        <f>IF(COUNTA(B3753:E3753)=0,"",IF(COUNTA(B3753:E3753)&lt;4,"⚠ กรอกไม่ครบ",IF(NOT(ISNUMBER(B3753)),"⚠ วันที่ไม่ถูกต้อง",IF(COUNTIFS(Setup!$L$6:$L$60,D3753,Setup!$M$6:$M$60,C3753)=0,"⚠ หมวดไม่ตรงประเภท","✓"))))</f>
        <v/>
      </c>
    </row>
    <row r="3754">
      <c r="B3754" s="113" t="n"/>
      <c r="C3754" s="114" t="n"/>
      <c r="D3754" s="115" t="n"/>
      <c r="E3754" s="116" t="n"/>
      <c r="F3754" s="115" t="n"/>
      <c r="G3754" s="117">
        <f>IF(COUNTA(B3754:E3754)=0,"",IF(COUNTA(B3754:E3754)&lt;4,"⚠ กรอกไม่ครบ",IF(NOT(ISNUMBER(B3754)),"⚠ วันที่ไม่ถูกต้อง",IF(COUNTIFS(Setup!$L$6:$L$60,D3754,Setup!$M$6:$M$60,C3754)=0,"⚠ หมวดไม่ตรงประเภท","✓"))))</f>
        <v/>
      </c>
    </row>
    <row r="3755">
      <c r="B3755" s="113" t="n"/>
      <c r="C3755" s="114" t="n"/>
      <c r="D3755" s="115" t="n"/>
      <c r="E3755" s="116" t="n"/>
      <c r="F3755" s="115" t="n"/>
      <c r="G3755" s="117">
        <f>IF(COUNTA(B3755:E3755)=0,"",IF(COUNTA(B3755:E3755)&lt;4,"⚠ กรอกไม่ครบ",IF(NOT(ISNUMBER(B3755)),"⚠ วันที่ไม่ถูกต้อง",IF(COUNTIFS(Setup!$L$6:$L$60,D3755,Setup!$M$6:$M$60,C3755)=0,"⚠ หมวดไม่ตรงประเภท","✓"))))</f>
        <v/>
      </c>
    </row>
    <row r="3756">
      <c r="B3756" s="113" t="n"/>
      <c r="C3756" s="114" t="n"/>
      <c r="D3756" s="115" t="n"/>
      <c r="E3756" s="116" t="n"/>
      <c r="F3756" s="115" t="n"/>
      <c r="G3756" s="117">
        <f>IF(COUNTA(B3756:E3756)=0,"",IF(COUNTA(B3756:E3756)&lt;4,"⚠ กรอกไม่ครบ",IF(NOT(ISNUMBER(B3756)),"⚠ วันที่ไม่ถูกต้อง",IF(COUNTIFS(Setup!$L$6:$L$60,D3756,Setup!$M$6:$M$60,C3756)=0,"⚠ หมวดไม่ตรงประเภท","✓"))))</f>
        <v/>
      </c>
    </row>
    <row r="3757">
      <c r="B3757" s="113" t="n"/>
      <c r="C3757" s="114" t="n"/>
      <c r="D3757" s="115" t="n"/>
      <c r="E3757" s="116" t="n"/>
      <c r="F3757" s="115" t="n"/>
      <c r="G3757" s="117">
        <f>IF(COUNTA(B3757:E3757)=0,"",IF(COUNTA(B3757:E3757)&lt;4,"⚠ กรอกไม่ครบ",IF(NOT(ISNUMBER(B3757)),"⚠ วันที่ไม่ถูกต้อง",IF(COUNTIFS(Setup!$L$6:$L$60,D3757,Setup!$M$6:$M$60,C3757)=0,"⚠ หมวดไม่ตรงประเภท","✓"))))</f>
        <v/>
      </c>
    </row>
    <row r="3758">
      <c r="B3758" s="113" t="n"/>
      <c r="C3758" s="114" t="n"/>
      <c r="D3758" s="115" t="n"/>
      <c r="E3758" s="116" t="n"/>
      <c r="F3758" s="115" t="n"/>
      <c r="G3758" s="117">
        <f>IF(COUNTA(B3758:E3758)=0,"",IF(COUNTA(B3758:E3758)&lt;4,"⚠ กรอกไม่ครบ",IF(NOT(ISNUMBER(B3758)),"⚠ วันที่ไม่ถูกต้อง",IF(COUNTIFS(Setup!$L$6:$L$60,D3758,Setup!$M$6:$M$60,C3758)=0,"⚠ หมวดไม่ตรงประเภท","✓"))))</f>
        <v/>
      </c>
    </row>
    <row r="3759">
      <c r="B3759" s="113" t="n"/>
      <c r="C3759" s="114" t="n"/>
      <c r="D3759" s="115" t="n"/>
      <c r="E3759" s="116" t="n"/>
      <c r="F3759" s="115" t="n"/>
      <c r="G3759" s="117">
        <f>IF(COUNTA(B3759:E3759)=0,"",IF(COUNTA(B3759:E3759)&lt;4,"⚠ กรอกไม่ครบ",IF(NOT(ISNUMBER(B3759)),"⚠ วันที่ไม่ถูกต้อง",IF(COUNTIFS(Setup!$L$6:$L$60,D3759,Setup!$M$6:$M$60,C3759)=0,"⚠ หมวดไม่ตรงประเภท","✓"))))</f>
        <v/>
      </c>
    </row>
    <row r="3760">
      <c r="B3760" s="113" t="n"/>
      <c r="C3760" s="114" t="n"/>
      <c r="D3760" s="115" t="n"/>
      <c r="E3760" s="116" t="n"/>
      <c r="F3760" s="115" t="n"/>
      <c r="G3760" s="117">
        <f>IF(COUNTA(B3760:E3760)=0,"",IF(COUNTA(B3760:E3760)&lt;4,"⚠ กรอกไม่ครบ",IF(NOT(ISNUMBER(B3760)),"⚠ วันที่ไม่ถูกต้อง",IF(COUNTIFS(Setup!$L$6:$L$60,D3760,Setup!$M$6:$M$60,C3760)=0,"⚠ หมวดไม่ตรงประเภท","✓"))))</f>
        <v/>
      </c>
    </row>
    <row r="3761">
      <c r="B3761" s="113" t="n"/>
      <c r="C3761" s="114" t="n"/>
      <c r="D3761" s="115" t="n"/>
      <c r="E3761" s="116" t="n"/>
      <c r="F3761" s="115" t="n"/>
      <c r="G3761" s="117">
        <f>IF(COUNTA(B3761:E3761)=0,"",IF(COUNTA(B3761:E3761)&lt;4,"⚠ กรอกไม่ครบ",IF(NOT(ISNUMBER(B3761)),"⚠ วันที่ไม่ถูกต้อง",IF(COUNTIFS(Setup!$L$6:$L$60,D3761,Setup!$M$6:$M$60,C3761)=0,"⚠ หมวดไม่ตรงประเภท","✓"))))</f>
        <v/>
      </c>
    </row>
    <row r="3762">
      <c r="B3762" s="113" t="n"/>
      <c r="C3762" s="114" t="n"/>
      <c r="D3762" s="115" t="n"/>
      <c r="E3762" s="116" t="n"/>
      <c r="F3762" s="115" t="n"/>
      <c r="G3762" s="117">
        <f>IF(COUNTA(B3762:E3762)=0,"",IF(COUNTA(B3762:E3762)&lt;4,"⚠ กรอกไม่ครบ",IF(NOT(ISNUMBER(B3762)),"⚠ วันที่ไม่ถูกต้อง",IF(COUNTIFS(Setup!$L$6:$L$60,D3762,Setup!$M$6:$M$60,C3762)=0,"⚠ หมวดไม่ตรงประเภท","✓"))))</f>
        <v/>
      </c>
    </row>
    <row r="3763">
      <c r="B3763" s="113" t="n"/>
      <c r="C3763" s="114" t="n"/>
      <c r="D3763" s="115" t="n"/>
      <c r="E3763" s="116" t="n"/>
      <c r="F3763" s="115" t="n"/>
      <c r="G3763" s="117">
        <f>IF(COUNTA(B3763:E3763)=0,"",IF(COUNTA(B3763:E3763)&lt;4,"⚠ กรอกไม่ครบ",IF(NOT(ISNUMBER(B3763)),"⚠ วันที่ไม่ถูกต้อง",IF(COUNTIFS(Setup!$L$6:$L$60,D3763,Setup!$M$6:$M$60,C3763)=0,"⚠ หมวดไม่ตรงประเภท","✓"))))</f>
        <v/>
      </c>
    </row>
    <row r="3764">
      <c r="B3764" s="113" t="n"/>
      <c r="C3764" s="114" t="n"/>
      <c r="D3764" s="115" t="n"/>
      <c r="E3764" s="116" t="n"/>
      <c r="F3764" s="115" t="n"/>
      <c r="G3764" s="117">
        <f>IF(COUNTA(B3764:E3764)=0,"",IF(COUNTA(B3764:E3764)&lt;4,"⚠ กรอกไม่ครบ",IF(NOT(ISNUMBER(B3764)),"⚠ วันที่ไม่ถูกต้อง",IF(COUNTIFS(Setup!$L$6:$L$60,D3764,Setup!$M$6:$M$60,C3764)=0,"⚠ หมวดไม่ตรงประเภท","✓"))))</f>
        <v/>
      </c>
    </row>
    <row r="3765">
      <c r="B3765" s="113" t="n"/>
      <c r="C3765" s="114" t="n"/>
      <c r="D3765" s="115" t="n"/>
      <c r="E3765" s="116" t="n"/>
      <c r="F3765" s="115" t="n"/>
      <c r="G3765" s="117">
        <f>IF(COUNTA(B3765:E3765)=0,"",IF(COUNTA(B3765:E3765)&lt;4,"⚠ กรอกไม่ครบ",IF(NOT(ISNUMBER(B3765)),"⚠ วันที่ไม่ถูกต้อง",IF(COUNTIFS(Setup!$L$6:$L$60,D3765,Setup!$M$6:$M$60,C3765)=0,"⚠ หมวดไม่ตรงประเภท","✓"))))</f>
        <v/>
      </c>
    </row>
    <row r="3766">
      <c r="B3766" s="113" t="n"/>
      <c r="C3766" s="114" t="n"/>
      <c r="D3766" s="115" t="n"/>
      <c r="E3766" s="116" t="n"/>
      <c r="F3766" s="115" t="n"/>
      <c r="G3766" s="117">
        <f>IF(COUNTA(B3766:E3766)=0,"",IF(COUNTA(B3766:E3766)&lt;4,"⚠ กรอกไม่ครบ",IF(NOT(ISNUMBER(B3766)),"⚠ วันที่ไม่ถูกต้อง",IF(COUNTIFS(Setup!$L$6:$L$60,D3766,Setup!$M$6:$M$60,C3766)=0,"⚠ หมวดไม่ตรงประเภท","✓"))))</f>
        <v/>
      </c>
    </row>
    <row r="3767">
      <c r="B3767" s="113" t="n"/>
      <c r="C3767" s="114" t="n"/>
      <c r="D3767" s="115" t="n"/>
      <c r="E3767" s="116" t="n"/>
      <c r="F3767" s="115" t="n"/>
      <c r="G3767" s="117">
        <f>IF(COUNTA(B3767:E3767)=0,"",IF(COUNTA(B3767:E3767)&lt;4,"⚠ กรอกไม่ครบ",IF(NOT(ISNUMBER(B3767)),"⚠ วันที่ไม่ถูกต้อง",IF(COUNTIFS(Setup!$L$6:$L$60,D3767,Setup!$M$6:$M$60,C3767)=0,"⚠ หมวดไม่ตรงประเภท","✓"))))</f>
        <v/>
      </c>
    </row>
    <row r="3768">
      <c r="B3768" s="113" t="n"/>
      <c r="C3768" s="114" t="n"/>
      <c r="D3768" s="115" t="n"/>
      <c r="E3768" s="116" t="n"/>
      <c r="F3768" s="115" t="n"/>
      <c r="G3768" s="117">
        <f>IF(COUNTA(B3768:E3768)=0,"",IF(COUNTA(B3768:E3768)&lt;4,"⚠ กรอกไม่ครบ",IF(NOT(ISNUMBER(B3768)),"⚠ วันที่ไม่ถูกต้อง",IF(COUNTIFS(Setup!$L$6:$L$60,D3768,Setup!$M$6:$M$60,C3768)=0,"⚠ หมวดไม่ตรงประเภท","✓"))))</f>
        <v/>
      </c>
    </row>
    <row r="3769">
      <c r="B3769" s="113" t="n"/>
      <c r="C3769" s="114" t="n"/>
      <c r="D3769" s="115" t="n"/>
      <c r="E3769" s="116" t="n"/>
      <c r="F3769" s="115" t="n"/>
      <c r="G3769" s="117">
        <f>IF(COUNTA(B3769:E3769)=0,"",IF(COUNTA(B3769:E3769)&lt;4,"⚠ กรอกไม่ครบ",IF(NOT(ISNUMBER(B3769)),"⚠ วันที่ไม่ถูกต้อง",IF(COUNTIFS(Setup!$L$6:$L$60,D3769,Setup!$M$6:$M$60,C3769)=0,"⚠ หมวดไม่ตรงประเภท","✓"))))</f>
        <v/>
      </c>
    </row>
    <row r="3770">
      <c r="B3770" s="113" t="n"/>
      <c r="C3770" s="114" t="n"/>
      <c r="D3770" s="115" t="n"/>
      <c r="E3770" s="116" t="n"/>
      <c r="F3770" s="115" t="n"/>
      <c r="G3770" s="117">
        <f>IF(COUNTA(B3770:E3770)=0,"",IF(COUNTA(B3770:E3770)&lt;4,"⚠ กรอกไม่ครบ",IF(NOT(ISNUMBER(B3770)),"⚠ วันที่ไม่ถูกต้อง",IF(COUNTIFS(Setup!$L$6:$L$60,D3770,Setup!$M$6:$M$60,C3770)=0,"⚠ หมวดไม่ตรงประเภท","✓"))))</f>
        <v/>
      </c>
    </row>
    <row r="3771">
      <c r="B3771" s="113" t="n"/>
      <c r="C3771" s="114" t="n"/>
      <c r="D3771" s="115" t="n"/>
      <c r="E3771" s="116" t="n"/>
      <c r="F3771" s="115" t="n"/>
      <c r="G3771" s="117">
        <f>IF(COUNTA(B3771:E3771)=0,"",IF(COUNTA(B3771:E3771)&lt;4,"⚠ กรอกไม่ครบ",IF(NOT(ISNUMBER(B3771)),"⚠ วันที่ไม่ถูกต้อง",IF(COUNTIFS(Setup!$L$6:$L$60,D3771,Setup!$M$6:$M$60,C3771)=0,"⚠ หมวดไม่ตรงประเภท","✓"))))</f>
        <v/>
      </c>
    </row>
    <row r="3772">
      <c r="B3772" s="113" t="n"/>
      <c r="C3772" s="114" t="n"/>
      <c r="D3772" s="115" t="n"/>
      <c r="E3772" s="116" t="n"/>
      <c r="F3772" s="115" t="n"/>
      <c r="G3772" s="117">
        <f>IF(COUNTA(B3772:E3772)=0,"",IF(COUNTA(B3772:E3772)&lt;4,"⚠ กรอกไม่ครบ",IF(NOT(ISNUMBER(B3772)),"⚠ วันที่ไม่ถูกต้อง",IF(COUNTIFS(Setup!$L$6:$L$60,D3772,Setup!$M$6:$M$60,C3772)=0,"⚠ หมวดไม่ตรงประเภท","✓"))))</f>
        <v/>
      </c>
    </row>
    <row r="3773">
      <c r="B3773" s="113" t="n"/>
      <c r="C3773" s="114" t="n"/>
      <c r="D3773" s="115" t="n"/>
      <c r="E3773" s="116" t="n"/>
      <c r="F3773" s="115" t="n"/>
      <c r="G3773" s="117">
        <f>IF(COUNTA(B3773:E3773)=0,"",IF(COUNTA(B3773:E3773)&lt;4,"⚠ กรอกไม่ครบ",IF(NOT(ISNUMBER(B3773)),"⚠ วันที่ไม่ถูกต้อง",IF(COUNTIFS(Setup!$L$6:$L$60,D3773,Setup!$M$6:$M$60,C3773)=0,"⚠ หมวดไม่ตรงประเภท","✓"))))</f>
        <v/>
      </c>
    </row>
    <row r="3774">
      <c r="B3774" s="113" t="n"/>
      <c r="C3774" s="114" t="n"/>
      <c r="D3774" s="115" t="n"/>
      <c r="E3774" s="116" t="n"/>
      <c r="F3774" s="115" t="n"/>
      <c r="G3774" s="117">
        <f>IF(COUNTA(B3774:E3774)=0,"",IF(COUNTA(B3774:E3774)&lt;4,"⚠ กรอกไม่ครบ",IF(NOT(ISNUMBER(B3774)),"⚠ วันที่ไม่ถูกต้อง",IF(COUNTIFS(Setup!$L$6:$L$60,D3774,Setup!$M$6:$M$60,C3774)=0,"⚠ หมวดไม่ตรงประเภท","✓"))))</f>
        <v/>
      </c>
    </row>
    <row r="3775">
      <c r="B3775" s="113" t="n"/>
      <c r="C3775" s="114" t="n"/>
      <c r="D3775" s="115" t="n"/>
      <c r="E3775" s="116" t="n"/>
      <c r="F3775" s="115" t="n"/>
      <c r="G3775" s="117">
        <f>IF(COUNTA(B3775:E3775)=0,"",IF(COUNTA(B3775:E3775)&lt;4,"⚠ กรอกไม่ครบ",IF(NOT(ISNUMBER(B3775)),"⚠ วันที่ไม่ถูกต้อง",IF(COUNTIFS(Setup!$L$6:$L$60,D3775,Setup!$M$6:$M$60,C3775)=0,"⚠ หมวดไม่ตรงประเภท","✓"))))</f>
        <v/>
      </c>
    </row>
    <row r="3776">
      <c r="B3776" s="113" t="n"/>
      <c r="C3776" s="114" t="n"/>
      <c r="D3776" s="115" t="n"/>
      <c r="E3776" s="116" t="n"/>
      <c r="F3776" s="115" t="n"/>
      <c r="G3776" s="117">
        <f>IF(COUNTA(B3776:E3776)=0,"",IF(COUNTA(B3776:E3776)&lt;4,"⚠ กรอกไม่ครบ",IF(NOT(ISNUMBER(B3776)),"⚠ วันที่ไม่ถูกต้อง",IF(COUNTIFS(Setup!$L$6:$L$60,D3776,Setup!$M$6:$M$60,C3776)=0,"⚠ หมวดไม่ตรงประเภท","✓"))))</f>
        <v/>
      </c>
    </row>
    <row r="3777">
      <c r="B3777" s="113" t="n"/>
      <c r="C3777" s="114" t="n"/>
      <c r="D3777" s="115" t="n"/>
      <c r="E3777" s="116" t="n"/>
      <c r="F3777" s="115" t="n"/>
      <c r="G3777" s="117">
        <f>IF(COUNTA(B3777:E3777)=0,"",IF(COUNTA(B3777:E3777)&lt;4,"⚠ กรอกไม่ครบ",IF(NOT(ISNUMBER(B3777)),"⚠ วันที่ไม่ถูกต้อง",IF(COUNTIFS(Setup!$L$6:$L$60,D3777,Setup!$M$6:$M$60,C3777)=0,"⚠ หมวดไม่ตรงประเภท","✓"))))</f>
        <v/>
      </c>
    </row>
    <row r="3778">
      <c r="B3778" s="113" t="n"/>
      <c r="C3778" s="114" t="n"/>
      <c r="D3778" s="115" t="n"/>
      <c r="E3778" s="116" t="n"/>
      <c r="F3778" s="115" t="n"/>
      <c r="G3778" s="117">
        <f>IF(COUNTA(B3778:E3778)=0,"",IF(COUNTA(B3778:E3778)&lt;4,"⚠ กรอกไม่ครบ",IF(NOT(ISNUMBER(B3778)),"⚠ วันที่ไม่ถูกต้อง",IF(COUNTIFS(Setup!$L$6:$L$60,D3778,Setup!$M$6:$M$60,C3778)=0,"⚠ หมวดไม่ตรงประเภท","✓"))))</f>
        <v/>
      </c>
    </row>
    <row r="3779">
      <c r="B3779" s="113" t="n"/>
      <c r="C3779" s="114" t="n"/>
      <c r="D3779" s="115" t="n"/>
      <c r="E3779" s="116" t="n"/>
      <c r="F3779" s="115" t="n"/>
      <c r="G3779" s="117">
        <f>IF(COUNTA(B3779:E3779)=0,"",IF(COUNTA(B3779:E3779)&lt;4,"⚠ กรอกไม่ครบ",IF(NOT(ISNUMBER(B3779)),"⚠ วันที่ไม่ถูกต้อง",IF(COUNTIFS(Setup!$L$6:$L$60,D3779,Setup!$M$6:$M$60,C3779)=0,"⚠ หมวดไม่ตรงประเภท","✓"))))</f>
        <v/>
      </c>
    </row>
    <row r="3780">
      <c r="B3780" s="113" t="n"/>
      <c r="C3780" s="114" t="n"/>
      <c r="D3780" s="115" t="n"/>
      <c r="E3780" s="116" t="n"/>
      <c r="F3780" s="115" t="n"/>
      <c r="G3780" s="117">
        <f>IF(COUNTA(B3780:E3780)=0,"",IF(COUNTA(B3780:E3780)&lt;4,"⚠ กรอกไม่ครบ",IF(NOT(ISNUMBER(B3780)),"⚠ วันที่ไม่ถูกต้อง",IF(COUNTIFS(Setup!$L$6:$L$60,D3780,Setup!$M$6:$M$60,C3780)=0,"⚠ หมวดไม่ตรงประเภท","✓"))))</f>
        <v/>
      </c>
    </row>
    <row r="3781">
      <c r="B3781" s="113" t="n"/>
      <c r="C3781" s="114" t="n"/>
      <c r="D3781" s="115" t="n"/>
      <c r="E3781" s="116" t="n"/>
      <c r="F3781" s="115" t="n"/>
      <c r="G3781" s="117">
        <f>IF(COUNTA(B3781:E3781)=0,"",IF(COUNTA(B3781:E3781)&lt;4,"⚠ กรอกไม่ครบ",IF(NOT(ISNUMBER(B3781)),"⚠ วันที่ไม่ถูกต้อง",IF(COUNTIFS(Setup!$L$6:$L$60,D3781,Setup!$M$6:$M$60,C3781)=0,"⚠ หมวดไม่ตรงประเภท","✓"))))</f>
        <v/>
      </c>
    </row>
    <row r="3782">
      <c r="B3782" s="113" t="n"/>
      <c r="C3782" s="114" t="n"/>
      <c r="D3782" s="115" t="n"/>
      <c r="E3782" s="116" t="n"/>
      <c r="F3782" s="115" t="n"/>
      <c r="G3782" s="117">
        <f>IF(COUNTA(B3782:E3782)=0,"",IF(COUNTA(B3782:E3782)&lt;4,"⚠ กรอกไม่ครบ",IF(NOT(ISNUMBER(B3782)),"⚠ วันที่ไม่ถูกต้อง",IF(COUNTIFS(Setup!$L$6:$L$60,D3782,Setup!$M$6:$M$60,C3782)=0,"⚠ หมวดไม่ตรงประเภท","✓"))))</f>
        <v/>
      </c>
    </row>
    <row r="3783">
      <c r="B3783" s="113" t="n"/>
      <c r="C3783" s="114" t="n"/>
      <c r="D3783" s="115" t="n"/>
      <c r="E3783" s="116" t="n"/>
      <c r="F3783" s="115" t="n"/>
      <c r="G3783" s="117">
        <f>IF(COUNTA(B3783:E3783)=0,"",IF(COUNTA(B3783:E3783)&lt;4,"⚠ กรอกไม่ครบ",IF(NOT(ISNUMBER(B3783)),"⚠ วันที่ไม่ถูกต้อง",IF(COUNTIFS(Setup!$L$6:$L$60,D3783,Setup!$M$6:$M$60,C3783)=0,"⚠ หมวดไม่ตรงประเภท","✓"))))</f>
        <v/>
      </c>
    </row>
    <row r="3784">
      <c r="B3784" s="113" t="n"/>
      <c r="C3784" s="114" t="n"/>
      <c r="D3784" s="115" t="n"/>
      <c r="E3784" s="116" t="n"/>
      <c r="F3784" s="115" t="n"/>
      <c r="G3784" s="117">
        <f>IF(COUNTA(B3784:E3784)=0,"",IF(COUNTA(B3784:E3784)&lt;4,"⚠ กรอกไม่ครบ",IF(NOT(ISNUMBER(B3784)),"⚠ วันที่ไม่ถูกต้อง",IF(COUNTIFS(Setup!$L$6:$L$60,D3784,Setup!$M$6:$M$60,C3784)=0,"⚠ หมวดไม่ตรงประเภท","✓"))))</f>
        <v/>
      </c>
    </row>
    <row r="3785">
      <c r="B3785" s="113" t="n"/>
      <c r="C3785" s="114" t="n"/>
      <c r="D3785" s="115" t="n"/>
      <c r="E3785" s="116" t="n"/>
      <c r="F3785" s="115" t="n"/>
      <c r="G3785" s="117">
        <f>IF(COUNTA(B3785:E3785)=0,"",IF(COUNTA(B3785:E3785)&lt;4,"⚠ กรอกไม่ครบ",IF(NOT(ISNUMBER(B3785)),"⚠ วันที่ไม่ถูกต้อง",IF(COUNTIFS(Setup!$L$6:$L$60,D3785,Setup!$M$6:$M$60,C3785)=0,"⚠ หมวดไม่ตรงประเภท","✓"))))</f>
        <v/>
      </c>
    </row>
    <row r="3786">
      <c r="B3786" s="113" t="n"/>
      <c r="C3786" s="114" t="n"/>
      <c r="D3786" s="115" t="n"/>
      <c r="E3786" s="116" t="n"/>
      <c r="F3786" s="115" t="n"/>
      <c r="G3786" s="117">
        <f>IF(COUNTA(B3786:E3786)=0,"",IF(COUNTA(B3786:E3786)&lt;4,"⚠ กรอกไม่ครบ",IF(NOT(ISNUMBER(B3786)),"⚠ วันที่ไม่ถูกต้อง",IF(COUNTIFS(Setup!$L$6:$L$60,D3786,Setup!$M$6:$M$60,C3786)=0,"⚠ หมวดไม่ตรงประเภท","✓"))))</f>
        <v/>
      </c>
    </row>
    <row r="3787">
      <c r="B3787" s="113" t="n"/>
      <c r="C3787" s="114" t="n"/>
      <c r="D3787" s="115" t="n"/>
      <c r="E3787" s="116" t="n"/>
      <c r="F3787" s="115" t="n"/>
      <c r="G3787" s="117">
        <f>IF(COUNTA(B3787:E3787)=0,"",IF(COUNTA(B3787:E3787)&lt;4,"⚠ กรอกไม่ครบ",IF(NOT(ISNUMBER(B3787)),"⚠ วันที่ไม่ถูกต้อง",IF(COUNTIFS(Setup!$L$6:$L$60,D3787,Setup!$M$6:$M$60,C3787)=0,"⚠ หมวดไม่ตรงประเภท","✓"))))</f>
        <v/>
      </c>
    </row>
    <row r="3788">
      <c r="B3788" s="113" t="n"/>
      <c r="C3788" s="114" t="n"/>
      <c r="D3788" s="115" t="n"/>
      <c r="E3788" s="116" t="n"/>
      <c r="F3788" s="115" t="n"/>
      <c r="G3788" s="117">
        <f>IF(COUNTA(B3788:E3788)=0,"",IF(COUNTA(B3788:E3788)&lt;4,"⚠ กรอกไม่ครบ",IF(NOT(ISNUMBER(B3788)),"⚠ วันที่ไม่ถูกต้อง",IF(COUNTIFS(Setup!$L$6:$L$60,D3788,Setup!$M$6:$M$60,C3788)=0,"⚠ หมวดไม่ตรงประเภท","✓"))))</f>
        <v/>
      </c>
    </row>
    <row r="3789">
      <c r="B3789" s="113" t="n"/>
      <c r="C3789" s="114" t="n"/>
      <c r="D3789" s="115" t="n"/>
      <c r="E3789" s="116" t="n"/>
      <c r="F3789" s="115" t="n"/>
      <c r="G3789" s="117">
        <f>IF(COUNTA(B3789:E3789)=0,"",IF(COUNTA(B3789:E3789)&lt;4,"⚠ กรอกไม่ครบ",IF(NOT(ISNUMBER(B3789)),"⚠ วันที่ไม่ถูกต้อง",IF(COUNTIFS(Setup!$L$6:$L$60,D3789,Setup!$M$6:$M$60,C3789)=0,"⚠ หมวดไม่ตรงประเภท","✓"))))</f>
        <v/>
      </c>
    </row>
    <row r="3790">
      <c r="B3790" s="113" t="n"/>
      <c r="C3790" s="114" t="n"/>
      <c r="D3790" s="115" t="n"/>
      <c r="E3790" s="116" t="n"/>
      <c r="F3790" s="115" t="n"/>
      <c r="G3790" s="117">
        <f>IF(COUNTA(B3790:E3790)=0,"",IF(COUNTA(B3790:E3790)&lt;4,"⚠ กรอกไม่ครบ",IF(NOT(ISNUMBER(B3790)),"⚠ วันที่ไม่ถูกต้อง",IF(COUNTIFS(Setup!$L$6:$L$60,D3790,Setup!$M$6:$M$60,C3790)=0,"⚠ หมวดไม่ตรงประเภท","✓"))))</f>
        <v/>
      </c>
    </row>
    <row r="3791">
      <c r="B3791" s="113" t="n"/>
      <c r="C3791" s="114" t="n"/>
      <c r="D3791" s="115" t="n"/>
      <c r="E3791" s="116" t="n"/>
      <c r="F3791" s="115" t="n"/>
      <c r="G3791" s="117">
        <f>IF(COUNTA(B3791:E3791)=0,"",IF(COUNTA(B3791:E3791)&lt;4,"⚠ กรอกไม่ครบ",IF(NOT(ISNUMBER(B3791)),"⚠ วันที่ไม่ถูกต้อง",IF(COUNTIFS(Setup!$L$6:$L$60,D3791,Setup!$M$6:$M$60,C3791)=0,"⚠ หมวดไม่ตรงประเภท","✓"))))</f>
        <v/>
      </c>
    </row>
    <row r="3792">
      <c r="B3792" s="113" t="n"/>
      <c r="C3792" s="114" t="n"/>
      <c r="D3792" s="115" t="n"/>
      <c r="E3792" s="116" t="n"/>
      <c r="F3792" s="115" t="n"/>
      <c r="G3792" s="117">
        <f>IF(COUNTA(B3792:E3792)=0,"",IF(COUNTA(B3792:E3792)&lt;4,"⚠ กรอกไม่ครบ",IF(NOT(ISNUMBER(B3792)),"⚠ วันที่ไม่ถูกต้อง",IF(COUNTIFS(Setup!$L$6:$L$60,D3792,Setup!$M$6:$M$60,C3792)=0,"⚠ หมวดไม่ตรงประเภท","✓"))))</f>
        <v/>
      </c>
    </row>
    <row r="3793">
      <c r="B3793" s="113" t="n"/>
      <c r="C3793" s="114" t="n"/>
      <c r="D3793" s="115" t="n"/>
      <c r="E3793" s="116" t="n"/>
      <c r="F3793" s="115" t="n"/>
      <c r="G3793" s="117">
        <f>IF(COUNTA(B3793:E3793)=0,"",IF(COUNTA(B3793:E3793)&lt;4,"⚠ กรอกไม่ครบ",IF(NOT(ISNUMBER(B3793)),"⚠ วันที่ไม่ถูกต้อง",IF(COUNTIFS(Setup!$L$6:$L$60,D3793,Setup!$M$6:$M$60,C3793)=0,"⚠ หมวดไม่ตรงประเภท","✓"))))</f>
        <v/>
      </c>
    </row>
    <row r="3794">
      <c r="B3794" s="113" t="n"/>
      <c r="C3794" s="114" t="n"/>
      <c r="D3794" s="115" t="n"/>
      <c r="E3794" s="116" t="n"/>
      <c r="F3794" s="115" t="n"/>
      <c r="G3794" s="117">
        <f>IF(COUNTA(B3794:E3794)=0,"",IF(COUNTA(B3794:E3794)&lt;4,"⚠ กรอกไม่ครบ",IF(NOT(ISNUMBER(B3794)),"⚠ วันที่ไม่ถูกต้อง",IF(COUNTIFS(Setup!$L$6:$L$60,D3794,Setup!$M$6:$M$60,C3794)=0,"⚠ หมวดไม่ตรงประเภท","✓"))))</f>
        <v/>
      </c>
    </row>
    <row r="3795">
      <c r="B3795" s="113" t="n"/>
      <c r="C3795" s="114" t="n"/>
      <c r="D3795" s="115" t="n"/>
      <c r="E3795" s="116" t="n"/>
      <c r="F3795" s="115" t="n"/>
      <c r="G3795" s="117">
        <f>IF(COUNTA(B3795:E3795)=0,"",IF(COUNTA(B3795:E3795)&lt;4,"⚠ กรอกไม่ครบ",IF(NOT(ISNUMBER(B3795)),"⚠ วันที่ไม่ถูกต้อง",IF(COUNTIFS(Setup!$L$6:$L$60,D3795,Setup!$M$6:$M$60,C3795)=0,"⚠ หมวดไม่ตรงประเภท","✓"))))</f>
        <v/>
      </c>
    </row>
    <row r="3796">
      <c r="B3796" s="113" t="n"/>
      <c r="C3796" s="114" t="n"/>
      <c r="D3796" s="115" t="n"/>
      <c r="E3796" s="116" t="n"/>
      <c r="F3796" s="115" t="n"/>
      <c r="G3796" s="117">
        <f>IF(COUNTA(B3796:E3796)=0,"",IF(COUNTA(B3796:E3796)&lt;4,"⚠ กรอกไม่ครบ",IF(NOT(ISNUMBER(B3796)),"⚠ วันที่ไม่ถูกต้อง",IF(COUNTIFS(Setup!$L$6:$L$60,D3796,Setup!$M$6:$M$60,C3796)=0,"⚠ หมวดไม่ตรงประเภท","✓"))))</f>
        <v/>
      </c>
    </row>
    <row r="3797">
      <c r="B3797" s="113" t="n"/>
      <c r="C3797" s="114" t="n"/>
      <c r="D3797" s="115" t="n"/>
      <c r="E3797" s="116" t="n"/>
      <c r="F3797" s="115" t="n"/>
      <c r="G3797" s="117">
        <f>IF(COUNTA(B3797:E3797)=0,"",IF(COUNTA(B3797:E3797)&lt;4,"⚠ กรอกไม่ครบ",IF(NOT(ISNUMBER(B3797)),"⚠ วันที่ไม่ถูกต้อง",IF(COUNTIFS(Setup!$L$6:$L$60,D3797,Setup!$M$6:$M$60,C3797)=0,"⚠ หมวดไม่ตรงประเภท","✓"))))</f>
        <v/>
      </c>
    </row>
    <row r="3798">
      <c r="B3798" s="113" t="n"/>
      <c r="C3798" s="114" t="n"/>
      <c r="D3798" s="115" t="n"/>
      <c r="E3798" s="116" t="n"/>
      <c r="F3798" s="115" t="n"/>
      <c r="G3798" s="117">
        <f>IF(COUNTA(B3798:E3798)=0,"",IF(COUNTA(B3798:E3798)&lt;4,"⚠ กรอกไม่ครบ",IF(NOT(ISNUMBER(B3798)),"⚠ วันที่ไม่ถูกต้อง",IF(COUNTIFS(Setup!$L$6:$L$60,D3798,Setup!$M$6:$M$60,C3798)=0,"⚠ หมวดไม่ตรงประเภท","✓"))))</f>
        <v/>
      </c>
    </row>
    <row r="3799">
      <c r="B3799" s="113" t="n"/>
      <c r="C3799" s="114" t="n"/>
      <c r="D3799" s="115" t="n"/>
      <c r="E3799" s="116" t="n"/>
      <c r="F3799" s="115" t="n"/>
      <c r="G3799" s="117">
        <f>IF(COUNTA(B3799:E3799)=0,"",IF(COUNTA(B3799:E3799)&lt;4,"⚠ กรอกไม่ครบ",IF(NOT(ISNUMBER(B3799)),"⚠ วันที่ไม่ถูกต้อง",IF(COUNTIFS(Setup!$L$6:$L$60,D3799,Setup!$M$6:$M$60,C3799)=0,"⚠ หมวดไม่ตรงประเภท","✓"))))</f>
        <v/>
      </c>
    </row>
    <row r="3800">
      <c r="B3800" s="113" t="n"/>
      <c r="C3800" s="114" t="n"/>
      <c r="D3800" s="115" t="n"/>
      <c r="E3800" s="116" t="n"/>
      <c r="F3800" s="115" t="n"/>
      <c r="G3800" s="117">
        <f>IF(COUNTA(B3800:E3800)=0,"",IF(COUNTA(B3800:E3800)&lt;4,"⚠ กรอกไม่ครบ",IF(NOT(ISNUMBER(B3800)),"⚠ วันที่ไม่ถูกต้อง",IF(COUNTIFS(Setup!$L$6:$L$60,D3800,Setup!$M$6:$M$60,C3800)=0,"⚠ หมวดไม่ตรงประเภท","✓"))))</f>
        <v/>
      </c>
    </row>
    <row r="3801">
      <c r="B3801" s="113" t="n"/>
      <c r="C3801" s="114" t="n"/>
      <c r="D3801" s="115" t="n"/>
      <c r="E3801" s="116" t="n"/>
      <c r="F3801" s="115" t="n"/>
      <c r="G3801" s="117">
        <f>IF(COUNTA(B3801:E3801)=0,"",IF(COUNTA(B3801:E3801)&lt;4,"⚠ กรอกไม่ครบ",IF(NOT(ISNUMBER(B3801)),"⚠ วันที่ไม่ถูกต้อง",IF(COUNTIFS(Setup!$L$6:$L$60,D3801,Setup!$M$6:$M$60,C3801)=0,"⚠ หมวดไม่ตรงประเภท","✓"))))</f>
        <v/>
      </c>
    </row>
    <row r="3802">
      <c r="B3802" s="113" t="n"/>
      <c r="C3802" s="114" t="n"/>
      <c r="D3802" s="115" t="n"/>
      <c r="E3802" s="116" t="n"/>
      <c r="F3802" s="115" t="n"/>
      <c r="G3802" s="117">
        <f>IF(COUNTA(B3802:E3802)=0,"",IF(COUNTA(B3802:E3802)&lt;4,"⚠ กรอกไม่ครบ",IF(NOT(ISNUMBER(B3802)),"⚠ วันที่ไม่ถูกต้อง",IF(COUNTIFS(Setup!$L$6:$L$60,D3802,Setup!$M$6:$M$60,C3802)=0,"⚠ หมวดไม่ตรงประเภท","✓"))))</f>
        <v/>
      </c>
    </row>
    <row r="3803">
      <c r="B3803" s="113" t="n"/>
      <c r="C3803" s="114" t="n"/>
      <c r="D3803" s="115" t="n"/>
      <c r="E3803" s="116" t="n"/>
      <c r="F3803" s="115" t="n"/>
      <c r="G3803" s="117">
        <f>IF(COUNTA(B3803:E3803)=0,"",IF(COUNTA(B3803:E3803)&lt;4,"⚠ กรอกไม่ครบ",IF(NOT(ISNUMBER(B3803)),"⚠ วันที่ไม่ถูกต้อง",IF(COUNTIFS(Setup!$L$6:$L$60,D3803,Setup!$M$6:$M$60,C3803)=0,"⚠ หมวดไม่ตรงประเภท","✓"))))</f>
        <v/>
      </c>
    </row>
    <row r="3804">
      <c r="B3804" s="113" t="n"/>
      <c r="C3804" s="114" t="n"/>
      <c r="D3804" s="115" t="n"/>
      <c r="E3804" s="116" t="n"/>
      <c r="F3804" s="115" t="n"/>
      <c r="G3804" s="117">
        <f>IF(COUNTA(B3804:E3804)=0,"",IF(COUNTA(B3804:E3804)&lt;4,"⚠ กรอกไม่ครบ",IF(NOT(ISNUMBER(B3804)),"⚠ วันที่ไม่ถูกต้อง",IF(COUNTIFS(Setup!$L$6:$L$60,D3804,Setup!$M$6:$M$60,C3804)=0,"⚠ หมวดไม่ตรงประเภท","✓"))))</f>
        <v/>
      </c>
    </row>
    <row r="3805">
      <c r="B3805" s="113" t="n"/>
      <c r="C3805" s="114" t="n"/>
      <c r="D3805" s="115" t="n"/>
      <c r="E3805" s="116" t="n"/>
      <c r="F3805" s="115" t="n"/>
      <c r="G3805" s="117">
        <f>IF(COUNTA(B3805:E3805)=0,"",IF(COUNTA(B3805:E3805)&lt;4,"⚠ กรอกไม่ครบ",IF(NOT(ISNUMBER(B3805)),"⚠ วันที่ไม่ถูกต้อง",IF(COUNTIFS(Setup!$L$6:$L$60,D3805,Setup!$M$6:$M$60,C3805)=0,"⚠ หมวดไม่ตรงประเภท","✓"))))</f>
        <v/>
      </c>
    </row>
    <row r="3806">
      <c r="B3806" s="113" t="n"/>
      <c r="C3806" s="114" t="n"/>
      <c r="D3806" s="115" t="n"/>
      <c r="E3806" s="116" t="n"/>
      <c r="F3806" s="115" t="n"/>
      <c r="G3806" s="117">
        <f>IF(COUNTA(B3806:E3806)=0,"",IF(COUNTA(B3806:E3806)&lt;4,"⚠ กรอกไม่ครบ",IF(NOT(ISNUMBER(B3806)),"⚠ วันที่ไม่ถูกต้อง",IF(COUNTIFS(Setup!$L$6:$L$60,D3806,Setup!$M$6:$M$60,C3806)=0,"⚠ หมวดไม่ตรงประเภท","✓"))))</f>
        <v/>
      </c>
    </row>
    <row r="3807">
      <c r="B3807" s="113" t="n"/>
      <c r="C3807" s="114" t="n"/>
      <c r="D3807" s="115" t="n"/>
      <c r="E3807" s="116" t="n"/>
      <c r="F3807" s="115" t="n"/>
      <c r="G3807" s="117">
        <f>IF(COUNTA(B3807:E3807)=0,"",IF(COUNTA(B3807:E3807)&lt;4,"⚠ กรอกไม่ครบ",IF(NOT(ISNUMBER(B3807)),"⚠ วันที่ไม่ถูกต้อง",IF(COUNTIFS(Setup!$L$6:$L$60,D3807,Setup!$M$6:$M$60,C3807)=0,"⚠ หมวดไม่ตรงประเภท","✓"))))</f>
        <v/>
      </c>
    </row>
    <row r="3808">
      <c r="B3808" s="113" t="n"/>
      <c r="C3808" s="114" t="n"/>
      <c r="D3808" s="115" t="n"/>
      <c r="E3808" s="116" t="n"/>
      <c r="F3808" s="115" t="n"/>
      <c r="G3808" s="117">
        <f>IF(COUNTA(B3808:E3808)=0,"",IF(COUNTA(B3808:E3808)&lt;4,"⚠ กรอกไม่ครบ",IF(NOT(ISNUMBER(B3808)),"⚠ วันที่ไม่ถูกต้อง",IF(COUNTIFS(Setup!$L$6:$L$60,D3808,Setup!$M$6:$M$60,C3808)=0,"⚠ หมวดไม่ตรงประเภท","✓"))))</f>
        <v/>
      </c>
    </row>
    <row r="3809">
      <c r="B3809" s="113" t="n"/>
      <c r="C3809" s="114" t="n"/>
      <c r="D3809" s="115" t="n"/>
      <c r="E3809" s="116" t="n"/>
      <c r="F3809" s="115" t="n"/>
      <c r="G3809" s="117">
        <f>IF(COUNTA(B3809:E3809)=0,"",IF(COUNTA(B3809:E3809)&lt;4,"⚠ กรอกไม่ครบ",IF(NOT(ISNUMBER(B3809)),"⚠ วันที่ไม่ถูกต้อง",IF(COUNTIFS(Setup!$L$6:$L$60,D3809,Setup!$M$6:$M$60,C3809)=0,"⚠ หมวดไม่ตรงประเภท","✓"))))</f>
        <v/>
      </c>
    </row>
    <row r="3810">
      <c r="B3810" s="113" t="n"/>
      <c r="C3810" s="114" t="n"/>
      <c r="D3810" s="115" t="n"/>
      <c r="E3810" s="116" t="n"/>
      <c r="F3810" s="115" t="n"/>
      <c r="G3810" s="117">
        <f>IF(COUNTA(B3810:E3810)=0,"",IF(COUNTA(B3810:E3810)&lt;4,"⚠ กรอกไม่ครบ",IF(NOT(ISNUMBER(B3810)),"⚠ วันที่ไม่ถูกต้อง",IF(COUNTIFS(Setup!$L$6:$L$60,D3810,Setup!$M$6:$M$60,C3810)=0,"⚠ หมวดไม่ตรงประเภท","✓"))))</f>
        <v/>
      </c>
    </row>
    <row r="3811">
      <c r="B3811" s="113" t="n"/>
      <c r="C3811" s="114" t="n"/>
      <c r="D3811" s="115" t="n"/>
      <c r="E3811" s="116" t="n"/>
      <c r="F3811" s="115" t="n"/>
      <c r="G3811" s="117">
        <f>IF(COUNTA(B3811:E3811)=0,"",IF(COUNTA(B3811:E3811)&lt;4,"⚠ กรอกไม่ครบ",IF(NOT(ISNUMBER(B3811)),"⚠ วันที่ไม่ถูกต้อง",IF(COUNTIFS(Setup!$L$6:$L$60,D3811,Setup!$M$6:$M$60,C3811)=0,"⚠ หมวดไม่ตรงประเภท","✓"))))</f>
        <v/>
      </c>
    </row>
    <row r="3812">
      <c r="B3812" s="113" t="n"/>
      <c r="C3812" s="114" t="n"/>
      <c r="D3812" s="115" t="n"/>
      <c r="E3812" s="116" t="n"/>
      <c r="F3812" s="115" t="n"/>
      <c r="G3812" s="117">
        <f>IF(COUNTA(B3812:E3812)=0,"",IF(COUNTA(B3812:E3812)&lt;4,"⚠ กรอกไม่ครบ",IF(NOT(ISNUMBER(B3812)),"⚠ วันที่ไม่ถูกต้อง",IF(COUNTIFS(Setup!$L$6:$L$60,D3812,Setup!$M$6:$M$60,C3812)=0,"⚠ หมวดไม่ตรงประเภท","✓"))))</f>
        <v/>
      </c>
    </row>
    <row r="3813">
      <c r="B3813" s="113" t="n"/>
      <c r="C3813" s="114" t="n"/>
      <c r="D3813" s="115" t="n"/>
      <c r="E3813" s="116" t="n"/>
      <c r="F3813" s="115" t="n"/>
      <c r="G3813" s="117">
        <f>IF(COUNTA(B3813:E3813)=0,"",IF(COUNTA(B3813:E3813)&lt;4,"⚠ กรอกไม่ครบ",IF(NOT(ISNUMBER(B3813)),"⚠ วันที่ไม่ถูกต้อง",IF(COUNTIFS(Setup!$L$6:$L$60,D3813,Setup!$M$6:$M$60,C3813)=0,"⚠ หมวดไม่ตรงประเภท","✓"))))</f>
        <v/>
      </c>
    </row>
    <row r="3814">
      <c r="B3814" s="113" t="n"/>
      <c r="C3814" s="114" t="n"/>
      <c r="D3814" s="115" t="n"/>
      <c r="E3814" s="116" t="n"/>
      <c r="F3814" s="115" t="n"/>
      <c r="G3814" s="117">
        <f>IF(COUNTA(B3814:E3814)=0,"",IF(COUNTA(B3814:E3814)&lt;4,"⚠ กรอกไม่ครบ",IF(NOT(ISNUMBER(B3814)),"⚠ วันที่ไม่ถูกต้อง",IF(COUNTIFS(Setup!$L$6:$L$60,D3814,Setup!$M$6:$M$60,C3814)=0,"⚠ หมวดไม่ตรงประเภท","✓"))))</f>
        <v/>
      </c>
    </row>
    <row r="3815">
      <c r="B3815" s="113" t="n"/>
      <c r="C3815" s="114" t="n"/>
      <c r="D3815" s="115" t="n"/>
      <c r="E3815" s="116" t="n"/>
      <c r="F3815" s="115" t="n"/>
      <c r="G3815" s="117">
        <f>IF(COUNTA(B3815:E3815)=0,"",IF(COUNTA(B3815:E3815)&lt;4,"⚠ กรอกไม่ครบ",IF(NOT(ISNUMBER(B3815)),"⚠ วันที่ไม่ถูกต้อง",IF(COUNTIFS(Setup!$L$6:$L$60,D3815,Setup!$M$6:$M$60,C3815)=0,"⚠ หมวดไม่ตรงประเภท","✓"))))</f>
        <v/>
      </c>
    </row>
    <row r="3816">
      <c r="B3816" s="113" t="n"/>
      <c r="C3816" s="114" t="n"/>
      <c r="D3816" s="115" t="n"/>
      <c r="E3816" s="116" t="n"/>
      <c r="F3816" s="115" t="n"/>
      <c r="G3816" s="117">
        <f>IF(COUNTA(B3816:E3816)=0,"",IF(COUNTA(B3816:E3816)&lt;4,"⚠ กรอกไม่ครบ",IF(NOT(ISNUMBER(B3816)),"⚠ วันที่ไม่ถูกต้อง",IF(COUNTIFS(Setup!$L$6:$L$60,D3816,Setup!$M$6:$M$60,C3816)=0,"⚠ หมวดไม่ตรงประเภท","✓"))))</f>
        <v/>
      </c>
    </row>
    <row r="3817">
      <c r="B3817" s="113" t="n"/>
      <c r="C3817" s="114" t="n"/>
      <c r="D3817" s="115" t="n"/>
      <c r="E3817" s="116" t="n"/>
      <c r="F3817" s="115" t="n"/>
      <c r="G3817" s="117">
        <f>IF(COUNTA(B3817:E3817)=0,"",IF(COUNTA(B3817:E3817)&lt;4,"⚠ กรอกไม่ครบ",IF(NOT(ISNUMBER(B3817)),"⚠ วันที่ไม่ถูกต้อง",IF(COUNTIFS(Setup!$L$6:$L$60,D3817,Setup!$M$6:$M$60,C3817)=0,"⚠ หมวดไม่ตรงประเภท","✓"))))</f>
        <v/>
      </c>
    </row>
    <row r="3818">
      <c r="B3818" s="113" t="n"/>
      <c r="C3818" s="114" t="n"/>
      <c r="D3818" s="115" t="n"/>
      <c r="E3818" s="116" t="n"/>
      <c r="F3818" s="115" t="n"/>
      <c r="G3818" s="117">
        <f>IF(COUNTA(B3818:E3818)=0,"",IF(COUNTA(B3818:E3818)&lt;4,"⚠ กรอกไม่ครบ",IF(NOT(ISNUMBER(B3818)),"⚠ วันที่ไม่ถูกต้อง",IF(COUNTIFS(Setup!$L$6:$L$60,D3818,Setup!$M$6:$M$60,C3818)=0,"⚠ หมวดไม่ตรงประเภท","✓"))))</f>
        <v/>
      </c>
    </row>
    <row r="3819">
      <c r="B3819" s="113" t="n"/>
      <c r="C3819" s="114" t="n"/>
      <c r="D3819" s="115" t="n"/>
      <c r="E3819" s="116" t="n"/>
      <c r="F3819" s="115" t="n"/>
      <c r="G3819" s="117">
        <f>IF(COUNTA(B3819:E3819)=0,"",IF(COUNTA(B3819:E3819)&lt;4,"⚠ กรอกไม่ครบ",IF(NOT(ISNUMBER(B3819)),"⚠ วันที่ไม่ถูกต้อง",IF(COUNTIFS(Setup!$L$6:$L$60,D3819,Setup!$M$6:$M$60,C3819)=0,"⚠ หมวดไม่ตรงประเภท","✓"))))</f>
        <v/>
      </c>
    </row>
    <row r="3820">
      <c r="B3820" s="113" t="n"/>
      <c r="C3820" s="114" t="n"/>
      <c r="D3820" s="115" t="n"/>
      <c r="E3820" s="116" t="n"/>
      <c r="F3820" s="115" t="n"/>
      <c r="G3820" s="117">
        <f>IF(COUNTA(B3820:E3820)=0,"",IF(COUNTA(B3820:E3820)&lt;4,"⚠ กรอกไม่ครบ",IF(NOT(ISNUMBER(B3820)),"⚠ วันที่ไม่ถูกต้อง",IF(COUNTIFS(Setup!$L$6:$L$60,D3820,Setup!$M$6:$M$60,C3820)=0,"⚠ หมวดไม่ตรงประเภท","✓"))))</f>
        <v/>
      </c>
    </row>
    <row r="3821">
      <c r="B3821" s="113" t="n"/>
      <c r="C3821" s="114" t="n"/>
      <c r="D3821" s="115" t="n"/>
      <c r="E3821" s="116" t="n"/>
      <c r="F3821" s="115" t="n"/>
      <c r="G3821" s="117">
        <f>IF(COUNTA(B3821:E3821)=0,"",IF(COUNTA(B3821:E3821)&lt;4,"⚠ กรอกไม่ครบ",IF(NOT(ISNUMBER(B3821)),"⚠ วันที่ไม่ถูกต้อง",IF(COUNTIFS(Setup!$L$6:$L$60,D3821,Setup!$M$6:$M$60,C3821)=0,"⚠ หมวดไม่ตรงประเภท","✓"))))</f>
        <v/>
      </c>
    </row>
    <row r="3822">
      <c r="B3822" s="113" t="n"/>
      <c r="C3822" s="114" t="n"/>
      <c r="D3822" s="115" t="n"/>
      <c r="E3822" s="116" t="n"/>
      <c r="F3822" s="115" t="n"/>
      <c r="G3822" s="117">
        <f>IF(COUNTA(B3822:E3822)=0,"",IF(COUNTA(B3822:E3822)&lt;4,"⚠ กรอกไม่ครบ",IF(NOT(ISNUMBER(B3822)),"⚠ วันที่ไม่ถูกต้อง",IF(COUNTIFS(Setup!$L$6:$L$60,D3822,Setup!$M$6:$M$60,C3822)=0,"⚠ หมวดไม่ตรงประเภท","✓"))))</f>
        <v/>
      </c>
    </row>
    <row r="3823">
      <c r="B3823" s="113" t="n"/>
      <c r="C3823" s="114" t="n"/>
      <c r="D3823" s="115" t="n"/>
      <c r="E3823" s="116" t="n"/>
      <c r="F3823" s="115" t="n"/>
      <c r="G3823" s="117">
        <f>IF(COUNTA(B3823:E3823)=0,"",IF(COUNTA(B3823:E3823)&lt;4,"⚠ กรอกไม่ครบ",IF(NOT(ISNUMBER(B3823)),"⚠ วันที่ไม่ถูกต้อง",IF(COUNTIFS(Setup!$L$6:$L$60,D3823,Setup!$M$6:$M$60,C3823)=0,"⚠ หมวดไม่ตรงประเภท","✓"))))</f>
        <v/>
      </c>
    </row>
    <row r="3824">
      <c r="B3824" s="113" t="n"/>
      <c r="C3824" s="114" t="n"/>
      <c r="D3824" s="115" t="n"/>
      <c r="E3824" s="116" t="n"/>
      <c r="F3824" s="115" t="n"/>
      <c r="G3824" s="117">
        <f>IF(COUNTA(B3824:E3824)=0,"",IF(COUNTA(B3824:E3824)&lt;4,"⚠ กรอกไม่ครบ",IF(NOT(ISNUMBER(B3824)),"⚠ วันที่ไม่ถูกต้อง",IF(COUNTIFS(Setup!$L$6:$L$60,D3824,Setup!$M$6:$M$60,C3824)=0,"⚠ หมวดไม่ตรงประเภท","✓"))))</f>
        <v/>
      </c>
    </row>
    <row r="3825">
      <c r="B3825" s="113" t="n"/>
      <c r="C3825" s="114" t="n"/>
      <c r="D3825" s="115" t="n"/>
      <c r="E3825" s="116" t="n"/>
      <c r="F3825" s="115" t="n"/>
      <c r="G3825" s="117">
        <f>IF(COUNTA(B3825:E3825)=0,"",IF(COUNTA(B3825:E3825)&lt;4,"⚠ กรอกไม่ครบ",IF(NOT(ISNUMBER(B3825)),"⚠ วันที่ไม่ถูกต้อง",IF(COUNTIFS(Setup!$L$6:$L$60,D3825,Setup!$M$6:$M$60,C3825)=0,"⚠ หมวดไม่ตรงประเภท","✓"))))</f>
        <v/>
      </c>
    </row>
    <row r="3826">
      <c r="B3826" s="113" t="n"/>
      <c r="C3826" s="114" t="n"/>
      <c r="D3826" s="115" t="n"/>
      <c r="E3826" s="116" t="n"/>
      <c r="F3826" s="115" t="n"/>
      <c r="G3826" s="117">
        <f>IF(COUNTA(B3826:E3826)=0,"",IF(COUNTA(B3826:E3826)&lt;4,"⚠ กรอกไม่ครบ",IF(NOT(ISNUMBER(B3826)),"⚠ วันที่ไม่ถูกต้อง",IF(COUNTIFS(Setup!$L$6:$L$60,D3826,Setup!$M$6:$M$60,C3826)=0,"⚠ หมวดไม่ตรงประเภท","✓"))))</f>
        <v/>
      </c>
    </row>
    <row r="3827">
      <c r="B3827" s="113" t="n"/>
      <c r="C3827" s="114" t="n"/>
      <c r="D3827" s="115" t="n"/>
      <c r="E3827" s="116" t="n"/>
      <c r="F3827" s="115" t="n"/>
      <c r="G3827" s="117">
        <f>IF(COUNTA(B3827:E3827)=0,"",IF(COUNTA(B3827:E3827)&lt;4,"⚠ กรอกไม่ครบ",IF(NOT(ISNUMBER(B3827)),"⚠ วันที่ไม่ถูกต้อง",IF(COUNTIFS(Setup!$L$6:$L$60,D3827,Setup!$M$6:$M$60,C3827)=0,"⚠ หมวดไม่ตรงประเภท","✓"))))</f>
        <v/>
      </c>
    </row>
    <row r="3828">
      <c r="B3828" s="113" t="n"/>
      <c r="C3828" s="114" t="n"/>
      <c r="D3828" s="115" t="n"/>
      <c r="E3828" s="116" t="n"/>
      <c r="F3828" s="115" t="n"/>
      <c r="G3828" s="117">
        <f>IF(COUNTA(B3828:E3828)=0,"",IF(COUNTA(B3828:E3828)&lt;4,"⚠ กรอกไม่ครบ",IF(NOT(ISNUMBER(B3828)),"⚠ วันที่ไม่ถูกต้อง",IF(COUNTIFS(Setup!$L$6:$L$60,D3828,Setup!$M$6:$M$60,C3828)=0,"⚠ หมวดไม่ตรงประเภท","✓"))))</f>
        <v/>
      </c>
    </row>
    <row r="3829">
      <c r="B3829" s="113" t="n"/>
      <c r="C3829" s="114" t="n"/>
      <c r="D3829" s="115" t="n"/>
      <c r="E3829" s="116" t="n"/>
      <c r="F3829" s="115" t="n"/>
      <c r="G3829" s="117">
        <f>IF(COUNTA(B3829:E3829)=0,"",IF(COUNTA(B3829:E3829)&lt;4,"⚠ กรอกไม่ครบ",IF(NOT(ISNUMBER(B3829)),"⚠ วันที่ไม่ถูกต้อง",IF(COUNTIFS(Setup!$L$6:$L$60,D3829,Setup!$M$6:$M$60,C3829)=0,"⚠ หมวดไม่ตรงประเภท","✓"))))</f>
        <v/>
      </c>
    </row>
    <row r="3830">
      <c r="B3830" s="113" t="n"/>
      <c r="C3830" s="114" t="n"/>
      <c r="D3830" s="115" t="n"/>
      <c r="E3830" s="116" t="n"/>
      <c r="F3830" s="115" t="n"/>
      <c r="G3830" s="117">
        <f>IF(COUNTA(B3830:E3830)=0,"",IF(COUNTA(B3830:E3830)&lt;4,"⚠ กรอกไม่ครบ",IF(NOT(ISNUMBER(B3830)),"⚠ วันที่ไม่ถูกต้อง",IF(COUNTIFS(Setup!$L$6:$L$60,D3830,Setup!$M$6:$M$60,C3830)=0,"⚠ หมวดไม่ตรงประเภท","✓"))))</f>
        <v/>
      </c>
    </row>
    <row r="3831">
      <c r="B3831" s="113" t="n"/>
      <c r="C3831" s="114" t="n"/>
      <c r="D3831" s="115" t="n"/>
      <c r="E3831" s="116" t="n"/>
      <c r="F3831" s="115" t="n"/>
      <c r="G3831" s="117">
        <f>IF(COUNTA(B3831:E3831)=0,"",IF(COUNTA(B3831:E3831)&lt;4,"⚠ กรอกไม่ครบ",IF(NOT(ISNUMBER(B3831)),"⚠ วันที่ไม่ถูกต้อง",IF(COUNTIFS(Setup!$L$6:$L$60,D3831,Setup!$M$6:$M$60,C3831)=0,"⚠ หมวดไม่ตรงประเภท","✓"))))</f>
        <v/>
      </c>
    </row>
    <row r="3832">
      <c r="B3832" s="113" t="n"/>
      <c r="C3832" s="114" t="n"/>
      <c r="D3832" s="115" t="n"/>
      <c r="E3832" s="116" t="n"/>
      <c r="F3832" s="115" t="n"/>
      <c r="G3832" s="117">
        <f>IF(COUNTA(B3832:E3832)=0,"",IF(COUNTA(B3832:E3832)&lt;4,"⚠ กรอกไม่ครบ",IF(NOT(ISNUMBER(B3832)),"⚠ วันที่ไม่ถูกต้อง",IF(COUNTIFS(Setup!$L$6:$L$60,D3832,Setup!$M$6:$M$60,C3832)=0,"⚠ หมวดไม่ตรงประเภท","✓"))))</f>
        <v/>
      </c>
    </row>
    <row r="3833">
      <c r="B3833" s="113" t="n"/>
      <c r="C3833" s="114" t="n"/>
      <c r="D3833" s="115" t="n"/>
      <c r="E3833" s="116" t="n"/>
      <c r="F3833" s="115" t="n"/>
      <c r="G3833" s="117">
        <f>IF(COUNTA(B3833:E3833)=0,"",IF(COUNTA(B3833:E3833)&lt;4,"⚠ กรอกไม่ครบ",IF(NOT(ISNUMBER(B3833)),"⚠ วันที่ไม่ถูกต้อง",IF(COUNTIFS(Setup!$L$6:$L$60,D3833,Setup!$M$6:$M$60,C3833)=0,"⚠ หมวดไม่ตรงประเภท","✓"))))</f>
        <v/>
      </c>
    </row>
    <row r="3834">
      <c r="B3834" s="113" t="n"/>
      <c r="C3834" s="114" t="n"/>
      <c r="D3834" s="115" t="n"/>
      <c r="E3834" s="116" t="n"/>
      <c r="F3834" s="115" t="n"/>
      <c r="G3834" s="117">
        <f>IF(COUNTA(B3834:E3834)=0,"",IF(COUNTA(B3834:E3834)&lt;4,"⚠ กรอกไม่ครบ",IF(NOT(ISNUMBER(B3834)),"⚠ วันที่ไม่ถูกต้อง",IF(COUNTIFS(Setup!$L$6:$L$60,D3834,Setup!$M$6:$M$60,C3834)=0,"⚠ หมวดไม่ตรงประเภท","✓"))))</f>
        <v/>
      </c>
    </row>
    <row r="3835">
      <c r="B3835" s="113" t="n"/>
      <c r="C3835" s="114" t="n"/>
      <c r="D3835" s="115" t="n"/>
      <c r="E3835" s="116" t="n"/>
      <c r="F3835" s="115" t="n"/>
      <c r="G3835" s="117">
        <f>IF(COUNTA(B3835:E3835)=0,"",IF(COUNTA(B3835:E3835)&lt;4,"⚠ กรอกไม่ครบ",IF(NOT(ISNUMBER(B3835)),"⚠ วันที่ไม่ถูกต้อง",IF(COUNTIFS(Setup!$L$6:$L$60,D3835,Setup!$M$6:$M$60,C3835)=0,"⚠ หมวดไม่ตรงประเภท","✓"))))</f>
        <v/>
      </c>
    </row>
    <row r="3836">
      <c r="B3836" s="113" t="n"/>
      <c r="C3836" s="114" t="n"/>
      <c r="D3836" s="115" t="n"/>
      <c r="E3836" s="116" t="n"/>
      <c r="F3836" s="115" t="n"/>
      <c r="G3836" s="117">
        <f>IF(COUNTA(B3836:E3836)=0,"",IF(COUNTA(B3836:E3836)&lt;4,"⚠ กรอกไม่ครบ",IF(NOT(ISNUMBER(B3836)),"⚠ วันที่ไม่ถูกต้อง",IF(COUNTIFS(Setup!$L$6:$L$60,D3836,Setup!$M$6:$M$60,C3836)=0,"⚠ หมวดไม่ตรงประเภท","✓"))))</f>
        <v/>
      </c>
    </row>
    <row r="3837">
      <c r="B3837" s="113" t="n"/>
      <c r="C3837" s="114" t="n"/>
      <c r="D3837" s="115" t="n"/>
      <c r="E3837" s="116" t="n"/>
      <c r="F3837" s="115" t="n"/>
      <c r="G3837" s="117">
        <f>IF(COUNTA(B3837:E3837)=0,"",IF(COUNTA(B3837:E3837)&lt;4,"⚠ กรอกไม่ครบ",IF(NOT(ISNUMBER(B3837)),"⚠ วันที่ไม่ถูกต้อง",IF(COUNTIFS(Setup!$L$6:$L$60,D3837,Setup!$M$6:$M$60,C3837)=0,"⚠ หมวดไม่ตรงประเภท","✓"))))</f>
        <v/>
      </c>
    </row>
    <row r="3838">
      <c r="B3838" s="113" t="n"/>
      <c r="C3838" s="114" t="n"/>
      <c r="D3838" s="115" t="n"/>
      <c r="E3838" s="116" t="n"/>
      <c r="F3838" s="115" t="n"/>
      <c r="G3838" s="117">
        <f>IF(COUNTA(B3838:E3838)=0,"",IF(COUNTA(B3838:E3838)&lt;4,"⚠ กรอกไม่ครบ",IF(NOT(ISNUMBER(B3838)),"⚠ วันที่ไม่ถูกต้อง",IF(COUNTIFS(Setup!$L$6:$L$60,D3838,Setup!$M$6:$M$60,C3838)=0,"⚠ หมวดไม่ตรงประเภท","✓"))))</f>
        <v/>
      </c>
    </row>
    <row r="3839">
      <c r="B3839" s="113" t="n"/>
      <c r="C3839" s="114" t="n"/>
      <c r="D3839" s="115" t="n"/>
      <c r="E3839" s="116" t="n"/>
      <c r="F3839" s="115" t="n"/>
      <c r="G3839" s="117">
        <f>IF(COUNTA(B3839:E3839)=0,"",IF(COUNTA(B3839:E3839)&lt;4,"⚠ กรอกไม่ครบ",IF(NOT(ISNUMBER(B3839)),"⚠ วันที่ไม่ถูกต้อง",IF(COUNTIFS(Setup!$L$6:$L$60,D3839,Setup!$M$6:$M$60,C3839)=0,"⚠ หมวดไม่ตรงประเภท","✓"))))</f>
        <v/>
      </c>
    </row>
    <row r="3840">
      <c r="B3840" s="113" t="n"/>
      <c r="C3840" s="114" t="n"/>
      <c r="D3840" s="115" t="n"/>
      <c r="E3840" s="116" t="n"/>
      <c r="F3840" s="115" t="n"/>
      <c r="G3840" s="117">
        <f>IF(COUNTA(B3840:E3840)=0,"",IF(COUNTA(B3840:E3840)&lt;4,"⚠ กรอกไม่ครบ",IF(NOT(ISNUMBER(B3840)),"⚠ วันที่ไม่ถูกต้อง",IF(COUNTIFS(Setup!$L$6:$L$60,D3840,Setup!$M$6:$M$60,C3840)=0,"⚠ หมวดไม่ตรงประเภท","✓"))))</f>
        <v/>
      </c>
    </row>
    <row r="3841">
      <c r="B3841" s="113" t="n"/>
      <c r="C3841" s="114" t="n"/>
      <c r="D3841" s="115" t="n"/>
      <c r="E3841" s="116" t="n"/>
      <c r="F3841" s="115" t="n"/>
      <c r="G3841" s="117">
        <f>IF(COUNTA(B3841:E3841)=0,"",IF(COUNTA(B3841:E3841)&lt;4,"⚠ กรอกไม่ครบ",IF(NOT(ISNUMBER(B3841)),"⚠ วันที่ไม่ถูกต้อง",IF(COUNTIFS(Setup!$L$6:$L$60,D3841,Setup!$M$6:$M$60,C3841)=0,"⚠ หมวดไม่ตรงประเภท","✓"))))</f>
        <v/>
      </c>
    </row>
    <row r="3842">
      <c r="B3842" s="113" t="n"/>
      <c r="C3842" s="114" t="n"/>
      <c r="D3842" s="115" t="n"/>
      <c r="E3842" s="116" t="n"/>
      <c r="F3842" s="115" t="n"/>
      <c r="G3842" s="117">
        <f>IF(COUNTA(B3842:E3842)=0,"",IF(COUNTA(B3842:E3842)&lt;4,"⚠ กรอกไม่ครบ",IF(NOT(ISNUMBER(B3842)),"⚠ วันที่ไม่ถูกต้อง",IF(COUNTIFS(Setup!$L$6:$L$60,D3842,Setup!$M$6:$M$60,C3842)=0,"⚠ หมวดไม่ตรงประเภท","✓"))))</f>
        <v/>
      </c>
    </row>
    <row r="3843">
      <c r="B3843" s="113" t="n"/>
      <c r="C3843" s="114" t="n"/>
      <c r="D3843" s="115" t="n"/>
      <c r="E3843" s="116" t="n"/>
      <c r="F3843" s="115" t="n"/>
      <c r="G3843" s="117">
        <f>IF(COUNTA(B3843:E3843)=0,"",IF(COUNTA(B3843:E3843)&lt;4,"⚠ กรอกไม่ครบ",IF(NOT(ISNUMBER(B3843)),"⚠ วันที่ไม่ถูกต้อง",IF(COUNTIFS(Setup!$L$6:$L$60,D3843,Setup!$M$6:$M$60,C3843)=0,"⚠ หมวดไม่ตรงประเภท","✓"))))</f>
        <v/>
      </c>
    </row>
    <row r="3844">
      <c r="B3844" s="113" t="n"/>
      <c r="C3844" s="114" t="n"/>
      <c r="D3844" s="115" t="n"/>
      <c r="E3844" s="116" t="n"/>
      <c r="F3844" s="115" t="n"/>
      <c r="G3844" s="117">
        <f>IF(COUNTA(B3844:E3844)=0,"",IF(COUNTA(B3844:E3844)&lt;4,"⚠ กรอกไม่ครบ",IF(NOT(ISNUMBER(B3844)),"⚠ วันที่ไม่ถูกต้อง",IF(COUNTIFS(Setup!$L$6:$L$60,D3844,Setup!$M$6:$M$60,C3844)=0,"⚠ หมวดไม่ตรงประเภท","✓"))))</f>
        <v/>
      </c>
    </row>
    <row r="3845">
      <c r="B3845" s="113" t="n"/>
      <c r="C3845" s="114" t="n"/>
      <c r="D3845" s="115" t="n"/>
      <c r="E3845" s="116" t="n"/>
      <c r="F3845" s="115" t="n"/>
      <c r="G3845" s="117">
        <f>IF(COUNTA(B3845:E3845)=0,"",IF(COUNTA(B3845:E3845)&lt;4,"⚠ กรอกไม่ครบ",IF(NOT(ISNUMBER(B3845)),"⚠ วันที่ไม่ถูกต้อง",IF(COUNTIFS(Setup!$L$6:$L$60,D3845,Setup!$M$6:$M$60,C3845)=0,"⚠ หมวดไม่ตรงประเภท","✓"))))</f>
        <v/>
      </c>
    </row>
    <row r="3846">
      <c r="B3846" s="113" t="n"/>
      <c r="C3846" s="114" t="n"/>
      <c r="D3846" s="115" t="n"/>
      <c r="E3846" s="116" t="n"/>
      <c r="F3846" s="115" t="n"/>
      <c r="G3846" s="117">
        <f>IF(COUNTA(B3846:E3846)=0,"",IF(COUNTA(B3846:E3846)&lt;4,"⚠ กรอกไม่ครบ",IF(NOT(ISNUMBER(B3846)),"⚠ วันที่ไม่ถูกต้อง",IF(COUNTIFS(Setup!$L$6:$L$60,D3846,Setup!$M$6:$M$60,C3846)=0,"⚠ หมวดไม่ตรงประเภท","✓"))))</f>
        <v/>
      </c>
    </row>
    <row r="3847">
      <c r="B3847" s="113" t="n"/>
      <c r="C3847" s="114" t="n"/>
      <c r="D3847" s="115" t="n"/>
      <c r="E3847" s="116" t="n"/>
      <c r="F3847" s="115" t="n"/>
      <c r="G3847" s="117">
        <f>IF(COUNTA(B3847:E3847)=0,"",IF(COUNTA(B3847:E3847)&lt;4,"⚠ กรอกไม่ครบ",IF(NOT(ISNUMBER(B3847)),"⚠ วันที่ไม่ถูกต้อง",IF(COUNTIFS(Setup!$L$6:$L$60,D3847,Setup!$M$6:$M$60,C3847)=0,"⚠ หมวดไม่ตรงประเภท","✓"))))</f>
        <v/>
      </c>
    </row>
    <row r="3848">
      <c r="B3848" s="113" t="n"/>
      <c r="C3848" s="114" t="n"/>
      <c r="D3848" s="115" t="n"/>
      <c r="E3848" s="116" t="n"/>
      <c r="F3848" s="115" t="n"/>
      <c r="G3848" s="117">
        <f>IF(COUNTA(B3848:E3848)=0,"",IF(COUNTA(B3848:E3848)&lt;4,"⚠ กรอกไม่ครบ",IF(NOT(ISNUMBER(B3848)),"⚠ วันที่ไม่ถูกต้อง",IF(COUNTIFS(Setup!$L$6:$L$60,D3848,Setup!$M$6:$M$60,C3848)=0,"⚠ หมวดไม่ตรงประเภท","✓"))))</f>
        <v/>
      </c>
    </row>
    <row r="3849">
      <c r="B3849" s="113" t="n"/>
      <c r="C3849" s="114" t="n"/>
      <c r="D3849" s="115" t="n"/>
      <c r="E3849" s="116" t="n"/>
      <c r="F3849" s="115" t="n"/>
      <c r="G3849" s="117">
        <f>IF(COUNTA(B3849:E3849)=0,"",IF(COUNTA(B3849:E3849)&lt;4,"⚠ กรอกไม่ครบ",IF(NOT(ISNUMBER(B3849)),"⚠ วันที่ไม่ถูกต้อง",IF(COUNTIFS(Setup!$L$6:$L$60,D3849,Setup!$M$6:$M$60,C3849)=0,"⚠ หมวดไม่ตรงประเภท","✓"))))</f>
        <v/>
      </c>
    </row>
    <row r="3850">
      <c r="B3850" s="113" t="n"/>
      <c r="C3850" s="114" t="n"/>
      <c r="D3850" s="115" t="n"/>
      <c r="E3850" s="116" t="n"/>
      <c r="F3850" s="115" t="n"/>
      <c r="G3850" s="117">
        <f>IF(COUNTA(B3850:E3850)=0,"",IF(COUNTA(B3850:E3850)&lt;4,"⚠ กรอกไม่ครบ",IF(NOT(ISNUMBER(B3850)),"⚠ วันที่ไม่ถูกต้อง",IF(COUNTIFS(Setup!$L$6:$L$60,D3850,Setup!$M$6:$M$60,C3850)=0,"⚠ หมวดไม่ตรงประเภท","✓"))))</f>
        <v/>
      </c>
    </row>
    <row r="3851">
      <c r="B3851" s="113" t="n"/>
      <c r="C3851" s="114" t="n"/>
      <c r="D3851" s="115" t="n"/>
      <c r="E3851" s="116" t="n"/>
      <c r="F3851" s="115" t="n"/>
      <c r="G3851" s="117">
        <f>IF(COUNTA(B3851:E3851)=0,"",IF(COUNTA(B3851:E3851)&lt;4,"⚠ กรอกไม่ครบ",IF(NOT(ISNUMBER(B3851)),"⚠ วันที่ไม่ถูกต้อง",IF(COUNTIFS(Setup!$L$6:$L$60,D3851,Setup!$M$6:$M$60,C3851)=0,"⚠ หมวดไม่ตรงประเภท","✓"))))</f>
        <v/>
      </c>
    </row>
    <row r="3852">
      <c r="B3852" s="113" t="n"/>
      <c r="C3852" s="114" t="n"/>
      <c r="D3852" s="115" t="n"/>
      <c r="E3852" s="116" t="n"/>
      <c r="F3852" s="115" t="n"/>
      <c r="G3852" s="117">
        <f>IF(COUNTA(B3852:E3852)=0,"",IF(COUNTA(B3852:E3852)&lt;4,"⚠ กรอกไม่ครบ",IF(NOT(ISNUMBER(B3852)),"⚠ วันที่ไม่ถูกต้อง",IF(COUNTIFS(Setup!$L$6:$L$60,D3852,Setup!$M$6:$M$60,C3852)=0,"⚠ หมวดไม่ตรงประเภท","✓"))))</f>
        <v/>
      </c>
    </row>
    <row r="3853">
      <c r="B3853" s="113" t="n"/>
      <c r="C3853" s="114" t="n"/>
      <c r="D3853" s="115" t="n"/>
      <c r="E3853" s="116" t="n"/>
      <c r="F3853" s="115" t="n"/>
      <c r="G3853" s="117">
        <f>IF(COUNTA(B3853:E3853)=0,"",IF(COUNTA(B3853:E3853)&lt;4,"⚠ กรอกไม่ครบ",IF(NOT(ISNUMBER(B3853)),"⚠ วันที่ไม่ถูกต้อง",IF(COUNTIFS(Setup!$L$6:$L$60,D3853,Setup!$M$6:$M$60,C3853)=0,"⚠ หมวดไม่ตรงประเภท","✓"))))</f>
        <v/>
      </c>
    </row>
    <row r="3854">
      <c r="B3854" s="113" t="n"/>
      <c r="C3854" s="114" t="n"/>
      <c r="D3854" s="115" t="n"/>
      <c r="E3854" s="116" t="n"/>
      <c r="F3854" s="115" t="n"/>
      <c r="G3854" s="117">
        <f>IF(COUNTA(B3854:E3854)=0,"",IF(COUNTA(B3854:E3854)&lt;4,"⚠ กรอกไม่ครบ",IF(NOT(ISNUMBER(B3854)),"⚠ วันที่ไม่ถูกต้อง",IF(COUNTIFS(Setup!$L$6:$L$60,D3854,Setup!$M$6:$M$60,C3854)=0,"⚠ หมวดไม่ตรงประเภท","✓"))))</f>
        <v/>
      </c>
    </row>
    <row r="3855">
      <c r="B3855" s="113" t="n"/>
      <c r="C3855" s="114" t="n"/>
      <c r="D3855" s="115" t="n"/>
      <c r="E3855" s="116" t="n"/>
      <c r="F3855" s="115" t="n"/>
      <c r="G3855" s="117">
        <f>IF(COUNTA(B3855:E3855)=0,"",IF(COUNTA(B3855:E3855)&lt;4,"⚠ กรอกไม่ครบ",IF(NOT(ISNUMBER(B3855)),"⚠ วันที่ไม่ถูกต้อง",IF(COUNTIFS(Setup!$L$6:$L$60,D3855,Setup!$M$6:$M$60,C3855)=0,"⚠ หมวดไม่ตรงประเภท","✓"))))</f>
        <v/>
      </c>
    </row>
    <row r="3856">
      <c r="B3856" s="113" t="n"/>
      <c r="C3856" s="114" t="n"/>
      <c r="D3856" s="115" t="n"/>
      <c r="E3856" s="116" t="n"/>
      <c r="F3856" s="115" t="n"/>
      <c r="G3856" s="117">
        <f>IF(COUNTA(B3856:E3856)=0,"",IF(COUNTA(B3856:E3856)&lt;4,"⚠ กรอกไม่ครบ",IF(NOT(ISNUMBER(B3856)),"⚠ วันที่ไม่ถูกต้อง",IF(COUNTIFS(Setup!$L$6:$L$60,D3856,Setup!$M$6:$M$60,C3856)=0,"⚠ หมวดไม่ตรงประเภท","✓"))))</f>
        <v/>
      </c>
    </row>
    <row r="3857">
      <c r="B3857" s="113" t="n"/>
      <c r="C3857" s="114" t="n"/>
      <c r="D3857" s="115" t="n"/>
      <c r="E3857" s="116" t="n"/>
      <c r="F3857" s="115" t="n"/>
      <c r="G3857" s="117">
        <f>IF(COUNTA(B3857:E3857)=0,"",IF(COUNTA(B3857:E3857)&lt;4,"⚠ กรอกไม่ครบ",IF(NOT(ISNUMBER(B3857)),"⚠ วันที่ไม่ถูกต้อง",IF(COUNTIFS(Setup!$L$6:$L$60,D3857,Setup!$M$6:$M$60,C3857)=0,"⚠ หมวดไม่ตรงประเภท","✓"))))</f>
        <v/>
      </c>
    </row>
    <row r="3858">
      <c r="B3858" s="113" t="n"/>
      <c r="C3858" s="114" t="n"/>
      <c r="D3858" s="115" t="n"/>
      <c r="E3858" s="116" t="n"/>
      <c r="F3858" s="115" t="n"/>
      <c r="G3858" s="117">
        <f>IF(COUNTA(B3858:E3858)=0,"",IF(COUNTA(B3858:E3858)&lt;4,"⚠ กรอกไม่ครบ",IF(NOT(ISNUMBER(B3858)),"⚠ วันที่ไม่ถูกต้อง",IF(COUNTIFS(Setup!$L$6:$L$60,D3858,Setup!$M$6:$M$60,C3858)=0,"⚠ หมวดไม่ตรงประเภท","✓"))))</f>
        <v/>
      </c>
    </row>
    <row r="3859">
      <c r="B3859" s="113" t="n"/>
      <c r="C3859" s="114" t="n"/>
      <c r="D3859" s="115" t="n"/>
      <c r="E3859" s="116" t="n"/>
      <c r="F3859" s="115" t="n"/>
      <c r="G3859" s="117">
        <f>IF(COUNTA(B3859:E3859)=0,"",IF(COUNTA(B3859:E3859)&lt;4,"⚠ กรอกไม่ครบ",IF(NOT(ISNUMBER(B3859)),"⚠ วันที่ไม่ถูกต้อง",IF(COUNTIFS(Setup!$L$6:$L$60,D3859,Setup!$M$6:$M$60,C3859)=0,"⚠ หมวดไม่ตรงประเภท","✓"))))</f>
        <v/>
      </c>
    </row>
    <row r="3860">
      <c r="B3860" s="113" t="n"/>
      <c r="C3860" s="114" t="n"/>
      <c r="D3860" s="115" t="n"/>
      <c r="E3860" s="116" t="n"/>
      <c r="F3860" s="115" t="n"/>
      <c r="G3860" s="117">
        <f>IF(COUNTA(B3860:E3860)=0,"",IF(COUNTA(B3860:E3860)&lt;4,"⚠ กรอกไม่ครบ",IF(NOT(ISNUMBER(B3860)),"⚠ วันที่ไม่ถูกต้อง",IF(COUNTIFS(Setup!$L$6:$L$60,D3860,Setup!$M$6:$M$60,C3860)=0,"⚠ หมวดไม่ตรงประเภท","✓"))))</f>
        <v/>
      </c>
    </row>
    <row r="3861">
      <c r="B3861" s="113" t="n"/>
      <c r="C3861" s="114" t="n"/>
      <c r="D3861" s="115" t="n"/>
      <c r="E3861" s="116" t="n"/>
      <c r="F3861" s="115" t="n"/>
      <c r="G3861" s="117">
        <f>IF(COUNTA(B3861:E3861)=0,"",IF(COUNTA(B3861:E3861)&lt;4,"⚠ กรอกไม่ครบ",IF(NOT(ISNUMBER(B3861)),"⚠ วันที่ไม่ถูกต้อง",IF(COUNTIFS(Setup!$L$6:$L$60,D3861,Setup!$M$6:$M$60,C3861)=0,"⚠ หมวดไม่ตรงประเภท","✓"))))</f>
        <v/>
      </c>
    </row>
    <row r="3862">
      <c r="B3862" s="113" t="n"/>
      <c r="C3862" s="114" t="n"/>
      <c r="D3862" s="115" t="n"/>
      <c r="E3862" s="116" t="n"/>
      <c r="F3862" s="115" t="n"/>
      <c r="G3862" s="117">
        <f>IF(COUNTA(B3862:E3862)=0,"",IF(COUNTA(B3862:E3862)&lt;4,"⚠ กรอกไม่ครบ",IF(NOT(ISNUMBER(B3862)),"⚠ วันที่ไม่ถูกต้อง",IF(COUNTIFS(Setup!$L$6:$L$60,D3862,Setup!$M$6:$M$60,C3862)=0,"⚠ หมวดไม่ตรงประเภท","✓"))))</f>
        <v/>
      </c>
    </row>
    <row r="3863">
      <c r="B3863" s="113" t="n"/>
      <c r="C3863" s="114" t="n"/>
      <c r="D3863" s="115" t="n"/>
      <c r="E3863" s="116" t="n"/>
      <c r="F3863" s="115" t="n"/>
      <c r="G3863" s="117">
        <f>IF(COUNTA(B3863:E3863)=0,"",IF(COUNTA(B3863:E3863)&lt;4,"⚠ กรอกไม่ครบ",IF(NOT(ISNUMBER(B3863)),"⚠ วันที่ไม่ถูกต้อง",IF(COUNTIFS(Setup!$L$6:$L$60,D3863,Setup!$M$6:$M$60,C3863)=0,"⚠ หมวดไม่ตรงประเภท","✓"))))</f>
        <v/>
      </c>
    </row>
    <row r="3864">
      <c r="B3864" s="113" t="n"/>
      <c r="C3864" s="114" t="n"/>
      <c r="D3864" s="115" t="n"/>
      <c r="E3864" s="116" t="n"/>
      <c r="F3864" s="115" t="n"/>
      <c r="G3864" s="117">
        <f>IF(COUNTA(B3864:E3864)=0,"",IF(COUNTA(B3864:E3864)&lt;4,"⚠ กรอกไม่ครบ",IF(NOT(ISNUMBER(B3864)),"⚠ วันที่ไม่ถูกต้อง",IF(COUNTIFS(Setup!$L$6:$L$60,D3864,Setup!$M$6:$M$60,C3864)=0,"⚠ หมวดไม่ตรงประเภท","✓"))))</f>
        <v/>
      </c>
    </row>
    <row r="3865">
      <c r="B3865" s="113" t="n"/>
      <c r="C3865" s="114" t="n"/>
      <c r="D3865" s="115" t="n"/>
      <c r="E3865" s="116" t="n"/>
      <c r="F3865" s="115" t="n"/>
      <c r="G3865" s="117">
        <f>IF(COUNTA(B3865:E3865)=0,"",IF(COUNTA(B3865:E3865)&lt;4,"⚠ กรอกไม่ครบ",IF(NOT(ISNUMBER(B3865)),"⚠ วันที่ไม่ถูกต้อง",IF(COUNTIFS(Setup!$L$6:$L$60,D3865,Setup!$M$6:$M$60,C3865)=0,"⚠ หมวดไม่ตรงประเภท","✓"))))</f>
        <v/>
      </c>
    </row>
    <row r="3866">
      <c r="B3866" s="113" t="n"/>
      <c r="C3866" s="114" t="n"/>
      <c r="D3866" s="115" t="n"/>
      <c r="E3866" s="116" t="n"/>
      <c r="F3866" s="115" t="n"/>
      <c r="G3866" s="117">
        <f>IF(COUNTA(B3866:E3866)=0,"",IF(COUNTA(B3866:E3866)&lt;4,"⚠ กรอกไม่ครบ",IF(NOT(ISNUMBER(B3866)),"⚠ วันที่ไม่ถูกต้อง",IF(COUNTIFS(Setup!$L$6:$L$60,D3866,Setup!$M$6:$M$60,C3866)=0,"⚠ หมวดไม่ตรงประเภท","✓"))))</f>
        <v/>
      </c>
    </row>
    <row r="3867">
      <c r="B3867" s="113" t="n"/>
      <c r="C3867" s="114" t="n"/>
      <c r="D3867" s="115" t="n"/>
      <c r="E3867" s="116" t="n"/>
      <c r="F3867" s="115" t="n"/>
      <c r="G3867" s="117">
        <f>IF(COUNTA(B3867:E3867)=0,"",IF(COUNTA(B3867:E3867)&lt;4,"⚠ กรอกไม่ครบ",IF(NOT(ISNUMBER(B3867)),"⚠ วันที่ไม่ถูกต้อง",IF(COUNTIFS(Setup!$L$6:$L$60,D3867,Setup!$M$6:$M$60,C3867)=0,"⚠ หมวดไม่ตรงประเภท","✓"))))</f>
        <v/>
      </c>
    </row>
    <row r="3868">
      <c r="B3868" s="113" t="n"/>
      <c r="C3868" s="114" t="n"/>
      <c r="D3868" s="115" t="n"/>
      <c r="E3868" s="116" t="n"/>
      <c r="F3868" s="115" t="n"/>
      <c r="G3868" s="117">
        <f>IF(COUNTA(B3868:E3868)=0,"",IF(COUNTA(B3868:E3868)&lt;4,"⚠ กรอกไม่ครบ",IF(NOT(ISNUMBER(B3868)),"⚠ วันที่ไม่ถูกต้อง",IF(COUNTIFS(Setup!$L$6:$L$60,D3868,Setup!$M$6:$M$60,C3868)=0,"⚠ หมวดไม่ตรงประเภท","✓"))))</f>
        <v/>
      </c>
    </row>
    <row r="3869">
      <c r="B3869" s="113" t="n"/>
      <c r="C3869" s="114" t="n"/>
      <c r="D3869" s="115" t="n"/>
      <c r="E3869" s="116" t="n"/>
      <c r="F3869" s="115" t="n"/>
      <c r="G3869" s="117">
        <f>IF(COUNTA(B3869:E3869)=0,"",IF(COUNTA(B3869:E3869)&lt;4,"⚠ กรอกไม่ครบ",IF(NOT(ISNUMBER(B3869)),"⚠ วันที่ไม่ถูกต้อง",IF(COUNTIFS(Setup!$L$6:$L$60,D3869,Setup!$M$6:$M$60,C3869)=0,"⚠ หมวดไม่ตรงประเภท","✓"))))</f>
        <v/>
      </c>
    </row>
    <row r="3870">
      <c r="B3870" s="113" t="n"/>
      <c r="C3870" s="114" t="n"/>
      <c r="D3870" s="115" t="n"/>
      <c r="E3870" s="116" t="n"/>
      <c r="F3870" s="115" t="n"/>
      <c r="G3870" s="117">
        <f>IF(COUNTA(B3870:E3870)=0,"",IF(COUNTA(B3870:E3870)&lt;4,"⚠ กรอกไม่ครบ",IF(NOT(ISNUMBER(B3870)),"⚠ วันที่ไม่ถูกต้อง",IF(COUNTIFS(Setup!$L$6:$L$60,D3870,Setup!$M$6:$M$60,C3870)=0,"⚠ หมวดไม่ตรงประเภท","✓"))))</f>
        <v/>
      </c>
    </row>
    <row r="3871">
      <c r="B3871" s="113" t="n"/>
      <c r="C3871" s="114" t="n"/>
      <c r="D3871" s="115" t="n"/>
      <c r="E3871" s="116" t="n"/>
      <c r="F3871" s="115" t="n"/>
      <c r="G3871" s="117">
        <f>IF(COUNTA(B3871:E3871)=0,"",IF(COUNTA(B3871:E3871)&lt;4,"⚠ กรอกไม่ครบ",IF(NOT(ISNUMBER(B3871)),"⚠ วันที่ไม่ถูกต้อง",IF(COUNTIFS(Setup!$L$6:$L$60,D3871,Setup!$M$6:$M$60,C3871)=0,"⚠ หมวดไม่ตรงประเภท","✓"))))</f>
        <v/>
      </c>
    </row>
    <row r="3872">
      <c r="B3872" s="113" t="n"/>
      <c r="C3872" s="114" t="n"/>
      <c r="D3872" s="115" t="n"/>
      <c r="E3872" s="116" t="n"/>
      <c r="F3872" s="115" t="n"/>
      <c r="G3872" s="117">
        <f>IF(COUNTA(B3872:E3872)=0,"",IF(COUNTA(B3872:E3872)&lt;4,"⚠ กรอกไม่ครบ",IF(NOT(ISNUMBER(B3872)),"⚠ วันที่ไม่ถูกต้อง",IF(COUNTIFS(Setup!$L$6:$L$60,D3872,Setup!$M$6:$M$60,C3872)=0,"⚠ หมวดไม่ตรงประเภท","✓"))))</f>
        <v/>
      </c>
    </row>
    <row r="3873">
      <c r="B3873" s="113" t="n"/>
      <c r="C3873" s="114" t="n"/>
      <c r="D3873" s="115" t="n"/>
      <c r="E3873" s="116" t="n"/>
      <c r="F3873" s="115" t="n"/>
      <c r="G3873" s="117">
        <f>IF(COUNTA(B3873:E3873)=0,"",IF(COUNTA(B3873:E3873)&lt;4,"⚠ กรอกไม่ครบ",IF(NOT(ISNUMBER(B3873)),"⚠ วันที่ไม่ถูกต้อง",IF(COUNTIFS(Setup!$L$6:$L$60,D3873,Setup!$M$6:$M$60,C3873)=0,"⚠ หมวดไม่ตรงประเภท","✓"))))</f>
        <v/>
      </c>
    </row>
    <row r="3874">
      <c r="B3874" s="113" t="n"/>
      <c r="C3874" s="114" t="n"/>
      <c r="D3874" s="115" t="n"/>
      <c r="E3874" s="116" t="n"/>
      <c r="F3874" s="115" t="n"/>
      <c r="G3874" s="117">
        <f>IF(COUNTA(B3874:E3874)=0,"",IF(COUNTA(B3874:E3874)&lt;4,"⚠ กรอกไม่ครบ",IF(NOT(ISNUMBER(B3874)),"⚠ วันที่ไม่ถูกต้อง",IF(COUNTIFS(Setup!$L$6:$L$60,D3874,Setup!$M$6:$M$60,C3874)=0,"⚠ หมวดไม่ตรงประเภท","✓"))))</f>
        <v/>
      </c>
    </row>
    <row r="3875">
      <c r="B3875" s="113" t="n"/>
      <c r="C3875" s="114" t="n"/>
      <c r="D3875" s="115" t="n"/>
      <c r="E3875" s="116" t="n"/>
      <c r="F3875" s="115" t="n"/>
      <c r="G3875" s="117">
        <f>IF(COUNTA(B3875:E3875)=0,"",IF(COUNTA(B3875:E3875)&lt;4,"⚠ กรอกไม่ครบ",IF(NOT(ISNUMBER(B3875)),"⚠ วันที่ไม่ถูกต้อง",IF(COUNTIFS(Setup!$L$6:$L$60,D3875,Setup!$M$6:$M$60,C3875)=0,"⚠ หมวดไม่ตรงประเภท","✓"))))</f>
        <v/>
      </c>
    </row>
    <row r="3876">
      <c r="B3876" s="113" t="n"/>
      <c r="C3876" s="114" t="n"/>
      <c r="D3876" s="115" t="n"/>
      <c r="E3876" s="116" t="n"/>
      <c r="F3876" s="115" t="n"/>
      <c r="G3876" s="117">
        <f>IF(COUNTA(B3876:E3876)=0,"",IF(COUNTA(B3876:E3876)&lt;4,"⚠ กรอกไม่ครบ",IF(NOT(ISNUMBER(B3876)),"⚠ วันที่ไม่ถูกต้อง",IF(COUNTIFS(Setup!$L$6:$L$60,D3876,Setup!$M$6:$M$60,C3876)=0,"⚠ หมวดไม่ตรงประเภท","✓"))))</f>
        <v/>
      </c>
    </row>
    <row r="3877">
      <c r="B3877" s="113" t="n"/>
      <c r="C3877" s="114" t="n"/>
      <c r="D3877" s="115" t="n"/>
      <c r="E3877" s="116" t="n"/>
      <c r="F3877" s="115" t="n"/>
      <c r="G3877" s="117">
        <f>IF(COUNTA(B3877:E3877)=0,"",IF(COUNTA(B3877:E3877)&lt;4,"⚠ กรอกไม่ครบ",IF(NOT(ISNUMBER(B3877)),"⚠ วันที่ไม่ถูกต้อง",IF(COUNTIFS(Setup!$L$6:$L$60,D3877,Setup!$M$6:$M$60,C3877)=0,"⚠ หมวดไม่ตรงประเภท","✓"))))</f>
        <v/>
      </c>
    </row>
    <row r="3878">
      <c r="B3878" s="113" t="n"/>
      <c r="C3878" s="114" t="n"/>
      <c r="D3878" s="115" t="n"/>
      <c r="E3878" s="116" t="n"/>
      <c r="F3878" s="115" t="n"/>
      <c r="G3878" s="117">
        <f>IF(COUNTA(B3878:E3878)=0,"",IF(COUNTA(B3878:E3878)&lt;4,"⚠ กรอกไม่ครบ",IF(NOT(ISNUMBER(B3878)),"⚠ วันที่ไม่ถูกต้อง",IF(COUNTIFS(Setup!$L$6:$L$60,D3878,Setup!$M$6:$M$60,C3878)=0,"⚠ หมวดไม่ตรงประเภท","✓"))))</f>
        <v/>
      </c>
    </row>
    <row r="3879">
      <c r="B3879" s="113" t="n"/>
      <c r="C3879" s="114" t="n"/>
      <c r="D3879" s="115" t="n"/>
      <c r="E3879" s="116" t="n"/>
      <c r="F3879" s="115" t="n"/>
      <c r="G3879" s="117">
        <f>IF(COUNTA(B3879:E3879)=0,"",IF(COUNTA(B3879:E3879)&lt;4,"⚠ กรอกไม่ครบ",IF(NOT(ISNUMBER(B3879)),"⚠ วันที่ไม่ถูกต้อง",IF(COUNTIFS(Setup!$L$6:$L$60,D3879,Setup!$M$6:$M$60,C3879)=0,"⚠ หมวดไม่ตรงประเภท","✓"))))</f>
        <v/>
      </c>
    </row>
    <row r="3880">
      <c r="B3880" s="113" t="n"/>
      <c r="C3880" s="114" t="n"/>
      <c r="D3880" s="115" t="n"/>
      <c r="E3880" s="116" t="n"/>
      <c r="F3880" s="115" t="n"/>
      <c r="G3880" s="117">
        <f>IF(COUNTA(B3880:E3880)=0,"",IF(COUNTA(B3880:E3880)&lt;4,"⚠ กรอกไม่ครบ",IF(NOT(ISNUMBER(B3880)),"⚠ วันที่ไม่ถูกต้อง",IF(COUNTIFS(Setup!$L$6:$L$60,D3880,Setup!$M$6:$M$60,C3880)=0,"⚠ หมวดไม่ตรงประเภท","✓"))))</f>
        <v/>
      </c>
    </row>
    <row r="3881">
      <c r="B3881" s="113" t="n"/>
      <c r="C3881" s="114" t="n"/>
      <c r="D3881" s="115" t="n"/>
      <c r="E3881" s="116" t="n"/>
      <c r="F3881" s="115" t="n"/>
      <c r="G3881" s="117">
        <f>IF(COUNTA(B3881:E3881)=0,"",IF(COUNTA(B3881:E3881)&lt;4,"⚠ กรอกไม่ครบ",IF(NOT(ISNUMBER(B3881)),"⚠ วันที่ไม่ถูกต้อง",IF(COUNTIFS(Setup!$L$6:$L$60,D3881,Setup!$M$6:$M$60,C3881)=0,"⚠ หมวดไม่ตรงประเภท","✓"))))</f>
        <v/>
      </c>
    </row>
    <row r="3882">
      <c r="B3882" s="113" t="n"/>
      <c r="C3882" s="114" t="n"/>
      <c r="D3882" s="115" t="n"/>
      <c r="E3882" s="116" t="n"/>
      <c r="F3882" s="115" t="n"/>
      <c r="G3882" s="117">
        <f>IF(COUNTA(B3882:E3882)=0,"",IF(COUNTA(B3882:E3882)&lt;4,"⚠ กรอกไม่ครบ",IF(NOT(ISNUMBER(B3882)),"⚠ วันที่ไม่ถูกต้อง",IF(COUNTIFS(Setup!$L$6:$L$60,D3882,Setup!$M$6:$M$60,C3882)=0,"⚠ หมวดไม่ตรงประเภท","✓"))))</f>
        <v/>
      </c>
    </row>
    <row r="3883">
      <c r="B3883" s="113" t="n"/>
      <c r="C3883" s="114" t="n"/>
      <c r="D3883" s="115" t="n"/>
      <c r="E3883" s="116" t="n"/>
      <c r="F3883" s="115" t="n"/>
      <c r="G3883" s="117">
        <f>IF(COUNTA(B3883:E3883)=0,"",IF(COUNTA(B3883:E3883)&lt;4,"⚠ กรอกไม่ครบ",IF(NOT(ISNUMBER(B3883)),"⚠ วันที่ไม่ถูกต้อง",IF(COUNTIFS(Setup!$L$6:$L$60,D3883,Setup!$M$6:$M$60,C3883)=0,"⚠ หมวดไม่ตรงประเภท","✓"))))</f>
        <v/>
      </c>
    </row>
    <row r="3884">
      <c r="B3884" s="113" t="n"/>
      <c r="C3884" s="114" t="n"/>
      <c r="D3884" s="115" t="n"/>
      <c r="E3884" s="116" t="n"/>
      <c r="F3884" s="115" t="n"/>
      <c r="G3884" s="117">
        <f>IF(COUNTA(B3884:E3884)=0,"",IF(COUNTA(B3884:E3884)&lt;4,"⚠ กรอกไม่ครบ",IF(NOT(ISNUMBER(B3884)),"⚠ วันที่ไม่ถูกต้อง",IF(COUNTIFS(Setup!$L$6:$L$60,D3884,Setup!$M$6:$M$60,C3884)=0,"⚠ หมวดไม่ตรงประเภท","✓"))))</f>
        <v/>
      </c>
    </row>
    <row r="3885">
      <c r="B3885" s="113" t="n"/>
      <c r="C3885" s="114" t="n"/>
      <c r="D3885" s="115" t="n"/>
      <c r="E3885" s="116" t="n"/>
      <c r="F3885" s="115" t="n"/>
      <c r="G3885" s="117">
        <f>IF(COUNTA(B3885:E3885)=0,"",IF(COUNTA(B3885:E3885)&lt;4,"⚠ กรอกไม่ครบ",IF(NOT(ISNUMBER(B3885)),"⚠ วันที่ไม่ถูกต้อง",IF(COUNTIFS(Setup!$L$6:$L$60,D3885,Setup!$M$6:$M$60,C3885)=0,"⚠ หมวดไม่ตรงประเภท","✓"))))</f>
        <v/>
      </c>
    </row>
    <row r="3886">
      <c r="B3886" s="113" t="n"/>
      <c r="C3886" s="114" t="n"/>
      <c r="D3886" s="115" t="n"/>
      <c r="E3886" s="116" t="n"/>
      <c r="F3886" s="115" t="n"/>
      <c r="G3886" s="117">
        <f>IF(COUNTA(B3886:E3886)=0,"",IF(COUNTA(B3886:E3886)&lt;4,"⚠ กรอกไม่ครบ",IF(NOT(ISNUMBER(B3886)),"⚠ วันที่ไม่ถูกต้อง",IF(COUNTIFS(Setup!$L$6:$L$60,D3886,Setup!$M$6:$M$60,C3886)=0,"⚠ หมวดไม่ตรงประเภท","✓"))))</f>
        <v/>
      </c>
    </row>
    <row r="3887">
      <c r="B3887" s="113" t="n"/>
      <c r="C3887" s="114" t="n"/>
      <c r="D3887" s="115" t="n"/>
      <c r="E3887" s="116" t="n"/>
      <c r="F3887" s="115" t="n"/>
      <c r="G3887" s="117">
        <f>IF(COUNTA(B3887:E3887)=0,"",IF(COUNTA(B3887:E3887)&lt;4,"⚠ กรอกไม่ครบ",IF(NOT(ISNUMBER(B3887)),"⚠ วันที่ไม่ถูกต้อง",IF(COUNTIFS(Setup!$L$6:$L$60,D3887,Setup!$M$6:$M$60,C3887)=0,"⚠ หมวดไม่ตรงประเภท","✓"))))</f>
        <v/>
      </c>
    </row>
    <row r="3888">
      <c r="B3888" s="113" t="n"/>
      <c r="C3888" s="114" t="n"/>
      <c r="D3888" s="115" t="n"/>
      <c r="E3888" s="116" t="n"/>
      <c r="F3888" s="115" t="n"/>
      <c r="G3888" s="117">
        <f>IF(COUNTA(B3888:E3888)=0,"",IF(COUNTA(B3888:E3888)&lt;4,"⚠ กรอกไม่ครบ",IF(NOT(ISNUMBER(B3888)),"⚠ วันที่ไม่ถูกต้อง",IF(COUNTIFS(Setup!$L$6:$L$60,D3888,Setup!$M$6:$M$60,C3888)=0,"⚠ หมวดไม่ตรงประเภท","✓"))))</f>
        <v/>
      </c>
    </row>
    <row r="3889">
      <c r="B3889" s="113" t="n"/>
      <c r="C3889" s="114" t="n"/>
      <c r="D3889" s="115" t="n"/>
      <c r="E3889" s="116" t="n"/>
      <c r="F3889" s="115" t="n"/>
      <c r="G3889" s="117">
        <f>IF(COUNTA(B3889:E3889)=0,"",IF(COUNTA(B3889:E3889)&lt;4,"⚠ กรอกไม่ครบ",IF(NOT(ISNUMBER(B3889)),"⚠ วันที่ไม่ถูกต้อง",IF(COUNTIFS(Setup!$L$6:$L$60,D3889,Setup!$M$6:$M$60,C3889)=0,"⚠ หมวดไม่ตรงประเภท","✓"))))</f>
        <v/>
      </c>
    </row>
    <row r="3890">
      <c r="B3890" s="113" t="n"/>
      <c r="C3890" s="114" t="n"/>
      <c r="D3890" s="115" t="n"/>
      <c r="E3890" s="116" t="n"/>
      <c r="F3890" s="115" t="n"/>
      <c r="G3890" s="117">
        <f>IF(COUNTA(B3890:E3890)=0,"",IF(COUNTA(B3890:E3890)&lt;4,"⚠ กรอกไม่ครบ",IF(NOT(ISNUMBER(B3890)),"⚠ วันที่ไม่ถูกต้อง",IF(COUNTIFS(Setup!$L$6:$L$60,D3890,Setup!$M$6:$M$60,C3890)=0,"⚠ หมวดไม่ตรงประเภท","✓"))))</f>
        <v/>
      </c>
    </row>
    <row r="3891">
      <c r="B3891" s="113" t="n"/>
      <c r="C3891" s="114" t="n"/>
      <c r="D3891" s="115" t="n"/>
      <c r="E3891" s="116" t="n"/>
      <c r="F3891" s="115" t="n"/>
      <c r="G3891" s="117">
        <f>IF(COUNTA(B3891:E3891)=0,"",IF(COUNTA(B3891:E3891)&lt;4,"⚠ กรอกไม่ครบ",IF(NOT(ISNUMBER(B3891)),"⚠ วันที่ไม่ถูกต้อง",IF(COUNTIFS(Setup!$L$6:$L$60,D3891,Setup!$M$6:$M$60,C3891)=0,"⚠ หมวดไม่ตรงประเภท","✓"))))</f>
        <v/>
      </c>
    </row>
    <row r="3892">
      <c r="B3892" s="113" t="n"/>
      <c r="C3892" s="114" t="n"/>
      <c r="D3892" s="115" t="n"/>
      <c r="E3892" s="116" t="n"/>
      <c r="F3892" s="115" t="n"/>
      <c r="G3892" s="117">
        <f>IF(COUNTA(B3892:E3892)=0,"",IF(COUNTA(B3892:E3892)&lt;4,"⚠ กรอกไม่ครบ",IF(NOT(ISNUMBER(B3892)),"⚠ วันที่ไม่ถูกต้อง",IF(COUNTIFS(Setup!$L$6:$L$60,D3892,Setup!$M$6:$M$60,C3892)=0,"⚠ หมวดไม่ตรงประเภท","✓"))))</f>
        <v/>
      </c>
    </row>
    <row r="3893">
      <c r="B3893" s="113" t="n"/>
      <c r="C3893" s="114" t="n"/>
      <c r="D3893" s="115" t="n"/>
      <c r="E3893" s="116" t="n"/>
      <c r="F3893" s="115" t="n"/>
      <c r="G3893" s="117">
        <f>IF(COUNTA(B3893:E3893)=0,"",IF(COUNTA(B3893:E3893)&lt;4,"⚠ กรอกไม่ครบ",IF(NOT(ISNUMBER(B3893)),"⚠ วันที่ไม่ถูกต้อง",IF(COUNTIFS(Setup!$L$6:$L$60,D3893,Setup!$M$6:$M$60,C3893)=0,"⚠ หมวดไม่ตรงประเภท","✓"))))</f>
        <v/>
      </c>
    </row>
    <row r="3894">
      <c r="B3894" s="113" t="n"/>
      <c r="C3894" s="114" t="n"/>
      <c r="D3894" s="115" t="n"/>
      <c r="E3894" s="116" t="n"/>
      <c r="F3894" s="115" t="n"/>
      <c r="G3894" s="117">
        <f>IF(COUNTA(B3894:E3894)=0,"",IF(COUNTA(B3894:E3894)&lt;4,"⚠ กรอกไม่ครบ",IF(NOT(ISNUMBER(B3894)),"⚠ วันที่ไม่ถูกต้อง",IF(COUNTIFS(Setup!$L$6:$L$60,D3894,Setup!$M$6:$M$60,C3894)=0,"⚠ หมวดไม่ตรงประเภท","✓"))))</f>
        <v/>
      </c>
    </row>
    <row r="3895">
      <c r="B3895" s="113" t="n"/>
      <c r="C3895" s="114" t="n"/>
      <c r="D3895" s="115" t="n"/>
      <c r="E3895" s="116" t="n"/>
      <c r="F3895" s="115" t="n"/>
      <c r="G3895" s="117">
        <f>IF(COUNTA(B3895:E3895)=0,"",IF(COUNTA(B3895:E3895)&lt;4,"⚠ กรอกไม่ครบ",IF(NOT(ISNUMBER(B3895)),"⚠ วันที่ไม่ถูกต้อง",IF(COUNTIFS(Setup!$L$6:$L$60,D3895,Setup!$M$6:$M$60,C3895)=0,"⚠ หมวดไม่ตรงประเภท","✓"))))</f>
        <v/>
      </c>
    </row>
    <row r="3896">
      <c r="B3896" s="113" t="n"/>
      <c r="C3896" s="114" t="n"/>
      <c r="D3896" s="115" t="n"/>
      <c r="E3896" s="116" t="n"/>
      <c r="F3896" s="115" t="n"/>
      <c r="G3896" s="117">
        <f>IF(COUNTA(B3896:E3896)=0,"",IF(COUNTA(B3896:E3896)&lt;4,"⚠ กรอกไม่ครบ",IF(NOT(ISNUMBER(B3896)),"⚠ วันที่ไม่ถูกต้อง",IF(COUNTIFS(Setup!$L$6:$L$60,D3896,Setup!$M$6:$M$60,C3896)=0,"⚠ หมวดไม่ตรงประเภท","✓"))))</f>
        <v/>
      </c>
    </row>
    <row r="3897">
      <c r="B3897" s="113" t="n"/>
      <c r="C3897" s="114" t="n"/>
      <c r="D3897" s="115" t="n"/>
      <c r="E3897" s="116" t="n"/>
      <c r="F3897" s="115" t="n"/>
      <c r="G3897" s="117">
        <f>IF(COUNTA(B3897:E3897)=0,"",IF(COUNTA(B3897:E3897)&lt;4,"⚠ กรอกไม่ครบ",IF(NOT(ISNUMBER(B3897)),"⚠ วันที่ไม่ถูกต้อง",IF(COUNTIFS(Setup!$L$6:$L$60,D3897,Setup!$M$6:$M$60,C3897)=0,"⚠ หมวดไม่ตรงประเภท","✓"))))</f>
        <v/>
      </c>
    </row>
    <row r="3898">
      <c r="B3898" s="113" t="n"/>
      <c r="C3898" s="114" t="n"/>
      <c r="D3898" s="115" t="n"/>
      <c r="E3898" s="116" t="n"/>
      <c r="F3898" s="115" t="n"/>
      <c r="G3898" s="117">
        <f>IF(COUNTA(B3898:E3898)=0,"",IF(COUNTA(B3898:E3898)&lt;4,"⚠ กรอกไม่ครบ",IF(NOT(ISNUMBER(B3898)),"⚠ วันที่ไม่ถูกต้อง",IF(COUNTIFS(Setup!$L$6:$L$60,D3898,Setup!$M$6:$M$60,C3898)=0,"⚠ หมวดไม่ตรงประเภท","✓"))))</f>
        <v/>
      </c>
    </row>
    <row r="3899">
      <c r="B3899" s="113" t="n"/>
      <c r="C3899" s="114" t="n"/>
      <c r="D3899" s="115" t="n"/>
      <c r="E3899" s="116" t="n"/>
      <c r="F3899" s="115" t="n"/>
      <c r="G3899" s="117">
        <f>IF(COUNTA(B3899:E3899)=0,"",IF(COUNTA(B3899:E3899)&lt;4,"⚠ กรอกไม่ครบ",IF(NOT(ISNUMBER(B3899)),"⚠ วันที่ไม่ถูกต้อง",IF(COUNTIFS(Setup!$L$6:$L$60,D3899,Setup!$M$6:$M$60,C3899)=0,"⚠ หมวดไม่ตรงประเภท","✓"))))</f>
        <v/>
      </c>
    </row>
    <row r="3900">
      <c r="B3900" s="113" t="n"/>
      <c r="C3900" s="114" t="n"/>
      <c r="D3900" s="115" t="n"/>
      <c r="E3900" s="116" t="n"/>
      <c r="F3900" s="115" t="n"/>
      <c r="G3900" s="117">
        <f>IF(COUNTA(B3900:E3900)=0,"",IF(COUNTA(B3900:E3900)&lt;4,"⚠ กรอกไม่ครบ",IF(NOT(ISNUMBER(B3900)),"⚠ วันที่ไม่ถูกต้อง",IF(COUNTIFS(Setup!$L$6:$L$60,D3900,Setup!$M$6:$M$60,C3900)=0,"⚠ หมวดไม่ตรงประเภท","✓"))))</f>
        <v/>
      </c>
    </row>
    <row r="3901">
      <c r="B3901" s="113" t="n"/>
      <c r="C3901" s="114" t="n"/>
      <c r="D3901" s="115" t="n"/>
      <c r="E3901" s="116" t="n"/>
      <c r="F3901" s="115" t="n"/>
      <c r="G3901" s="117">
        <f>IF(COUNTA(B3901:E3901)=0,"",IF(COUNTA(B3901:E3901)&lt;4,"⚠ กรอกไม่ครบ",IF(NOT(ISNUMBER(B3901)),"⚠ วันที่ไม่ถูกต้อง",IF(COUNTIFS(Setup!$L$6:$L$60,D3901,Setup!$M$6:$M$60,C3901)=0,"⚠ หมวดไม่ตรงประเภท","✓"))))</f>
        <v/>
      </c>
    </row>
    <row r="3902">
      <c r="B3902" s="113" t="n"/>
      <c r="C3902" s="114" t="n"/>
      <c r="D3902" s="115" t="n"/>
      <c r="E3902" s="116" t="n"/>
      <c r="F3902" s="115" t="n"/>
      <c r="G3902" s="117">
        <f>IF(COUNTA(B3902:E3902)=0,"",IF(COUNTA(B3902:E3902)&lt;4,"⚠ กรอกไม่ครบ",IF(NOT(ISNUMBER(B3902)),"⚠ วันที่ไม่ถูกต้อง",IF(COUNTIFS(Setup!$L$6:$L$60,D3902,Setup!$M$6:$M$60,C3902)=0,"⚠ หมวดไม่ตรงประเภท","✓"))))</f>
        <v/>
      </c>
    </row>
    <row r="3903">
      <c r="B3903" s="113" t="n"/>
      <c r="C3903" s="114" t="n"/>
      <c r="D3903" s="115" t="n"/>
      <c r="E3903" s="116" t="n"/>
      <c r="F3903" s="115" t="n"/>
      <c r="G3903" s="117">
        <f>IF(COUNTA(B3903:E3903)=0,"",IF(COUNTA(B3903:E3903)&lt;4,"⚠ กรอกไม่ครบ",IF(NOT(ISNUMBER(B3903)),"⚠ วันที่ไม่ถูกต้อง",IF(COUNTIFS(Setup!$L$6:$L$60,D3903,Setup!$M$6:$M$60,C3903)=0,"⚠ หมวดไม่ตรงประเภท","✓"))))</f>
        <v/>
      </c>
    </row>
    <row r="3904">
      <c r="B3904" s="113" t="n"/>
      <c r="C3904" s="114" t="n"/>
      <c r="D3904" s="115" t="n"/>
      <c r="E3904" s="116" t="n"/>
      <c r="F3904" s="115" t="n"/>
      <c r="G3904" s="117">
        <f>IF(COUNTA(B3904:E3904)=0,"",IF(COUNTA(B3904:E3904)&lt;4,"⚠ กรอกไม่ครบ",IF(NOT(ISNUMBER(B3904)),"⚠ วันที่ไม่ถูกต้อง",IF(COUNTIFS(Setup!$L$6:$L$60,D3904,Setup!$M$6:$M$60,C3904)=0,"⚠ หมวดไม่ตรงประเภท","✓"))))</f>
        <v/>
      </c>
    </row>
    <row r="3905">
      <c r="B3905" s="113" t="n"/>
      <c r="C3905" s="114" t="n"/>
      <c r="D3905" s="115" t="n"/>
      <c r="E3905" s="116" t="n"/>
      <c r="F3905" s="115" t="n"/>
      <c r="G3905" s="117">
        <f>IF(COUNTA(B3905:E3905)=0,"",IF(COUNTA(B3905:E3905)&lt;4,"⚠ กรอกไม่ครบ",IF(NOT(ISNUMBER(B3905)),"⚠ วันที่ไม่ถูกต้อง",IF(COUNTIFS(Setup!$L$6:$L$60,D3905,Setup!$M$6:$M$60,C3905)=0,"⚠ หมวดไม่ตรงประเภท","✓"))))</f>
        <v/>
      </c>
    </row>
    <row r="3906">
      <c r="B3906" s="113" t="n"/>
      <c r="C3906" s="114" t="n"/>
      <c r="D3906" s="115" t="n"/>
      <c r="E3906" s="116" t="n"/>
      <c r="F3906" s="115" t="n"/>
      <c r="G3906" s="117">
        <f>IF(COUNTA(B3906:E3906)=0,"",IF(COUNTA(B3906:E3906)&lt;4,"⚠ กรอกไม่ครบ",IF(NOT(ISNUMBER(B3906)),"⚠ วันที่ไม่ถูกต้อง",IF(COUNTIFS(Setup!$L$6:$L$60,D3906,Setup!$M$6:$M$60,C3906)=0,"⚠ หมวดไม่ตรงประเภท","✓"))))</f>
        <v/>
      </c>
    </row>
    <row r="3907">
      <c r="B3907" s="113" t="n"/>
      <c r="C3907" s="114" t="n"/>
      <c r="D3907" s="115" t="n"/>
      <c r="E3907" s="116" t="n"/>
      <c r="F3907" s="115" t="n"/>
      <c r="G3907" s="117">
        <f>IF(COUNTA(B3907:E3907)=0,"",IF(COUNTA(B3907:E3907)&lt;4,"⚠ กรอกไม่ครบ",IF(NOT(ISNUMBER(B3907)),"⚠ วันที่ไม่ถูกต้อง",IF(COUNTIFS(Setup!$L$6:$L$60,D3907,Setup!$M$6:$M$60,C3907)=0,"⚠ หมวดไม่ตรงประเภท","✓"))))</f>
        <v/>
      </c>
    </row>
    <row r="3908">
      <c r="B3908" s="113" t="n"/>
      <c r="C3908" s="114" t="n"/>
      <c r="D3908" s="115" t="n"/>
      <c r="E3908" s="116" t="n"/>
      <c r="F3908" s="115" t="n"/>
      <c r="G3908" s="117">
        <f>IF(COUNTA(B3908:E3908)=0,"",IF(COUNTA(B3908:E3908)&lt;4,"⚠ กรอกไม่ครบ",IF(NOT(ISNUMBER(B3908)),"⚠ วันที่ไม่ถูกต้อง",IF(COUNTIFS(Setup!$L$6:$L$60,D3908,Setup!$M$6:$M$60,C3908)=0,"⚠ หมวดไม่ตรงประเภท","✓"))))</f>
        <v/>
      </c>
    </row>
    <row r="3909">
      <c r="B3909" s="113" t="n"/>
      <c r="C3909" s="114" t="n"/>
      <c r="D3909" s="115" t="n"/>
      <c r="E3909" s="116" t="n"/>
      <c r="F3909" s="115" t="n"/>
      <c r="G3909" s="117">
        <f>IF(COUNTA(B3909:E3909)=0,"",IF(COUNTA(B3909:E3909)&lt;4,"⚠ กรอกไม่ครบ",IF(NOT(ISNUMBER(B3909)),"⚠ วันที่ไม่ถูกต้อง",IF(COUNTIFS(Setup!$L$6:$L$60,D3909,Setup!$M$6:$M$60,C3909)=0,"⚠ หมวดไม่ตรงประเภท","✓"))))</f>
        <v/>
      </c>
    </row>
    <row r="3910">
      <c r="B3910" s="113" t="n"/>
      <c r="C3910" s="114" t="n"/>
      <c r="D3910" s="115" t="n"/>
      <c r="E3910" s="116" t="n"/>
      <c r="F3910" s="115" t="n"/>
      <c r="G3910" s="117">
        <f>IF(COUNTA(B3910:E3910)=0,"",IF(COUNTA(B3910:E3910)&lt;4,"⚠ กรอกไม่ครบ",IF(NOT(ISNUMBER(B3910)),"⚠ วันที่ไม่ถูกต้อง",IF(COUNTIFS(Setup!$L$6:$L$60,D3910,Setup!$M$6:$M$60,C3910)=0,"⚠ หมวดไม่ตรงประเภท","✓"))))</f>
        <v/>
      </c>
    </row>
    <row r="3911">
      <c r="B3911" s="113" t="n"/>
      <c r="C3911" s="114" t="n"/>
      <c r="D3911" s="115" t="n"/>
      <c r="E3911" s="116" t="n"/>
      <c r="F3911" s="115" t="n"/>
      <c r="G3911" s="117">
        <f>IF(COUNTA(B3911:E3911)=0,"",IF(COUNTA(B3911:E3911)&lt;4,"⚠ กรอกไม่ครบ",IF(NOT(ISNUMBER(B3911)),"⚠ วันที่ไม่ถูกต้อง",IF(COUNTIFS(Setup!$L$6:$L$60,D3911,Setup!$M$6:$M$60,C3911)=0,"⚠ หมวดไม่ตรงประเภท","✓"))))</f>
        <v/>
      </c>
    </row>
    <row r="3912">
      <c r="B3912" s="113" t="n"/>
      <c r="C3912" s="114" t="n"/>
      <c r="D3912" s="115" t="n"/>
      <c r="E3912" s="116" t="n"/>
      <c r="F3912" s="115" t="n"/>
      <c r="G3912" s="117">
        <f>IF(COUNTA(B3912:E3912)=0,"",IF(COUNTA(B3912:E3912)&lt;4,"⚠ กรอกไม่ครบ",IF(NOT(ISNUMBER(B3912)),"⚠ วันที่ไม่ถูกต้อง",IF(COUNTIFS(Setup!$L$6:$L$60,D3912,Setup!$M$6:$M$60,C3912)=0,"⚠ หมวดไม่ตรงประเภท","✓"))))</f>
        <v/>
      </c>
    </row>
    <row r="3913">
      <c r="B3913" s="113" t="n"/>
      <c r="C3913" s="114" t="n"/>
      <c r="D3913" s="115" t="n"/>
      <c r="E3913" s="116" t="n"/>
      <c r="F3913" s="115" t="n"/>
      <c r="G3913" s="117">
        <f>IF(COUNTA(B3913:E3913)=0,"",IF(COUNTA(B3913:E3913)&lt;4,"⚠ กรอกไม่ครบ",IF(NOT(ISNUMBER(B3913)),"⚠ วันที่ไม่ถูกต้อง",IF(COUNTIFS(Setup!$L$6:$L$60,D3913,Setup!$M$6:$M$60,C3913)=0,"⚠ หมวดไม่ตรงประเภท","✓"))))</f>
        <v/>
      </c>
    </row>
    <row r="3914">
      <c r="B3914" s="113" t="n"/>
      <c r="C3914" s="114" t="n"/>
      <c r="D3914" s="115" t="n"/>
      <c r="E3914" s="116" t="n"/>
      <c r="F3914" s="115" t="n"/>
      <c r="G3914" s="117">
        <f>IF(COUNTA(B3914:E3914)=0,"",IF(COUNTA(B3914:E3914)&lt;4,"⚠ กรอกไม่ครบ",IF(NOT(ISNUMBER(B3914)),"⚠ วันที่ไม่ถูกต้อง",IF(COUNTIFS(Setup!$L$6:$L$60,D3914,Setup!$M$6:$M$60,C3914)=0,"⚠ หมวดไม่ตรงประเภท","✓"))))</f>
        <v/>
      </c>
    </row>
    <row r="3915">
      <c r="B3915" s="113" t="n"/>
      <c r="C3915" s="114" t="n"/>
      <c r="D3915" s="115" t="n"/>
      <c r="E3915" s="116" t="n"/>
      <c r="F3915" s="115" t="n"/>
      <c r="G3915" s="117">
        <f>IF(COUNTA(B3915:E3915)=0,"",IF(COUNTA(B3915:E3915)&lt;4,"⚠ กรอกไม่ครบ",IF(NOT(ISNUMBER(B3915)),"⚠ วันที่ไม่ถูกต้อง",IF(COUNTIFS(Setup!$L$6:$L$60,D3915,Setup!$M$6:$M$60,C3915)=0,"⚠ หมวดไม่ตรงประเภท","✓"))))</f>
        <v/>
      </c>
    </row>
    <row r="3916">
      <c r="B3916" s="113" t="n"/>
      <c r="C3916" s="114" t="n"/>
      <c r="D3916" s="115" t="n"/>
      <c r="E3916" s="116" t="n"/>
      <c r="F3916" s="115" t="n"/>
      <c r="G3916" s="117">
        <f>IF(COUNTA(B3916:E3916)=0,"",IF(COUNTA(B3916:E3916)&lt;4,"⚠ กรอกไม่ครบ",IF(NOT(ISNUMBER(B3916)),"⚠ วันที่ไม่ถูกต้อง",IF(COUNTIFS(Setup!$L$6:$L$60,D3916,Setup!$M$6:$M$60,C3916)=0,"⚠ หมวดไม่ตรงประเภท","✓"))))</f>
        <v/>
      </c>
    </row>
    <row r="3917">
      <c r="B3917" s="113" t="n"/>
      <c r="C3917" s="114" t="n"/>
      <c r="D3917" s="115" t="n"/>
      <c r="E3917" s="116" t="n"/>
      <c r="F3917" s="115" t="n"/>
      <c r="G3917" s="117">
        <f>IF(COUNTA(B3917:E3917)=0,"",IF(COUNTA(B3917:E3917)&lt;4,"⚠ กรอกไม่ครบ",IF(NOT(ISNUMBER(B3917)),"⚠ วันที่ไม่ถูกต้อง",IF(COUNTIFS(Setup!$L$6:$L$60,D3917,Setup!$M$6:$M$60,C3917)=0,"⚠ หมวดไม่ตรงประเภท","✓"))))</f>
        <v/>
      </c>
    </row>
    <row r="3918">
      <c r="B3918" s="113" t="n"/>
      <c r="C3918" s="114" t="n"/>
      <c r="D3918" s="115" t="n"/>
      <c r="E3918" s="116" t="n"/>
      <c r="F3918" s="115" t="n"/>
      <c r="G3918" s="117">
        <f>IF(COUNTA(B3918:E3918)=0,"",IF(COUNTA(B3918:E3918)&lt;4,"⚠ กรอกไม่ครบ",IF(NOT(ISNUMBER(B3918)),"⚠ วันที่ไม่ถูกต้อง",IF(COUNTIFS(Setup!$L$6:$L$60,D3918,Setup!$M$6:$M$60,C3918)=0,"⚠ หมวดไม่ตรงประเภท","✓"))))</f>
        <v/>
      </c>
    </row>
    <row r="3919">
      <c r="B3919" s="113" t="n"/>
      <c r="C3919" s="114" t="n"/>
      <c r="D3919" s="115" t="n"/>
      <c r="E3919" s="116" t="n"/>
      <c r="F3919" s="115" t="n"/>
      <c r="G3919" s="117">
        <f>IF(COUNTA(B3919:E3919)=0,"",IF(COUNTA(B3919:E3919)&lt;4,"⚠ กรอกไม่ครบ",IF(NOT(ISNUMBER(B3919)),"⚠ วันที่ไม่ถูกต้อง",IF(COUNTIFS(Setup!$L$6:$L$60,D3919,Setup!$M$6:$M$60,C3919)=0,"⚠ หมวดไม่ตรงประเภท","✓"))))</f>
        <v/>
      </c>
    </row>
    <row r="3920">
      <c r="B3920" s="113" t="n"/>
      <c r="C3920" s="114" t="n"/>
      <c r="D3920" s="115" t="n"/>
      <c r="E3920" s="116" t="n"/>
      <c r="F3920" s="115" t="n"/>
      <c r="G3920" s="117">
        <f>IF(COUNTA(B3920:E3920)=0,"",IF(COUNTA(B3920:E3920)&lt;4,"⚠ กรอกไม่ครบ",IF(NOT(ISNUMBER(B3920)),"⚠ วันที่ไม่ถูกต้อง",IF(COUNTIFS(Setup!$L$6:$L$60,D3920,Setup!$M$6:$M$60,C3920)=0,"⚠ หมวดไม่ตรงประเภท","✓"))))</f>
        <v/>
      </c>
    </row>
    <row r="3921">
      <c r="B3921" s="113" t="n"/>
      <c r="C3921" s="114" t="n"/>
      <c r="D3921" s="115" t="n"/>
      <c r="E3921" s="116" t="n"/>
      <c r="F3921" s="115" t="n"/>
      <c r="G3921" s="117">
        <f>IF(COUNTA(B3921:E3921)=0,"",IF(COUNTA(B3921:E3921)&lt;4,"⚠ กรอกไม่ครบ",IF(NOT(ISNUMBER(B3921)),"⚠ วันที่ไม่ถูกต้อง",IF(COUNTIFS(Setup!$L$6:$L$60,D3921,Setup!$M$6:$M$60,C3921)=0,"⚠ หมวดไม่ตรงประเภท","✓"))))</f>
        <v/>
      </c>
    </row>
    <row r="3922">
      <c r="B3922" s="113" t="n"/>
      <c r="C3922" s="114" t="n"/>
      <c r="D3922" s="115" t="n"/>
      <c r="E3922" s="116" t="n"/>
      <c r="F3922" s="115" t="n"/>
      <c r="G3922" s="117">
        <f>IF(COUNTA(B3922:E3922)=0,"",IF(COUNTA(B3922:E3922)&lt;4,"⚠ กรอกไม่ครบ",IF(NOT(ISNUMBER(B3922)),"⚠ วันที่ไม่ถูกต้อง",IF(COUNTIFS(Setup!$L$6:$L$60,D3922,Setup!$M$6:$M$60,C3922)=0,"⚠ หมวดไม่ตรงประเภท","✓"))))</f>
        <v/>
      </c>
    </row>
    <row r="3923">
      <c r="B3923" s="113" t="n"/>
      <c r="C3923" s="114" t="n"/>
      <c r="D3923" s="115" t="n"/>
      <c r="E3923" s="116" t="n"/>
      <c r="F3923" s="115" t="n"/>
      <c r="G3923" s="117">
        <f>IF(COUNTA(B3923:E3923)=0,"",IF(COUNTA(B3923:E3923)&lt;4,"⚠ กรอกไม่ครบ",IF(NOT(ISNUMBER(B3923)),"⚠ วันที่ไม่ถูกต้อง",IF(COUNTIFS(Setup!$L$6:$L$60,D3923,Setup!$M$6:$M$60,C3923)=0,"⚠ หมวดไม่ตรงประเภท","✓"))))</f>
        <v/>
      </c>
    </row>
    <row r="3924">
      <c r="B3924" s="113" t="n"/>
      <c r="C3924" s="114" t="n"/>
      <c r="D3924" s="115" t="n"/>
      <c r="E3924" s="116" t="n"/>
      <c r="F3924" s="115" t="n"/>
      <c r="G3924" s="117">
        <f>IF(COUNTA(B3924:E3924)=0,"",IF(COUNTA(B3924:E3924)&lt;4,"⚠ กรอกไม่ครบ",IF(NOT(ISNUMBER(B3924)),"⚠ วันที่ไม่ถูกต้อง",IF(COUNTIFS(Setup!$L$6:$L$60,D3924,Setup!$M$6:$M$60,C3924)=0,"⚠ หมวดไม่ตรงประเภท","✓"))))</f>
        <v/>
      </c>
    </row>
    <row r="3925">
      <c r="B3925" s="113" t="n"/>
      <c r="C3925" s="114" t="n"/>
      <c r="D3925" s="115" t="n"/>
      <c r="E3925" s="116" t="n"/>
      <c r="F3925" s="115" t="n"/>
      <c r="G3925" s="117">
        <f>IF(COUNTA(B3925:E3925)=0,"",IF(COUNTA(B3925:E3925)&lt;4,"⚠ กรอกไม่ครบ",IF(NOT(ISNUMBER(B3925)),"⚠ วันที่ไม่ถูกต้อง",IF(COUNTIFS(Setup!$L$6:$L$60,D3925,Setup!$M$6:$M$60,C3925)=0,"⚠ หมวดไม่ตรงประเภท","✓"))))</f>
        <v/>
      </c>
    </row>
    <row r="3926">
      <c r="B3926" s="113" t="n"/>
      <c r="C3926" s="114" t="n"/>
      <c r="D3926" s="115" t="n"/>
      <c r="E3926" s="116" t="n"/>
      <c r="F3926" s="115" t="n"/>
      <c r="G3926" s="117">
        <f>IF(COUNTA(B3926:E3926)=0,"",IF(COUNTA(B3926:E3926)&lt;4,"⚠ กรอกไม่ครบ",IF(NOT(ISNUMBER(B3926)),"⚠ วันที่ไม่ถูกต้อง",IF(COUNTIFS(Setup!$L$6:$L$60,D3926,Setup!$M$6:$M$60,C3926)=0,"⚠ หมวดไม่ตรงประเภท","✓"))))</f>
        <v/>
      </c>
    </row>
    <row r="3927">
      <c r="B3927" s="113" t="n"/>
      <c r="C3927" s="114" t="n"/>
      <c r="D3927" s="115" t="n"/>
      <c r="E3927" s="116" t="n"/>
      <c r="F3927" s="115" t="n"/>
      <c r="G3927" s="117">
        <f>IF(COUNTA(B3927:E3927)=0,"",IF(COUNTA(B3927:E3927)&lt;4,"⚠ กรอกไม่ครบ",IF(NOT(ISNUMBER(B3927)),"⚠ วันที่ไม่ถูกต้อง",IF(COUNTIFS(Setup!$L$6:$L$60,D3927,Setup!$M$6:$M$60,C3927)=0,"⚠ หมวดไม่ตรงประเภท","✓"))))</f>
        <v/>
      </c>
    </row>
    <row r="3928">
      <c r="B3928" s="113" t="n"/>
      <c r="C3928" s="114" t="n"/>
      <c r="D3928" s="115" t="n"/>
      <c r="E3928" s="116" t="n"/>
      <c r="F3928" s="115" t="n"/>
      <c r="G3928" s="117">
        <f>IF(COUNTA(B3928:E3928)=0,"",IF(COUNTA(B3928:E3928)&lt;4,"⚠ กรอกไม่ครบ",IF(NOT(ISNUMBER(B3928)),"⚠ วันที่ไม่ถูกต้อง",IF(COUNTIFS(Setup!$L$6:$L$60,D3928,Setup!$M$6:$M$60,C3928)=0,"⚠ หมวดไม่ตรงประเภท","✓"))))</f>
        <v/>
      </c>
    </row>
    <row r="3929">
      <c r="B3929" s="113" t="n"/>
      <c r="C3929" s="114" t="n"/>
      <c r="D3929" s="115" t="n"/>
      <c r="E3929" s="116" t="n"/>
      <c r="F3929" s="115" t="n"/>
      <c r="G3929" s="117">
        <f>IF(COUNTA(B3929:E3929)=0,"",IF(COUNTA(B3929:E3929)&lt;4,"⚠ กรอกไม่ครบ",IF(NOT(ISNUMBER(B3929)),"⚠ วันที่ไม่ถูกต้อง",IF(COUNTIFS(Setup!$L$6:$L$60,D3929,Setup!$M$6:$M$60,C3929)=0,"⚠ หมวดไม่ตรงประเภท","✓"))))</f>
        <v/>
      </c>
    </row>
    <row r="3930">
      <c r="B3930" s="113" t="n"/>
      <c r="C3930" s="114" t="n"/>
      <c r="D3930" s="115" t="n"/>
      <c r="E3930" s="116" t="n"/>
      <c r="F3930" s="115" t="n"/>
      <c r="G3930" s="117">
        <f>IF(COUNTA(B3930:E3930)=0,"",IF(COUNTA(B3930:E3930)&lt;4,"⚠ กรอกไม่ครบ",IF(NOT(ISNUMBER(B3930)),"⚠ วันที่ไม่ถูกต้อง",IF(COUNTIFS(Setup!$L$6:$L$60,D3930,Setup!$M$6:$M$60,C3930)=0,"⚠ หมวดไม่ตรงประเภท","✓"))))</f>
        <v/>
      </c>
    </row>
    <row r="3931">
      <c r="B3931" s="113" t="n"/>
      <c r="C3931" s="114" t="n"/>
      <c r="D3931" s="115" t="n"/>
      <c r="E3931" s="116" t="n"/>
      <c r="F3931" s="115" t="n"/>
      <c r="G3931" s="117">
        <f>IF(COUNTA(B3931:E3931)=0,"",IF(COUNTA(B3931:E3931)&lt;4,"⚠ กรอกไม่ครบ",IF(NOT(ISNUMBER(B3931)),"⚠ วันที่ไม่ถูกต้อง",IF(COUNTIFS(Setup!$L$6:$L$60,D3931,Setup!$M$6:$M$60,C3931)=0,"⚠ หมวดไม่ตรงประเภท","✓"))))</f>
        <v/>
      </c>
    </row>
    <row r="3932">
      <c r="B3932" s="113" t="n"/>
      <c r="C3932" s="114" t="n"/>
      <c r="D3932" s="115" t="n"/>
      <c r="E3932" s="116" t="n"/>
      <c r="F3932" s="115" t="n"/>
      <c r="G3932" s="117">
        <f>IF(COUNTA(B3932:E3932)=0,"",IF(COUNTA(B3932:E3932)&lt;4,"⚠ กรอกไม่ครบ",IF(NOT(ISNUMBER(B3932)),"⚠ วันที่ไม่ถูกต้อง",IF(COUNTIFS(Setup!$L$6:$L$60,D3932,Setup!$M$6:$M$60,C3932)=0,"⚠ หมวดไม่ตรงประเภท","✓"))))</f>
        <v/>
      </c>
    </row>
    <row r="3933">
      <c r="B3933" s="113" t="n"/>
      <c r="C3933" s="114" t="n"/>
      <c r="D3933" s="115" t="n"/>
      <c r="E3933" s="116" t="n"/>
      <c r="F3933" s="115" t="n"/>
      <c r="G3933" s="117">
        <f>IF(COUNTA(B3933:E3933)=0,"",IF(COUNTA(B3933:E3933)&lt;4,"⚠ กรอกไม่ครบ",IF(NOT(ISNUMBER(B3933)),"⚠ วันที่ไม่ถูกต้อง",IF(COUNTIFS(Setup!$L$6:$L$60,D3933,Setup!$M$6:$M$60,C3933)=0,"⚠ หมวดไม่ตรงประเภท","✓"))))</f>
        <v/>
      </c>
    </row>
    <row r="3934">
      <c r="B3934" s="113" t="n"/>
      <c r="C3934" s="114" t="n"/>
      <c r="D3934" s="115" t="n"/>
      <c r="E3934" s="116" t="n"/>
      <c r="F3934" s="115" t="n"/>
      <c r="G3934" s="117">
        <f>IF(COUNTA(B3934:E3934)=0,"",IF(COUNTA(B3934:E3934)&lt;4,"⚠ กรอกไม่ครบ",IF(NOT(ISNUMBER(B3934)),"⚠ วันที่ไม่ถูกต้อง",IF(COUNTIFS(Setup!$L$6:$L$60,D3934,Setup!$M$6:$M$60,C3934)=0,"⚠ หมวดไม่ตรงประเภท","✓"))))</f>
        <v/>
      </c>
    </row>
    <row r="3935">
      <c r="B3935" s="113" t="n"/>
      <c r="C3935" s="114" t="n"/>
      <c r="D3935" s="115" t="n"/>
      <c r="E3935" s="116" t="n"/>
      <c r="F3935" s="115" t="n"/>
      <c r="G3935" s="117">
        <f>IF(COUNTA(B3935:E3935)=0,"",IF(COUNTA(B3935:E3935)&lt;4,"⚠ กรอกไม่ครบ",IF(NOT(ISNUMBER(B3935)),"⚠ วันที่ไม่ถูกต้อง",IF(COUNTIFS(Setup!$L$6:$L$60,D3935,Setup!$M$6:$M$60,C3935)=0,"⚠ หมวดไม่ตรงประเภท","✓"))))</f>
        <v/>
      </c>
    </row>
    <row r="3936">
      <c r="B3936" s="113" t="n"/>
      <c r="C3936" s="114" t="n"/>
      <c r="D3936" s="115" t="n"/>
      <c r="E3936" s="116" t="n"/>
      <c r="F3936" s="115" t="n"/>
      <c r="G3936" s="117">
        <f>IF(COUNTA(B3936:E3936)=0,"",IF(COUNTA(B3936:E3936)&lt;4,"⚠ กรอกไม่ครบ",IF(NOT(ISNUMBER(B3936)),"⚠ วันที่ไม่ถูกต้อง",IF(COUNTIFS(Setup!$L$6:$L$60,D3936,Setup!$M$6:$M$60,C3936)=0,"⚠ หมวดไม่ตรงประเภท","✓"))))</f>
        <v/>
      </c>
    </row>
    <row r="3937">
      <c r="B3937" s="113" t="n"/>
      <c r="C3937" s="114" t="n"/>
      <c r="D3937" s="115" t="n"/>
      <c r="E3937" s="116" t="n"/>
      <c r="F3937" s="115" t="n"/>
      <c r="G3937" s="117">
        <f>IF(COUNTA(B3937:E3937)=0,"",IF(COUNTA(B3937:E3937)&lt;4,"⚠ กรอกไม่ครบ",IF(NOT(ISNUMBER(B3937)),"⚠ วันที่ไม่ถูกต้อง",IF(COUNTIFS(Setup!$L$6:$L$60,D3937,Setup!$M$6:$M$60,C3937)=0,"⚠ หมวดไม่ตรงประเภท","✓"))))</f>
        <v/>
      </c>
    </row>
    <row r="3938">
      <c r="B3938" s="113" t="n"/>
      <c r="C3938" s="114" t="n"/>
      <c r="D3938" s="115" t="n"/>
      <c r="E3938" s="116" t="n"/>
      <c r="F3938" s="115" t="n"/>
      <c r="G3938" s="117">
        <f>IF(COUNTA(B3938:E3938)=0,"",IF(COUNTA(B3938:E3938)&lt;4,"⚠ กรอกไม่ครบ",IF(NOT(ISNUMBER(B3938)),"⚠ วันที่ไม่ถูกต้อง",IF(COUNTIFS(Setup!$L$6:$L$60,D3938,Setup!$M$6:$M$60,C3938)=0,"⚠ หมวดไม่ตรงประเภท","✓"))))</f>
        <v/>
      </c>
    </row>
    <row r="3939">
      <c r="B3939" s="113" t="n"/>
      <c r="C3939" s="114" t="n"/>
      <c r="D3939" s="115" t="n"/>
      <c r="E3939" s="116" t="n"/>
      <c r="F3939" s="115" t="n"/>
      <c r="G3939" s="117">
        <f>IF(COUNTA(B3939:E3939)=0,"",IF(COUNTA(B3939:E3939)&lt;4,"⚠ กรอกไม่ครบ",IF(NOT(ISNUMBER(B3939)),"⚠ วันที่ไม่ถูกต้อง",IF(COUNTIFS(Setup!$L$6:$L$60,D3939,Setup!$M$6:$M$60,C3939)=0,"⚠ หมวดไม่ตรงประเภท","✓"))))</f>
        <v/>
      </c>
    </row>
    <row r="3940">
      <c r="B3940" s="113" t="n"/>
      <c r="C3940" s="114" t="n"/>
      <c r="D3940" s="115" t="n"/>
      <c r="E3940" s="116" t="n"/>
      <c r="F3940" s="115" t="n"/>
      <c r="G3940" s="117">
        <f>IF(COUNTA(B3940:E3940)=0,"",IF(COUNTA(B3940:E3940)&lt;4,"⚠ กรอกไม่ครบ",IF(NOT(ISNUMBER(B3940)),"⚠ วันที่ไม่ถูกต้อง",IF(COUNTIFS(Setup!$L$6:$L$60,D3940,Setup!$M$6:$M$60,C3940)=0,"⚠ หมวดไม่ตรงประเภท","✓"))))</f>
        <v/>
      </c>
    </row>
    <row r="3941">
      <c r="B3941" s="113" t="n"/>
      <c r="C3941" s="114" t="n"/>
      <c r="D3941" s="115" t="n"/>
      <c r="E3941" s="116" t="n"/>
      <c r="F3941" s="115" t="n"/>
      <c r="G3941" s="117">
        <f>IF(COUNTA(B3941:E3941)=0,"",IF(COUNTA(B3941:E3941)&lt;4,"⚠ กรอกไม่ครบ",IF(NOT(ISNUMBER(B3941)),"⚠ วันที่ไม่ถูกต้อง",IF(COUNTIFS(Setup!$L$6:$L$60,D3941,Setup!$M$6:$M$60,C3941)=0,"⚠ หมวดไม่ตรงประเภท","✓"))))</f>
        <v/>
      </c>
    </row>
    <row r="3942">
      <c r="B3942" s="113" t="n"/>
      <c r="C3942" s="114" t="n"/>
      <c r="D3942" s="115" t="n"/>
      <c r="E3942" s="116" t="n"/>
      <c r="F3942" s="115" t="n"/>
      <c r="G3942" s="117">
        <f>IF(COUNTA(B3942:E3942)=0,"",IF(COUNTA(B3942:E3942)&lt;4,"⚠ กรอกไม่ครบ",IF(NOT(ISNUMBER(B3942)),"⚠ วันที่ไม่ถูกต้อง",IF(COUNTIFS(Setup!$L$6:$L$60,D3942,Setup!$M$6:$M$60,C3942)=0,"⚠ หมวดไม่ตรงประเภท","✓"))))</f>
        <v/>
      </c>
    </row>
    <row r="3943">
      <c r="B3943" s="113" t="n"/>
      <c r="C3943" s="114" t="n"/>
      <c r="D3943" s="115" t="n"/>
      <c r="E3943" s="116" t="n"/>
      <c r="F3943" s="115" t="n"/>
      <c r="G3943" s="117">
        <f>IF(COUNTA(B3943:E3943)=0,"",IF(COUNTA(B3943:E3943)&lt;4,"⚠ กรอกไม่ครบ",IF(NOT(ISNUMBER(B3943)),"⚠ วันที่ไม่ถูกต้อง",IF(COUNTIFS(Setup!$L$6:$L$60,D3943,Setup!$M$6:$M$60,C3943)=0,"⚠ หมวดไม่ตรงประเภท","✓"))))</f>
        <v/>
      </c>
    </row>
    <row r="3944">
      <c r="B3944" s="113" t="n"/>
      <c r="C3944" s="114" t="n"/>
      <c r="D3944" s="115" t="n"/>
      <c r="E3944" s="116" t="n"/>
      <c r="F3944" s="115" t="n"/>
      <c r="G3944" s="117">
        <f>IF(COUNTA(B3944:E3944)=0,"",IF(COUNTA(B3944:E3944)&lt;4,"⚠ กรอกไม่ครบ",IF(NOT(ISNUMBER(B3944)),"⚠ วันที่ไม่ถูกต้อง",IF(COUNTIFS(Setup!$L$6:$L$60,D3944,Setup!$M$6:$M$60,C3944)=0,"⚠ หมวดไม่ตรงประเภท","✓"))))</f>
        <v/>
      </c>
    </row>
    <row r="3945">
      <c r="B3945" s="113" t="n"/>
      <c r="C3945" s="114" t="n"/>
      <c r="D3945" s="115" t="n"/>
      <c r="E3945" s="116" t="n"/>
      <c r="F3945" s="115" t="n"/>
      <c r="G3945" s="117">
        <f>IF(COUNTA(B3945:E3945)=0,"",IF(COUNTA(B3945:E3945)&lt;4,"⚠ กรอกไม่ครบ",IF(NOT(ISNUMBER(B3945)),"⚠ วันที่ไม่ถูกต้อง",IF(COUNTIFS(Setup!$L$6:$L$60,D3945,Setup!$M$6:$M$60,C3945)=0,"⚠ หมวดไม่ตรงประเภท","✓"))))</f>
        <v/>
      </c>
    </row>
    <row r="3946">
      <c r="B3946" s="113" t="n"/>
      <c r="C3946" s="114" t="n"/>
      <c r="D3946" s="115" t="n"/>
      <c r="E3946" s="116" t="n"/>
      <c r="F3946" s="115" t="n"/>
      <c r="G3946" s="117">
        <f>IF(COUNTA(B3946:E3946)=0,"",IF(COUNTA(B3946:E3946)&lt;4,"⚠ กรอกไม่ครบ",IF(NOT(ISNUMBER(B3946)),"⚠ วันที่ไม่ถูกต้อง",IF(COUNTIFS(Setup!$L$6:$L$60,D3946,Setup!$M$6:$M$60,C3946)=0,"⚠ หมวดไม่ตรงประเภท","✓"))))</f>
        <v/>
      </c>
    </row>
    <row r="3947">
      <c r="B3947" s="113" t="n"/>
      <c r="C3947" s="114" t="n"/>
      <c r="D3947" s="115" t="n"/>
      <c r="E3947" s="116" t="n"/>
      <c r="F3947" s="115" t="n"/>
      <c r="G3947" s="117">
        <f>IF(COUNTA(B3947:E3947)=0,"",IF(COUNTA(B3947:E3947)&lt;4,"⚠ กรอกไม่ครบ",IF(NOT(ISNUMBER(B3947)),"⚠ วันที่ไม่ถูกต้อง",IF(COUNTIFS(Setup!$L$6:$L$60,D3947,Setup!$M$6:$M$60,C3947)=0,"⚠ หมวดไม่ตรงประเภท","✓"))))</f>
        <v/>
      </c>
    </row>
    <row r="3948">
      <c r="B3948" s="113" t="n"/>
      <c r="C3948" s="114" t="n"/>
      <c r="D3948" s="115" t="n"/>
      <c r="E3948" s="116" t="n"/>
      <c r="F3948" s="115" t="n"/>
      <c r="G3948" s="117">
        <f>IF(COUNTA(B3948:E3948)=0,"",IF(COUNTA(B3948:E3948)&lt;4,"⚠ กรอกไม่ครบ",IF(NOT(ISNUMBER(B3948)),"⚠ วันที่ไม่ถูกต้อง",IF(COUNTIFS(Setup!$L$6:$L$60,D3948,Setup!$M$6:$M$60,C3948)=0,"⚠ หมวดไม่ตรงประเภท","✓"))))</f>
        <v/>
      </c>
    </row>
    <row r="3949">
      <c r="B3949" s="113" t="n"/>
      <c r="C3949" s="114" t="n"/>
      <c r="D3949" s="115" t="n"/>
      <c r="E3949" s="116" t="n"/>
      <c r="F3949" s="115" t="n"/>
      <c r="G3949" s="117">
        <f>IF(COUNTA(B3949:E3949)=0,"",IF(COUNTA(B3949:E3949)&lt;4,"⚠ กรอกไม่ครบ",IF(NOT(ISNUMBER(B3949)),"⚠ วันที่ไม่ถูกต้อง",IF(COUNTIFS(Setup!$L$6:$L$60,D3949,Setup!$M$6:$M$60,C3949)=0,"⚠ หมวดไม่ตรงประเภท","✓"))))</f>
        <v/>
      </c>
    </row>
    <row r="3950">
      <c r="B3950" s="113" t="n"/>
      <c r="C3950" s="114" t="n"/>
      <c r="D3950" s="115" t="n"/>
      <c r="E3950" s="116" t="n"/>
      <c r="F3950" s="115" t="n"/>
      <c r="G3950" s="117">
        <f>IF(COUNTA(B3950:E3950)=0,"",IF(COUNTA(B3950:E3950)&lt;4,"⚠ กรอกไม่ครบ",IF(NOT(ISNUMBER(B3950)),"⚠ วันที่ไม่ถูกต้อง",IF(COUNTIFS(Setup!$L$6:$L$60,D3950,Setup!$M$6:$M$60,C3950)=0,"⚠ หมวดไม่ตรงประเภท","✓"))))</f>
        <v/>
      </c>
    </row>
    <row r="3951">
      <c r="B3951" s="113" t="n"/>
      <c r="C3951" s="114" t="n"/>
      <c r="D3951" s="115" t="n"/>
      <c r="E3951" s="116" t="n"/>
      <c r="F3951" s="115" t="n"/>
      <c r="G3951" s="117">
        <f>IF(COUNTA(B3951:E3951)=0,"",IF(COUNTA(B3951:E3951)&lt;4,"⚠ กรอกไม่ครบ",IF(NOT(ISNUMBER(B3951)),"⚠ วันที่ไม่ถูกต้อง",IF(COUNTIFS(Setup!$L$6:$L$60,D3951,Setup!$M$6:$M$60,C3951)=0,"⚠ หมวดไม่ตรงประเภท","✓"))))</f>
        <v/>
      </c>
    </row>
    <row r="3952">
      <c r="B3952" s="113" t="n"/>
      <c r="C3952" s="114" t="n"/>
      <c r="D3952" s="115" t="n"/>
      <c r="E3952" s="116" t="n"/>
      <c r="F3952" s="115" t="n"/>
      <c r="G3952" s="117">
        <f>IF(COUNTA(B3952:E3952)=0,"",IF(COUNTA(B3952:E3952)&lt;4,"⚠ กรอกไม่ครบ",IF(NOT(ISNUMBER(B3952)),"⚠ วันที่ไม่ถูกต้อง",IF(COUNTIFS(Setup!$L$6:$L$60,D3952,Setup!$M$6:$M$60,C3952)=0,"⚠ หมวดไม่ตรงประเภท","✓"))))</f>
        <v/>
      </c>
    </row>
    <row r="3953">
      <c r="B3953" s="113" t="n"/>
      <c r="C3953" s="114" t="n"/>
      <c r="D3953" s="115" t="n"/>
      <c r="E3953" s="116" t="n"/>
      <c r="F3953" s="115" t="n"/>
      <c r="G3953" s="117">
        <f>IF(COUNTA(B3953:E3953)=0,"",IF(COUNTA(B3953:E3953)&lt;4,"⚠ กรอกไม่ครบ",IF(NOT(ISNUMBER(B3953)),"⚠ วันที่ไม่ถูกต้อง",IF(COUNTIFS(Setup!$L$6:$L$60,D3953,Setup!$M$6:$M$60,C3953)=0,"⚠ หมวดไม่ตรงประเภท","✓"))))</f>
        <v/>
      </c>
    </row>
    <row r="3954">
      <c r="B3954" s="113" t="n"/>
      <c r="C3954" s="114" t="n"/>
      <c r="D3954" s="115" t="n"/>
      <c r="E3954" s="116" t="n"/>
      <c r="F3954" s="115" t="n"/>
      <c r="G3954" s="117">
        <f>IF(COUNTA(B3954:E3954)=0,"",IF(COUNTA(B3954:E3954)&lt;4,"⚠ กรอกไม่ครบ",IF(NOT(ISNUMBER(B3954)),"⚠ วันที่ไม่ถูกต้อง",IF(COUNTIFS(Setup!$L$6:$L$60,D3954,Setup!$M$6:$M$60,C3954)=0,"⚠ หมวดไม่ตรงประเภท","✓"))))</f>
        <v/>
      </c>
    </row>
    <row r="3955">
      <c r="B3955" s="113" t="n"/>
      <c r="C3955" s="114" t="n"/>
      <c r="D3955" s="115" t="n"/>
      <c r="E3955" s="116" t="n"/>
      <c r="F3955" s="115" t="n"/>
      <c r="G3955" s="117">
        <f>IF(COUNTA(B3955:E3955)=0,"",IF(COUNTA(B3955:E3955)&lt;4,"⚠ กรอกไม่ครบ",IF(NOT(ISNUMBER(B3955)),"⚠ วันที่ไม่ถูกต้อง",IF(COUNTIFS(Setup!$L$6:$L$60,D3955,Setup!$M$6:$M$60,C3955)=0,"⚠ หมวดไม่ตรงประเภท","✓"))))</f>
        <v/>
      </c>
    </row>
    <row r="3956">
      <c r="B3956" s="113" t="n"/>
      <c r="C3956" s="114" t="n"/>
      <c r="D3956" s="115" t="n"/>
      <c r="E3956" s="116" t="n"/>
      <c r="F3956" s="115" t="n"/>
      <c r="G3956" s="117">
        <f>IF(COUNTA(B3956:E3956)=0,"",IF(COUNTA(B3956:E3956)&lt;4,"⚠ กรอกไม่ครบ",IF(NOT(ISNUMBER(B3956)),"⚠ วันที่ไม่ถูกต้อง",IF(COUNTIFS(Setup!$L$6:$L$60,D3956,Setup!$M$6:$M$60,C3956)=0,"⚠ หมวดไม่ตรงประเภท","✓"))))</f>
        <v/>
      </c>
    </row>
    <row r="3957">
      <c r="B3957" s="113" t="n"/>
      <c r="C3957" s="114" t="n"/>
      <c r="D3957" s="115" t="n"/>
      <c r="E3957" s="116" t="n"/>
      <c r="F3957" s="115" t="n"/>
      <c r="G3957" s="117">
        <f>IF(COUNTA(B3957:E3957)=0,"",IF(COUNTA(B3957:E3957)&lt;4,"⚠ กรอกไม่ครบ",IF(NOT(ISNUMBER(B3957)),"⚠ วันที่ไม่ถูกต้อง",IF(COUNTIFS(Setup!$L$6:$L$60,D3957,Setup!$M$6:$M$60,C3957)=0,"⚠ หมวดไม่ตรงประเภท","✓"))))</f>
        <v/>
      </c>
    </row>
    <row r="3958">
      <c r="B3958" s="113" t="n"/>
      <c r="C3958" s="114" t="n"/>
      <c r="D3958" s="115" t="n"/>
      <c r="E3958" s="116" t="n"/>
      <c r="F3958" s="115" t="n"/>
      <c r="G3958" s="117">
        <f>IF(COUNTA(B3958:E3958)=0,"",IF(COUNTA(B3958:E3958)&lt;4,"⚠ กรอกไม่ครบ",IF(NOT(ISNUMBER(B3958)),"⚠ วันที่ไม่ถูกต้อง",IF(COUNTIFS(Setup!$L$6:$L$60,D3958,Setup!$M$6:$M$60,C3958)=0,"⚠ หมวดไม่ตรงประเภท","✓"))))</f>
        <v/>
      </c>
    </row>
    <row r="3959">
      <c r="B3959" s="113" t="n"/>
      <c r="C3959" s="114" t="n"/>
      <c r="D3959" s="115" t="n"/>
      <c r="E3959" s="116" t="n"/>
      <c r="F3959" s="115" t="n"/>
      <c r="G3959" s="117">
        <f>IF(COUNTA(B3959:E3959)=0,"",IF(COUNTA(B3959:E3959)&lt;4,"⚠ กรอกไม่ครบ",IF(NOT(ISNUMBER(B3959)),"⚠ วันที่ไม่ถูกต้อง",IF(COUNTIFS(Setup!$L$6:$L$60,D3959,Setup!$M$6:$M$60,C3959)=0,"⚠ หมวดไม่ตรงประเภท","✓"))))</f>
        <v/>
      </c>
    </row>
    <row r="3960">
      <c r="B3960" s="113" t="n"/>
      <c r="C3960" s="114" t="n"/>
      <c r="D3960" s="115" t="n"/>
      <c r="E3960" s="116" t="n"/>
      <c r="F3960" s="115" t="n"/>
      <c r="G3960" s="117">
        <f>IF(COUNTA(B3960:E3960)=0,"",IF(COUNTA(B3960:E3960)&lt;4,"⚠ กรอกไม่ครบ",IF(NOT(ISNUMBER(B3960)),"⚠ วันที่ไม่ถูกต้อง",IF(COUNTIFS(Setup!$L$6:$L$60,D3960,Setup!$M$6:$M$60,C3960)=0,"⚠ หมวดไม่ตรงประเภท","✓"))))</f>
        <v/>
      </c>
    </row>
    <row r="3961">
      <c r="B3961" s="113" t="n"/>
      <c r="C3961" s="114" t="n"/>
      <c r="D3961" s="115" t="n"/>
      <c r="E3961" s="116" t="n"/>
      <c r="F3961" s="115" t="n"/>
      <c r="G3961" s="117">
        <f>IF(COUNTA(B3961:E3961)=0,"",IF(COUNTA(B3961:E3961)&lt;4,"⚠ กรอกไม่ครบ",IF(NOT(ISNUMBER(B3961)),"⚠ วันที่ไม่ถูกต้อง",IF(COUNTIFS(Setup!$L$6:$L$60,D3961,Setup!$M$6:$M$60,C3961)=0,"⚠ หมวดไม่ตรงประเภท","✓"))))</f>
        <v/>
      </c>
    </row>
    <row r="3962">
      <c r="B3962" s="113" t="n"/>
      <c r="C3962" s="114" t="n"/>
      <c r="D3962" s="115" t="n"/>
      <c r="E3962" s="116" t="n"/>
      <c r="F3962" s="115" t="n"/>
      <c r="G3962" s="117">
        <f>IF(COUNTA(B3962:E3962)=0,"",IF(COUNTA(B3962:E3962)&lt;4,"⚠ กรอกไม่ครบ",IF(NOT(ISNUMBER(B3962)),"⚠ วันที่ไม่ถูกต้อง",IF(COUNTIFS(Setup!$L$6:$L$60,D3962,Setup!$M$6:$M$60,C3962)=0,"⚠ หมวดไม่ตรงประเภท","✓"))))</f>
        <v/>
      </c>
    </row>
    <row r="3963">
      <c r="B3963" s="113" t="n"/>
      <c r="C3963" s="114" t="n"/>
      <c r="D3963" s="115" t="n"/>
      <c r="E3963" s="116" t="n"/>
      <c r="F3963" s="115" t="n"/>
      <c r="G3963" s="117">
        <f>IF(COUNTA(B3963:E3963)=0,"",IF(COUNTA(B3963:E3963)&lt;4,"⚠ กรอกไม่ครบ",IF(NOT(ISNUMBER(B3963)),"⚠ วันที่ไม่ถูกต้อง",IF(COUNTIFS(Setup!$L$6:$L$60,D3963,Setup!$M$6:$M$60,C3963)=0,"⚠ หมวดไม่ตรงประเภท","✓"))))</f>
        <v/>
      </c>
    </row>
    <row r="3964">
      <c r="B3964" s="113" t="n"/>
      <c r="C3964" s="114" t="n"/>
      <c r="D3964" s="115" t="n"/>
      <c r="E3964" s="116" t="n"/>
      <c r="F3964" s="115" t="n"/>
      <c r="G3964" s="117">
        <f>IF(COUNTA(B3964:E3964)=0,"",IF(COUNTA(B3964:E3964)&lt;4,"⚠ กรอกไม่ครบ",IF(NOT(ISNUMBER(B3964)),"⚠ วันที่ไม่ถูกต้อง",IF(COUNTIFS(Setup!$L$6:$L$60,D3964,Setup!$M$6:$M$60,C3964)=0,"⚠ หมวดไม่ตรงประเภท","✓"))))</f>
        <v/>
      </c>
    </row>
    <row r="3965">
      <c r="B3965" s="113" t="n"/>
      <c r="C3965" s="114" t="n"/>
      <c r="D3965" s="115" t="n"/>
      <c r="E3965" s="116" t="n"/>
      <c r="F3965" s="115" t="n"/>
      <c r="G3965" s="117">
        <f>IF(COUNTA(B3965:E3965)=0,"",IF(COUNTA(B3965:E3965)&lt;4,"⚠ กรอกไม่ครบ",IF(NOT(ISNUMBER(B3965)),"⚠ วันที่ไม่ถูกต้อง",IF(COUNTIFS(Setup!$L$6:$L$60,D3965,Setup!$M$6:$M$60,C3965)=0,"⚠ หมวดไม่ตรงประเภท","✓"))))</f>
        <v/>
      </c>
    </row>
    <row r="3966">
      <c r="B3966" s="113" t="n"/>
      <c r="C3966" s="114" t="n"/>
      <c r="D3966" s="115" t="n"/>
      <c r="E3966" s="116" t="n"/>
      <c r="F3966" s="115" t="n"/>
      <c r="G3966" s="117">
        <f>IF(COUNTA(B3966:E3966)=0,"",IF(COUNTA(B3966:E3966)&lt;4,"⚠ กรอกไม่ครบ",IF(NOT(ISNUMBER(B3966)),"⚠ วันที่ไม่ถูกต้อง",IF(COUNTIFS(Setup!$L$6:$L$60,D3966,Setup!$M$6:$M$60,C3966)=0,"⚠ หมวดไม่ตรงประเภท","✓"))))</f>
        <v/>
      </c>
    </row>
    <row r="3967">
      <c r="B3967" s="113" t="n"/>
      <c r="C3967" s="114" t="n"/>
      <c r="D3967" s="115" t="n"/>
      <c r="E3967" s="116" t="n"/>
      <c r="F3967" s="115" t="n"/>
      <c r="G3967" s="117">
        <f>IF(COUNTA(B3967:E3967)=0,"",IF(COUNTA(B3967:E3967)&lt;4,"⚠ กรอกไม่ครบ",IF(NOT(ISNUMBER(B3967)),"⚠ วันที่ไม่ถูกต้อง",IF(COUNTIFS(Setup!$L$6:$L$60,D3967,Setup!$M$6:$M$60,C3967)=0,"⚠ หมวดไม่ตรงประเภท","✓"))))</f>
        <v/>
      </c>
    </row>
    <row r="3968">
      <c r="B3968" s="113" t="n"/>
      <c r="C3968" s="114" t="n"/>
      <c r="D3968" s="115" t="n"/>
      <c r="E3968" s="116" t="n"/>
      <c r="F3968" s="115" t="n"/>
      <c r="G3968" s="117">
        <f>IF(COUNTA(B3968:E3968)=0,"",IF(COUNTA(B3968:E3968)&lt;4,"⚠ กรอกไม่ครบ",IF(NOT(ISNUMBER(B3968)),"⚠ วันที่ไม่ถูกต้อง",IF(COUNTIFS(Setup!$L$6:$L$60,D3968,Setup!$M$6:$M$60,C3968)=0,"⚠ หมวดไม่ตรงประเภท","✓"))))</f>
        <v/>
      </c>
    </row>
    <row r="3969">
      <c r="B3969" s="113" t="n"/>
      <c r="C3969" s="114" t="n"/>
      <c r="D3969" s="115" t="n"/>
      <c r="E3969" s="116" t="n"/>
      <c r="F3969" s="115" t="n"/>
      <c r="G3969" s="117">
        <f>IF(COUNTA(B3969:E3969)=0,"",IF(COUNTA(B3969:E3969)&lt;4,"⚠ กรอกไม่ครบ",IF(NOT(ISNUMBER(B3969)),"⚠ วันที่ไม่ถูกต้อง",IF(COUNTIFS(Setup!$L$6:$L$60,D3969,Setup!$M$6:$M$60,C3969)=0,"⚠ หมวดไม่ตรงประเภท","✓"))))</f>
        <v/>
      </c>
    </row>
    <row r="3970">
      <c r="B3970" s="113" t="n"/>
      <c r="C3970" s="114" t="n"/>
      <c r="D3970" s="115" t="n"/>
      <c r="E3970" s="116" t="n"/>
      <c r="F3970" s="115" t="n"/>
      <c r="G3970" s="117">
        <f>IF(COUNTA(B3970:E3970)=0,"",IF(COUNTA(B3970:E3970)&lt;4,"⚠ กรอกไม่ครบ",IF(NOT(ISNUMBER(B3970)),"⚠ วันที่ไม่ถูกต้อง",IF(COUNTIFS(Setup!$L$6:$L$60,D3970,Setup!$M$6:$M$60,C3970)=0,"⚠ หมวดไม่ตรงประเภท","✓"))))</f>
        <v/>
      </c>
    </row>
    <row r="3971">
      <c r="B3971" s="113" t="n"/>
      <c r="C3971" s="114" t="n"/>
      <c r="D3971" s="115" t="n"/>
      <c r="E3971" s="116" t="n"/>
      <c r="F3971" s="115" t="n"/>
      <c r="G3971" s="117">
        <f>IF(COUNTA(B3971:E3971)=0,"",IF(COUNTA(B3971:E3971)&lt;4,"⚠ กรอกไม่ครบ",IF(NOT(ISNUMBER(B3971)),"⚠ วันที่ไม่ถูกต้อง",IF(COUNTIFS(Setup!$L$6:$L$60,D3971,Setup!$M$6:$M$60,C3971)=0,"⚠ หมวดไม่ตรงประเภท","✓"))))</f>
        <v/>
      </c>
    </row>
    <row r="3972">
      <c r="B3972" s="113" t="n"/>
      <c r="C3972" s="114" t="n"/>
      <c r="D3972" s="115" t="n"/>
      <c r="E3972" s="116" t="n"/>
      <c r="F3972" s="115" t="n"/>
      <c r="G3972" s="117">
        <f>IF(COUNTA(B3972:E3972)=0,"",IF(COUNTA(B3972:E3972)&lt;4,"⚠ กรอกไม่ครบ",IF(NOT(ISNUMBER(B3972)),"⚠ วันที่ไม่ถูกต้อง",IF(COUNTIFS(Setup!$L$6:$L$60,D3972,Setup!$M$6:$M$60,C3972)=0,"⚠ หมวดไม่ตรงประเภท","✓"))))</f>
        <v/>
      </c>
    </row>
    <row r="3973">
      <c r="B3973" s="113" t="n"/>
      <c r="C3973" s="114" t="n"/>
      <c r="D3973" s="115" t="n"/>
      <c r="E3973" s="116" t="n"/>
      <c r="F3973" s="115" t="n"/>
      <c r="G3973" s="117">
        <f>IF(COUNTA(B3973:E3973)=0,"",IF(COUNTA(B3973:E3973)&lt;4,"⚠ กรอกไม่ครบ",IF(NOT(ISNUMBER(B3973)),"⚠ วันที่ไม่ถูกต้อง",IF(COUNTIFS(Setup!$L$6:$L$60,D3973,Setup!$M$6:$M$60,C3973)=0,"⚠ หมวดไม่ตรงประเภท","✓"))))</f>
        <v/>
      </c>
    </row>
    <row r="3974">
      <c r="B3974" s="113" t="n"/>
      <c r="C3974" s="114" t="n"/>
      <c r="D3974" s="115" t="n"/>
      <c r="E3974" s="116" t="n"/>
      <c r="F3974" s="115" t="n"/>
      <c r="G3974" s="117">
        <f>IF(COUNTA(B3974:E3974)=0,"",IF(COUNTA(B3974:E3974)&lt;4,"⚠ กรอกไม่ครบ",IF(NOT(ISNUMBER(B3974)),"⚠ วันที่ไม่ถูกต้อง",IF(COUNTIFS(Setup!$L$6:$L$60,D3974,Setup!$M$6:$M$60,C3974)=0,"⚠ หมวดไม่ตรงประเภท","✓"))))</f>
        <v/>
      </c>
    </row>
    <row r="3975">
      <c r="B3975" s="113" t="n"/>
      <c r="C3975" s="114" t="n"/>
      <c r="D3975" s="115" t="n"/>
      <c r="E3975" s="116" t="n"/>
      <c r="F3975" s="115" t="n"/>
      <c r="G3975" s="117">
        <f>IF(COUNTA(B3975:E3975)=0,"",IF(COUNTA(B3975:E3975)&lt;4,"⚠ กรอกไม่ครบ",IF(NOT(ISNUMBER(B3975)),"⚠ วันที่ไม่ถูกต้อง",IF(COUNTIFS(Setup!$L$6:$L$60,D3975,Setup!$M$6:$M$60,C3975)=0,"⚠ หมวดไม่ตรงประเภท","✓"))))</f>
        <v/>
      </c>
    </row>
    <row r="3976">
      <c r="B3976" s="113" t="n"/>
      <c r="C3976" s="114" t="n"/>
      <c r="D3976" s="115" t="n"/>
      <c r="E3976" s="116" t="n"/>
      <c r="F3976" s="115" t="n"/>
      <c r="G3976" s="117">
        <f>IF(COUNTA(B3976:E3976)=0,"",IF(COUNTA(B3976:E3976)&lt;4,"⚠ กรอกไม่ครบ",IF(NOT(ISNUMBER(B3976)),"⚠ วันที่ไม่ถูกต้อง",IF(COUNTIFS(Setup!$L$6:$L$60,D3976,Setup!$M$6:$M$60,C3976)=0,"⚠ หมวดไม่ตรงประเภท","✓"))))</f>
        <v/>
      </c>
    </row>
    <row r="3977">
      <c r="B3977" s="113" t="n"/>
      <c r="C3977" s="114" t="n"/>
      <c r="D3977" s="115" t="n"/>
      <c r="E3977" s="116" t="n"/>
      <c r="F3977" s="115" t="n"/>
      <c r="G3977" s="117">
        <f>IF(COUNTA(B3977:E3977)=0,"",IF(COUNTA(B3977:E3977)&lt;4,"⚠ กรอกไม่ครบ",IF(NOT(ISNUMBER(B3977)),"⚠ วันที่ไม่ถูกต้อง",IF(COUNTIFS(Setup!$L$6:$L$60,D3977,Setup!$M$6:$M$60,C3977)=0,"⚠ หมวดไม่ตรงประเภท","✓"))))</f>
        <v/>
      </c>
    </row>
    <row r="3978">
      <c r="B3978" s="113" t="n"/>
      <c r="C3978" s="114" t="n"/>
      <c r="D3978" s="115" t="n"/>
      <c r="E3978" s="116" t="n"/>
      <c r="F3978" s="115" t="n"/>
      <c r="G3978" s="117">
        <f>IF(COUNTA(B3978:E3978)=0,"",IF(COUNTA(B3978:E3978)&lt;4,"⚠ กรอกไม่ครบ",IF(NOT(ISNUMBER(B3978)),"⚠ วันที่ไม่ถูกต้อง",IF(COUNTIFS(Setup!$L$6:$L$60,D3978,Setup!$M$6:$M$60,C3978)=0,"⚠ หมวดไม่ตรงประเภท","✓"))))</f>
        <v/>
      </c>
    </row>
    <row r="3979">
      <c r="B3979" s="113" t="n"/>
      <c r="C3979" s="114" t="n"/>
      <c r="D3979" s="115" t="n"/>
      <c r="E3979" s="116" t="n"/>
      <c r="F3979" s="115" t="n"/>
      <c r="G3979" s="117">
        <f>IF(COUNTA(B3979:E3979)=0,"",IF(COUNTA(B3979:E3979)&lt;4,"⚠ กรอกไม่ครบ",IF(NOT(ISNUMBER(B3979)),"⚠ วันที่ไม่ถูกต้อง",IF(COUNTIFS(Setup!$L$6:$L$60,D3979,Setup!$M$6:$M$60,C3979)=0,"⚠ หมวดไม่ตรงประเภท","✓"))))</f>
        <v/>
      </c>
    </row>
    <row r="3980">
      <c r="B3980" s="113" t="n"/>
      <c r="C3980" s="114" t="n"/>
      <c r="D3980" s="115" t="n"/>
      <c r="E3980" s="116" t="n"/>
      <c r="F3980" s="115" t="n"/>
      <c r="G3980" s="117">
        <f>IF(COUNTA(B3980:E3980)=0,"",IF(COUNTA(B3980:E3980)&lt;4,"⚠ กรอกไม่ครบ",IF(NOT(ISNUMBER(B3980)),"⚠ วันที่ไม่ถูกต้อง",IF(COUNTIFS(Setup!$L$6:$L$60,D3980,Setup!$M$6:$M$60,C3980)=0,"⚠ หมวดไม่ตรงประเภท","✓"))))</f>
        <v/>
      </c>
    </row>
    <row r="3981">
      <c r="B3981" s="113" t="n"/>
      <c r="C3981" s="114" t="n"/>
      <c r="D3981" s="115" t="n"/>
      <c r="E3981" s="116" t="n"/>
      <c r="F3981" s="115" t="n"/>
      <c r="G3981" s="117">
        <f>IF(COUNTA(B3981:E3981)=0,"",IF(COUNTA(B3981:E3981)&lt;4,"⚠ กรอกไม่ครบ",IF(NOT(ISNUMBER(B3981)),"⚠ วันที่ไม่ถูกต้อง",IF(COUNTIFS(Setup!$L$6:$L$60,D3981,Setup!$M$6:$M$60,C3981)=0,"⚠ หมวดไม่ตรงประเภท","✓"))))</f>
        <v/>
      </c>
    </row>
    <row r="3982">
      <c r="B3982" s="113" t="n"/>
      <c r="C3982" s="114" t="n"/>
      <c r="D3982" s="115" t="n"/>
      <c r="E3982" s="116" t="n"/>
      <c r="F3982" s="115" t="n"/>
      <c r="G3982" s="117">
        <f>IF(COUNTA(B3982:E3982)=0,"",IF(COUNTA(B3982:E3982)&lt;4,"⚠ กรอกไม่ครบ",IF(NOT(ISNUMBER(B3982)),"⚠ วันที่ไม่ถูกต้อง",IF(COUNTIFS(Setup!$L$6:$L$60,D3982,Setup!$M$6:$M$60,C3982)=0,"⚠ หมวดไม่ตรงประเภท","✓"))))</f>
        <v/>
      </c>
    </row>
    <row r="3983">
      <c r="B3983" s="113" t="n"/>
      <c r="C3983" s="114" t="n"/>
      <c r="D3983" s="115" t="n"/>
      <c r="E3983" s="116" t="n"/>
      <c r="F3983" s="115" t="n"/>
      <c r="G3983" s="117">
        <f>IF(COUNTA(B3983:E3983)=0,"",IF(COUNTA(B3983:E3983)&lt;4,"⚠ กรอกไม่ครบ",IF(NOT(ISNUMBER(B3983)),"⚠ วันที่ไม่ถูกต้อง",IF(COUNTIFS(Setup!$L$6:$L$60,D3983,Setup!$M$6:$M$60,C3983)=0,"⚠ หมวดไม่ตรงประเภท","✓"))))</f>
        <v/>
      </c>
    </row>
    <row r="3984">
      <c r="B3984" s="113" t="n"/>
      <c r="C3984" s="114" t="n"/>
      <c r="D3984" s="115" t="n"/>
      <c r="E3984" s="116" t="n"/>
      <c r="F3984" s="115" t="n"/>
      <c r="G3984" s="117">
        <f>IF(COUNTA(B3984:E3984)=0,"",IF(COUNTA(B3984:E3984)&lt;4,"⚠ กรอกไม่ครบ",IF(NOT(ISNUMBER(B3984)),"⚠ วันที่ไม่ถูกต้อง",IF(COUNTIFS(Setup!$L$6:$L$60,D3984,Setup!$M$6:$M$60,C3984)=0,"⚠ หมวดไม่ตรงประเภท","✓"))))</f>
        <v/>
      </c>
    </row>
    <row r="3985">
      <c r="B3985" s="113" t="n"/>
      <c r="C3985" s="114" t="n"/>
      <c r="D3985" s="115" t="n"/>
      <c r="E3985" s="116" t="n"/>
      <c r="F3985" s="115" t="n"/>
      <c r="G3985" s="117">
        <f>IF(COUNTA(B3985:E3985)=0,"",IF(COUNTA(B3985:E3985)&lt;4,"⚠ กรอกไม่ครบ",IF(NOT(ISNUMBER(B3985)),"⚠ วันที่ไม่ถูกต้อง",IF(COUNTIFS(Setup!$L$6:$L$60,D3985,Setup!$M$6:$M$60,C3985)=0,"⚠ หมวดไม่ตรงประเภท","✓"))))</f>
        <v/>
      </c>
    </row>
    <row r="3986">
      <c r="B3986" s="113" t="n"/>
      <c r="C3986" s="114" t="n"/>
      <c r="D3986" s="115" t="n"/>
      <c r="E3986" s="116" t="n"/>
      <c r="F3986" s="115" t="n"/>
      <c r="G3986" s="117">
        <f>IF(COUNTA(B3986:E3986)=0,"",IF(COUNTA(B3986:E3986)&lt;4,"⚠ กรอกไม่ครบ",IF(NOT(ISNUMBER(B3986)),"⚠ วันที่ไม่ถูกต้อง",IF(COUNTIFS(Setup!$L$6:$L$60,D3986,Setup!$M$6:$M$60,C3986)=0,"⚠ หมวดไม่ตรงประเภท","✓"))))</f>
        <v/>
      </c>
    </row>
    <row r="3987">
      <c r="B3987" s="113" t="n"/>
      <c r="C3987" s="114" t="n"/>
      <c r="D3987" s="115" t="n"/>
      <c r="E3987" s="116" t="n"/>
      <c r="F3987" s="115" t="n"/>
      <c r="G3987" s="117">
        <f>IF(COUNTA(B3987:E3987)=0,"",IF(COUNTA(B3987:E3987)&lt;4,"⚠ กรอกไม่ครบ",IF(NOT(ISNUMBER(B3987)),"⚠ วันที่ไม่ถูกต้อง",IF(COUNTIFS(Setup!$L$6:$L$60,D3987,Setup!$M$6:$M$60,C3987)=0,"⚠ หมวดไม่ตรงประเภท","✓"))))</f>
        <v/>
      </c>
    </row>
    <row r="3988">
      <c r="B3988" s="113" t="n"/>
      <c r="C3988" s="114" t="n"/>
      <c r="D3988" s="115" t="n"/>
      <c r="E3988" s="116" t="n"/>
      <c r="F3988" s="115" t="n"/>
      <c r="G3988" s="117">
        <f>IF(COUNTA(B3988:E3988)=0,"",IF(COUNTA(B3988:E3988)&lt;4,"⚠ กรอกไม่ครบ",IF(NOT(ISNUMBER(B3988)),"⚠ วันที่ไม่ถูกต้อง",IF(COUNTIFS(Setup!$L$6:$L$60,D3988,Setup!$M$6:$M$60,C3988)=0,"⚠ หมวดไม่ตรงประเภท","✓"))))</f>
        <v/>
      </c>
    </row>
    <row r="3989">
      <c r="B3989" s="113" t="n"/>
      <c r="C3989" s="114" t="n"/>
      <c r="D3989" s="115" t="n"/>
      <c r="E3989" s="116" t="n"/>
      <c r="F3989" s="115" t="n"/>
      <c r="G3989" s="117">
        <f>IF(COUNTA(B3989:E3989)=0,"",IF(COUNTA(B3989:E3989)&lt;4,"⚠ กรอกไม่ครบ",IF(NOT(ISNUMBER(B3989)),"⚠ วันที่ไม่ถูกต้อง",IF(COUNTIFS(Setup!$L$6:$L$60,D3989,Setup!$M$6:$M$60,C3989)=0,"⚠ หมวดไม่ตรงประเภท","✓"))))</f>
        <v/>
      </c>
    </row>
    <row r="3990">
      <c r="B3990" s="113" t="n"/>
      <c r="C3990" s="114" t="n"/>
      <c r="D3990" s="115" t="n"/>
      <c r="E3990" s="116" t="n"/>
      <c r="F3990" s="115" t="n"/>
      <c r="G3990" s="117">
        <f>IF(COUNTA(B3990:E3990)=0,"",IF(COUNTA(B3990:E3990)&lt;4,"⚠ กรอกไม่ครบ",IF(NOT(ISNUMBER(B3990)),"⚠ วันที่ไม่ถูกต้อง",IF(COUNTIFS(Setup!$L$6:$L$60,D3990,Setup!$M$6:$M$60,C3990)=0,"⚠ หมวดไม่ตรงประเภท","✓"))))</f>
        <v/>
      </c>
    </row>
    <row r="3991">
      <c r="B3991" s="113" t="n"/>
      <c r="C3991" s="114" t="n"/>
      <c r="D3991" s="115" t="n"/>
      <c r="E3991" s="116" t="n"/>
      <c r="F3991" s="115" t="n"/>
      <c r="G3991" s="117">
        <f>IF(COUNTA(B3991:E3991)=0,"",IF(COUNTA(B3991:E3991)&lt;4,"⚠ กรอกไม่ครบ",IF(NOT(ISNUMBER(B3991)),"⚠ วันที่ไม่ถูกต้อง",IF(COUNTIFS(Setup!$L$6:$L$60,D3991,Setup!$M$6:$M$60,C3991)=0,"⚠ หมวดไม่ตรงประเภท","✓"))))</f>
        <v/>
      </c>
    </row>
    <row r="3992">
      <c r="B3992" s="113" t="n"/>
      <c r="C3992" s="114" t="n"/>
      <c r="D3992" s="115" t="n"/>
      <c r="E3992" s="116" t="n"/>
      <c r="F3992" s="115" t="n"/>
      <c r="G3992" s="117">
        <f>IF(COUNTA(B3992:E3992)=0,"",IF(COUNTA(B3992:E3992)&lt;4,"⚠ กรอกไม่ครบ",IF(NOT(ISNUMBER(B3992)),"⚠ วันที่ไม่ถูกต้อง",IF(COUNTIFS(Setup!$L$6:$L$60,D3992,Setup!$M$6:$M$60,C3992)=0,"⚠ หมวดไม่ตรงประเภท","✓"))))</f>
        <v/>
      </c>
    </row>
    <row r="3993">
      <c r="B3993" s="113" t="n"/>
      <c r="C3993" s="114" t="n"/>
      <c r="D3993" s="115" t="n"/>
      <c r="E3993" s="116" t="n"/>
      <c r="F3993" s="115" t="n"/>
      <c r="G3993" s="117">
        <f>IF(COUNTA(B3993:E3993)=0,"",IF(COUNTA(B3993:E3993)&lt;4,"⚠ กรอกไม่ครบ",IF(NOT(ISNUMBER(B3993)),"⚠ วันที่ไม่ถูกต้อง",IF(COUNTIFS(Setup!$L$6:$L$60,D3993,Setup!$M$6:$M$60,C3993)=0,"⚠ หมวดไม่ตรงประเภท","✓"))))</f>
        <v/>
      </c>
    </row>
    <row r="3994">
      <c r="B3994" s="113" t="n"/>
      <c r="C3994" s="114" t="n"/>
      <c r="D3994" s="115" t="n"/>
      <c r="E3994" s="116" t="n"/>
      <c r="F3994" s="115" t="n"/>
      <c r="G3994" s="117">
        <f>IF(COUNTA(B3994:E3994)=0,"",IF(COUNTA(B3994:E3994)&lt;4,"⚠ กรอกไม่ครบ",IF(NOT(ISNUMBER(B3994)),"⚠ วันที่ไม่ถูกต้อง",IF(COUNTIFS(Setup!$L$6:$L$60,D3994,Setup!$M$6:$M$60,C3994)=0,"⚠ หมวดไม่ตรงประเภท","✓"))))</f>
        <v/>
      </c>
    </row>
    <row r="3995">
      <c r="B3995" s="113" t="n"/>
      <c r="C3995" s="114" t="n"/>
      <c r="D3995" s="115" t="n"/>
      <c r="E3995" s="116" t="n"/>
      <c r="F3995" s="115" t="n"/>
      <c r="G3995" s="117">
        <f>IF(COUNTA(B3995:E3995)=0,"",IF(COUNTA(B3995:E3995)&lt;4,"⚠ กรอกไม่ครบ",IF(NOT(ISNUMBER(B3995)),"⚠ วันที่ไม่ถูกต้อง",IF(COUNTIFS(Setup!$L$6:$L$60,D3995,Setup!$M$6:$M$60,C3995)=0,"⚠ หมวดไม่ตรงประเภท","✓"))))</f>
        <v/>
      </c>
    </row>
    <row r="3996">
      <c r="B3996" s="113" t="n"/>
      <c r="C3996" s="114" t="n"/>
      <c r="D3996" s="115" t="n"/>
      <c r="E3996" s="116" t="n"/>
      <c r="F3996" s="115" t="n"/>
      <c r="G3996" s="117">
        <f>IF(COUNTA(B3996:E3996)=0,"",IF(COUNTA(B3996:E3996)&lt;4,"⚠ กรอกไม่ครบ",IF(NOT(ISNUMBER(B3996)),"⚠ วันที่ไม่ถูกต้อง",IF(COUNTIFS(Setup!$L$6:$L$60,D3996,Setup!$M$6:$M$60,C3996)=0,"⚠ หมวดไม่ตรงประเภท","✓"))))</f>
        <v/>
      </c>
    </row>
    <row r="3997">
      <c r="B3997" s="113" t="n"/>
      <c r="C3997" s="114" t="n"/>
      <c r="D3997" s="115" t="n"/>
      <c r="E3997" s="116" t="n"/>
      <c r="F3997" s="115" t="n"/>
      <c r="G3997" s="117">
        <f>IF(COUNTA(B3997:E3997)=0,"",IF(COUNTA(B3997:E3997)&lt;4,"⚠ กรอกไม่ครบ",IF(NOT(ISNUMBER(B3997)),"⚠ วันที่ไม่ถูกต้อง",IF(COUNTIFS(Setup!$L$6:$L$60,D3997,Setup!$M$6:$M$60,C3997)=0,"⚠ หมวดไม่ตรงประเภท","✓"))))</f>
        <v/>
      </c>
    </row>
    <row r="3998">
      <c r="B3998" s="113" t="n"/>
      <c r="C3998" s="114" t="n"/>
      <c r="D3998" s="115" t="n"/>
      <c r="E3998" s="116" t="n"/>
      <c r="F3998" s="115" t="n"/>
      <c r="G3998" s="117">
        <f>IF(COUNTA(B3998:E3998)=0,"",IF(COUNTA(B3998:E3998)&lt;4,"⚠ กรอกไม่ครบ",IF(NOT(ISNUMBER(B3998)),"⚠ วันที่ไม่ถูกต้อง",IF(COUNTIFS(Setup!$L$6:$L$60,D3998,Setup!$M$6:$M$60,C3998)=0,"⚠ หมวดไม่ตรงประเภท","✓"))))</f>
        <v/>
      </c>
    </row>
    <row r="3999">
      <c r="B3999" s="113" t="n"/>
      <c r="C3999" s="114" t="n"/>
      <c r="D3999" s="115" t="n"/>
      <c r="E3999" s="116" t="n"/>
      <c r="F3999" s="115" t="n"/>
      <c r="G3999" s="117">
        <f>IF(COUNTA(B3999:E3999)=0,"",IF(COUNTA(B3999:E3999)&lt;4,"⚠ กรอกไม่ครบ",IF(NOT(ISNUMBER(B3999)),"⚠ วันที่ไม่ถูกต้อง",IF(COUNTIFS(Setup!$L$6:$L$60,D3999,Setup!$M$6:$M$60,C3999)=0,"⚠ หมวดไม่ตรงประเภท","✓"))))</f>
        <v/>
      </c>
    </row>
    <row r="4000">
      <c r="B4000" s="113" t="n"/>
      <c r="C4000" s="114" t="n"/>
      <c r="D4000" s="115" t="n"/>
      <c r="E4000" s="116" t="n"/>
      <c r="F4000" s="115" t="n"/>
      <c r="G4000" s="117">
        <f>IF(COUNTA(B4000:E4000)=0,"",IF(COUNTA(B4000:E4000)&lt;4,"⚠ กรอกไม่ครบ",IF(NOT(ISNUMBER(B4000)),"⚠ วันที่ไม่ถูกต้อง",IF(COUNTIFS(Setup!$L$6:$L$60,D4000,Setup!$M$6:$M$60,C4000)=0,"⚠ หมวดไม่ตรงประเภท","✓"))))</f>
        <v/>
      </c>
    </row>
    <row r="4001">
      <c r="B4001" s="113" t="n"/>
      <c r="C4001" s="114" t="n"/>
      <c r="D4001" s="115" t="n"/>
      <c r="E4001" s="116" t="n"/>
      <c r="F4001" s="115" t="n"/>
      <c r="G4001" s="117">
        <f>IF(COUNTA(B4001:E4001)=0,"",IF(COUNTA(B4001:E4001)&lt;4,"⚠ กรอกไม่ครบ",IF(NOT(ISNUMBER(B4001)),"⚠ วันที่ไม่ถูกต้อง",IF(COUNTIFS(Setup!$L$6:$L$60,D4001,Setup!$M$6:$M$60,C4001)=0,"⚠ หมวดไม่ตรงประเภท","✓"))))</f>
        <v/>
      </c>
    </row>
    <row r="4002">
      <c r="B4002" s="113" t="n"/>
      <c r="C4002" s="114" t="n"/>
      <c r="D4002" s="115" t="n"/>
      <c r="E4002" s="116" t="n"/>
      <c r="F4002" s="115" t="n"/>
      <c r="G4002" s="117">
        <f>IF(COUNTA(B4002:E4002)=0,"",IF(COUNTA(B4002:E4002)&lt;4,"⚠ กรอกไม่ครบ",IF(NOT(ISNUMBER(B4002)),"⚠ วันที่ไม่ถูกต้อง",IF(COUNTIFS(Setup!$L$6:$L$60,D4002,Setup!$M$6:$M$60,C4002)=0,"⚠ หมวดไม่ตรงประเภท","✓"))))</f>
        <v/>
      </c>
    </row>
    <row r="4003">
      <c r="B4003" s="113" t="n"/>
      <c r="C4003" s="114" t="n"/>
      <c r="D4003" s="115" t="n"/>
      <c r="E4003" s="116" t="n"/>
      <c r="F4003" s="115" t="n"/>
      <c r="G4003" s="117">
        <f>IF(COUNTA(B4003:E4003)=0,"",IF(COUNTA(B4003:E4003)&lt;4,"⚠ กรอกไม่ครบ",IF(NOT(ISNUMBER(B4003)),"⚠ วันที่ไม่ถูกต้อง",IF(COUNTIFS(Setup!$L$6:$L$60,D4003,Setup!$M$6:$M$60,C4003)=0,"⚠ หมวดไม่ตรงประเภท","✓"))))</f>
        <v/>
      </c>
    </row>
    <row r="4004">
      <c r="B4004" s="113" t="n"/>
      <c r="C4004" s="114" t="n"/>
      <c r="D4004" s="115" t="n"/>
      <c r="E4004" s="116" t="n"/>
      <c r="F4004" s="115" t="n"/>
      <c r="G4004" s="117">
        <f>IF(COUNTA(B4004:E4004)=0,"",IF(COUNTA(B4004:E4004)&lt;4,"⚠ กรอกไม่ครบ",IF(NOT(ISNUMBER(B4004)),"⚠ วันที่ไม่ถูกต้อง",IF(COUNTIFS(Setup!$L$6:$L$60,D4004,Setup!$M$6:$M$60,C4004)=0,"⚠ หมวดไม่ตรงประเภท","✓"))))</f>
        <v/>
      </c>
    </row>
    <row r="4005">
      <c r="B4005" s="113" t="n"/>
      <c r="C4005" s="114" t="n"/>
      <c r="D4005" s="115" t="n"/>
      <c r="E4005" s="116" t="n"/>
      <c r="F4005" s="115" t="n"/>
      <c r="G4005" s="117">
        <f>IF(COUNTA(B4005:E4005)=0,"",IF(COUNTA(B4005:E4005)&lt;4,"⚠ กรอกไม่ครบ",IF(NOT(ISNUMBER(B4005)),"⚠ วันที่ไม่ถูกต้อง",IF(COUNTIFS(Setup!$L$6:$L$60,D4005,Setup!$M$6:$M$60,C4005)=0,"⚠ หมวดไม่ตรงประเภท","✓"))))</f>
        <v/>
      </c>
    </row>
    <row r="4006">
      <c r="B4006" s="113" t="n"/>
      <c r="C4006" s="114" t="n"/>
      <c r="D4006" s="115" t="n"/>
      <c r="E4006" s="116" t="n"/>
      <c r="F4006" s="115" t="n"/>
      <c r="G4006" s="117">
        <f>IF(COUNTA(B4006:E4006)=0,"",IF(COUNTA(B4006:E4006)&lt;4,"⚠ กรอกไม่ครบ",IF(NOT(ISNUMBER(B4006)),"⚠ วันที่ไม่ถูกต้อง",IF(COUNTIFS(Setup!$L$6:$L$60,D4006,Setup!$M$6:$M$60,C4006)=0,"⚠ หมวดไม่ตรงประเภท","✓"))))</f>
        <v/>
      </c>
    </row>
    <row r="4007">
      <c r="B4007" s="113" t="n"/>
      <c r="C4007" s="114" t="n"/>
      <c r="D4007" s="115" t="n"/>
      <c r="E4007" s="116" t="n"/>
      <c r="F4007" s="115" t="n"/>
      <c r="G4007" s="117">
        <f>IF(COUNTA(B4007:E4007)=0,"",IF(COUNTA(B4007:E4007)&lt;4,"⚠ กรอกไม่ครบ",IF(NOT(ISNUMBER(B4007)),"⚠ วันที่ไม่ถูกต้อง",IF(COUNTIFS(Setup!$L$6:$L$60,D4007,Setup!$M$6:$M$60,C4007)=0,"⚠ หมวดไม่ตรงประเภท","✓"))))</f>
        <v/>
      </c>
    </row>
    <row r="4008">
      <c r="B4008" s="113" t="n"/>
      <c r="C4008" s="114" t="n"/>
      <c r="D4008" s="115" t="n"/>
      <c r="E4008" s="116" t="n"/>
      <c r="F4008" s="115" t="n"/>
      <c r="G4008" s="117">
        <f>IF(COUNTA(B4008:E4008)=0,"",IF(COUNTA(B4008:E4008)&lt;4,"⚠ กรอกไม่ครบ",IF(NOT(ISNUMBER(B4008)),"⚠ วันที่ไม่ถูกต้อง",IF(COUNTIFS(Setup!$L$6:$L$60,D4008,Setup!$M$6:$M$60,C4008)=0,"⚠ หมวดไม่ตรงประเภท","✓"))))</f>
        <v/>
      </c>
    </row>
    <row r="4009">
      <c r="B4009" s="113" t="n"/>
      <c r="C4009" s="114" t="n"/>
      <c r="D4009" s="115" t="n"/>
      <c r="E4009" s="116" t="n"/>
      <c r="F4009" s="115" t="n"/>
      <c r="G4009" s="117">
        <f>IF(COUNTA(B4009:E4009)=0,"",IF(COUNTA(B4009:E4009)&lt;4,"⚠ กรอกไม่ครบ",IF(NOT(ISNUMBER(B4009)),"⚠ วันที่ไม่ถูกต้อง",IF(COUNTIFS(Setup!$L$6:$L$60,D4009,Setup!$M$6:$M$60,C4009)=0,"⚠ หมวดไม่ตรงประเภท","✓"))))</f>
        <v/>
      </c>
    </row>
    <row r="4010">
      <c r="B4010" s="113" t="n"/>
      <c r="C4010" s="114" t="n"/>
      <c r="D4010" s="115" t="n"/>
      <c r="E4010" s="116" t="n"/>
      <c r="F4010" s="115" t="n"/>
      <c r="G4010" s="117">
        <f>IF(COUNTA(B4010:E4010)=0,"",IF(COUNTA(B4010:E4010)&lt;4,"⚠ กรอกไม่ครบ",IF(NOT(ISNUMBER(B4010)),"⚠ วันที่ไม่ถูกต้อง",IF(COUNTIFS(Setup!$L$6:$L$60,D4010,Setup!$M$6:$M$60,C4010)=0,"⚠ หมวดไม่ตรงประเภท","✓"))))</f>
        <v/>
      </c>
    </row>
    <row r="4011">
      <c r="B4011" s="113" t="n"/>
      <c r="C4011" s="114" t="n"/>
      <c r="D4011" s="115" t="n"/>
      <c r="E4011" s="116" t="n"/>
      <c r="F4011" s="115" t="n"/>
      <c r="G4011" s="117">
        <f>IF(COUNTA(B4011:E4011)=0,"",IF(COUNTA(B4011:E4011)&lt;4,"⚠ กรอกไม่ครบ",IF(NOT(ISNUMBER(B4011)),"⚠ วันที่ไม่ถูกต้อง",IF(COUNTIFS(Setup!$L$6:$L$60,D4011,Setup!$M$6:$M$60,C4011)=0,"⚠ หมวดไม่ตรงประเภท","✓"))))</f>
        <v/>
      </c>
    </row>
    <row r="4012">
      <c r="B4012" s="113" t="n"/>
      <c r="C4012" s="114" t="n"/>
      <c r="D4012" s="115" t="n"/>
      <c r="E4012" s="116" t="n"/>
      <c r="F4012" s="115" t="n"/>
      <c r="G4012" s="117">
        <f>IF(COUNTA(B4012:E4012)=0,"",IF(COUNTA(B4012:E4012)&lt;4,"⚠ กรอกไม่ครบ",IF(NOT(ISNUMBER(B4012)),"⚠ วันที่ไม่ถูกต้อง",IF(COUNTIFS(Setup!$L$6:$L$60,D4012,Setup!$M$6:$M$60,C4012)=0,"⚠ หมวดไม่ตรงประเภท","✓"))))</f>
        <v/>
      </c>
    </row>
    <row r="4013">
      <c r="B4013" s="113" t="n"/>
      <c r="C4013" s="114" t="n"/>
      <c r="D4013" s="115" t="n"/>
      <c r="E4013" s="116" t="n"/>
      <c r="F4013" s="115" t="n"/>
      <c r="G4013" s="117">
        <f>IF(COUNTA(B4013:E4013)=0,"",IF(COUNTA(B4013:E4013)&lt;4,"⚠ กรอกไม่ครบ",IF(NOT(ISNUMBER(B4013)),"⚠ วันที่ไม่ถูกต้อง",IF(COUNTIFS(Setup!$L$6:$L$60,D4013,Setup!$M$6:$M$60,C4013)=0,"⚠ หมวดไม่ตรงประเภท","✓"))))</f>
        <v/>
      </c>
    </row>
    <row r="4014">
      <c r="B4014" s="113" t="n"/>
      <c r="C4014" s="114" t="n"/>
      <c r="D4014" s="115" t="n"/>
      <c r="E4014" s="116" t="n"/>
      <c r="F4014" s="115" t="n"/>
      <c r="G4014" s="117">
        <f>IF(COUNTA(B4014:E4014)=0,"",IF(COUNTA(B4014:E4014)&lt;4,"⚠ กรอกไม่ครบ",IF(NOT(ISNUMBER(B4014)),"⚠ วันที่ไม่ถูกต้อง",IF(COUNTIFS(Setup!$L$6:$L$60,D4014,Setup!$M$6:$M$60,C4014)=0,"⚠ หมวดไม่ตรงประเภท","✓"))))</f>
        <v/>
      </c>
    </row>
    <row r="4015">
      <c r="B4015" s="113" t="n"/>
      <c r="C4015" s="114" t="n"/>
      <c r="D4015" s="115" t="n"/>
      <c r="E4015" s="116" t="n"/>
      <c r="F4015" s="115" t="n"/>
      <c r="G4015" s="117">
        <f>IF(COUNTA(B4015:E4015)=0,"",IF(COUNTA(B4015:E4015)&lt;4,"⚠ กรอกไม่ครบ",IF(NOT(ISNUMBER(B4015)),"⚠ วันที่ไม่ถูกต้อง",IF(COUNTIFS(Setup!$L$6:$L$60,D4015,Setup!$M$6:$M$60,C4015)=0,"⚠ หมวดไม่ตรงประเภท","✓"))))</f>
        <v/>
      </c>
    </row>
    <row r="4016">
      <c r="B4016" s="113" t="n"/>
      <c r="C4016" s="114" t="n"/>
      <c r="D4016" s="115" t="n"/>
      <c r="E4016" s="116" t="n"/>
      <c r="F4016" s="115" t="n"/>
      <c r="G4016" s="117">
        <f>IF(COUNTA(B4016:E4016)=0,"",IF(COUNTA(B4016:E4016)&lt;4,"⚠ กรอกไม่ครบ",IF(NOT(ISNUMBER(B4016)),"⚠ วันที่ไม่ถูกต้อง",IF(COUNTIFS(Setup!$L$6:$L$60,D4016,Setup!$M$6:$M$60,C4016)=0,"⚠ หมวดไม่ตรงประเภท","✓"))))</f>
        <v/>
      </c>
    </row>
    <row r="4017">
      <c r="B4017" s="113" t="n"/>
      <c r="C4017" s="114" t="n"/>
      <c r="D4017" s="115" t="n"/>
      <c r="E4017" s="116" t="n"/>
      <c r="F4017" s="115" t="n"/>
      <c r="G4017" s="117">
        <f>IF(COUNTA(B4017:E4017)=0,"",IF(COUNTA(B4017:E4017)&lt;4,"⚠ กรอกไม่ครบ",IF(NOT(ISNUMBER(B4017)),"⚠ วันที่ไม่ถูกต้อง",IF(COUNTIFS(Setup!$L$6:$L$60,D4017,Setup!$M$6:$M$60,C4017)=0,"⚠ หมวดไม่ตรงประเภท","✓"))))</f>
        <v/>
      </c>
    </row>
    <row r="4018">
      <c r="B4018" s="113" t="n"/>
      <c r="C4018" s="114" t="n"/>
      <c r="D4018" s="115" t="n"/>
      <c r="E4018" s="116" t="n"/>
      <c r="F4018" s="115" t="n"/>
      <c r="G4018" s="117">
        <f>IF(COUNTA(B4018:E4018)=0,"",IF(COUNTA(B4018:E4018)&lt;4,"⚠ กรอกไม่ครบ",IF(NOT(ISNUMBER(B4018)),"⚠ วันที่ไม่ถูกต้อง",IF(COUNTIFS(Setup!$L$6:$L$60,D4018,Setup!$M$6:$M$60,C4018)=0,"⚠ หมวดไม่ตรงประเภท","✓"))))</f>
        <v/>
      </c>
    </row>
    <row r="4019">
      <c r="B4019" s="113" t="n"/>
      <c r="C4019" s="114" t="n"/>
      <c r="D4019" s="115" t="n"/>
      <c r="E4019" s="116" t="n"/>
      <c r="F4019" s="115" t="n"/>
      <c r="G4019" s="117">
        <f>IF(COUNTA(B4019:E4019)=0,"",IF(COUNTA(B4019:E4019)&lt;4,"⚠ กรอกไม่ครบ",IF(NOT(ISNUMBER(B4019)),"⚠ วันที่ไม่ถูกต้อง",IF(COUNTIFS(Setup!$L$6:$L$60,D4019,Setup!$M$6:$M$60,C4019)=0,"⚠ หมวดไม่ตรงประเภท","✓"))))</f>
        <v/>
      </c>
    </row>
    <row r="4020">
      <c r="B4020" s="113" t="n"/>
      <c r="C4020" s="114" t="n"/>
      <c r="D4020" s="115" t="n"/>
      <c r="E4020" s="116" t="n"/>
      <c r="F4020" s="115" t="n"/>
      <c r="G4020" s="117">
        <f>IF(COUNTA(B4020:E4020)=0,"",IF(COUNTA(B4020:E4020)&lt;4,"⚠ กรอกไม่ครบ",IF(NOT(ISNUMBER(B4020)),"⚠ วันที่ไม่ถูกต้อง",IF(COUNTIFS(Setup!$L$6:$L$60,D4020,Setup!$M$6:$M$60,C4020)=0,"⚠ หมวดไม่ตรงประเภท","✓"))))</f>
        <v/>
      </c>
    </row>
    <row r="4021">
      <c r="B4021" s="113" t="n"/>
      <c r="C4021" s="114" t="n"/>
      <c r="D4021" s="115" t="n"/>
      <c r="E4021" s="116" t="n"/>
      <c r="F4021" s="115" t="n"/>
      <c r="G4021" s="117">
        <f>IF(COUNTA(B4021:E4021)=0,"",IF(COUNTA(B4021:E4021)&lt;4,"⚠ กรอกไม่ครบ",IF(NOT(ISNUMBER(B4021)),"⚠ วันที่ไม่ถูกต้อง",IF(COUNTIFS(Setup!$L$6:$L$60,D4021,Setup!$M$6:$M$60,C4021)=0,"⚠ หมวดไม่ตรงประเภท","✓"))))</f>
        <v/>
      </c>
    </row>
    <row r="4022">
      <c r="B4022" s="113" t="n"/>
      <c r="C4022" s="114" t="n"/>
      <c r="D4022" s="115" t="n"/>
      <c r="E4022" s="116" t="n"/>
      <c r="F4022" s="115" t="n"/>
      <c r="G4022" s="117">
        <f>IF(COUNTA(B4022:E4022)=0,"",IF(COUNTA(B4022:E4022)&lt;4,"⚠ กรอกไม่ครบ",IF(NOT(ISNUMBER(B4022)),"⚠ วันที่ไม่ถูกต้อง",IF(COUNTIFS(Setup!$L$6:$L$60,D4022,Setup!$M$6:$M$60,C4022)=0,"⚠ หมวดไม่ตรงประเภท","✓"))))</f>
        <v/>
      </c>
    </row>
    <row r="4023">
      <c r="B4023" s="113" t="n"/>
      <c r="C4023" s="114" t="n"/>
      <c r="D4023" s="115" t="n"/>
      <c r="E4023" s="116" t="n"/>
      <c r="F4023" s="115" t="n"/>
      <c r="G4023" s="117">
        <f>IF(COUNTA(B4023:E4023)=0,"",IF(COUNTA(B4023:E4023)&lt;4,"⚠ กรอกไม่ครบ",IF(NOT(ISNUMBER(B4023)),"⚠ วันที่ไม่ถูกต้อง",IF(COUNTIFS(Setup!$L$6:$L$60,D4023,Setup!$M$6:$M$60,C4023)=0,"⚠ หมวดไม่ตรงประเภท","✓"))))</f>
        <v/>
      </c>
    </row>
    <row r="4024">
      <c r="B4024" s="113" t="n"/>
      <c r="C4024" s="114" t="n"/>
      <c r="D4024" s="115" t="n"/>
      <c r="E4024" s="116" t="n"/>
      <c r="F4024" s="115" t="n"/>
      <c r="G4024" s="117">
        <f>IF(COUNTA(B4024:E4024)=0,"",IF(COUNTA(B4024:E4024)&lt;4,"⚠ กรอกไม่ครบ",IF(NOT(ISNUMBER(B4024)),"⚠ วันที่ไม่ถูกต้อง",IF(COUNTIFS(Setup!$L$6:$L$60,D4024,Setup!$M$6:$M$60,C4024)=0,"⚠ หมวดไม่ตรงประเภท","✓"))))</f>
        <v/>
      </c>
    </row>
    <row r="4025">
      <c r="B4025" s="113" t="n"/>
      <c r="C4025" s="114" t="n"/>
      <c r="D4025" s="115" t="n"/>
      <c r="E4025" s="116" t="n"/>
      <c r="F4025" s="115" t="n"/>
      <c r="G4025" s="117">
        <f>IF(COUNTA(B4025:E4025)=0,"",IF(COUNTA(B4025:E4025)&lt;4,"⚠ กรอกไม่ครบ",IF(NOT(ISNUMBER(B4025)),"⚠ วันที่ไม่ถูกต้อง",IF(COUNTIFS(Setup!$L$6:$L$60,D4025,Setup!$M$6:$M$60,C4025)=0,"⚠ หมวดไม่ตรงประเภท","✓"))))</f>
        <v/>
      </c>
    </row>
    <row r="4026">
      <c r="B4026" s="113" t="n"/>
      <c r="C4026" s="114" t="n"/>
      <c r="D4026" s="115" t="n"/>
      <c r="E4026" s="116" t="n"/>
      <c r="F4026" s="115" t="n"/>
      <c r="G4026" s="117">
        <f>IF(COUNTA(B4026:E4026)=0,"",IF(COUNTA(B4026:E4026)&lt;4,"⚠ กรอกไม่ครบ",IF(NOT(ISNUMBER(B4026)),"⚠ วันที่ไม่ถูกต้อง",IF(COUNTIFS(Setup!$L$6:$L$60,D4026,Setup!$M$6:$M$60,C4026)=0,"⚠ หมวดไม่ตรงประเภท","✓"))))</f>
        <v/>
      </c>
    </row>
    <row r="4027">
      <c r="B4027" s="113" t="n"/>
      <c r="C4027" s="114" t="n"/>
      <c r="D4027" s="115" t="n"/>
      <c r="E4027" s="116" t="n"/>
      <c r="F4027" s="115" t="n"/>
      <c r="G4027" s="117">
        <f>IF(COUNTA(B4027:E4027)=0,"",IF(COUNTA(B4027:E4027)&lt;4,"⚠ กรอกไม่ครบ",IF(NOT(ISNUMBER(B4027)),"⚠ วันที่ไม่ถูกต้อง",IF(COUNTIFS(Setup!$L$6:$L$60,D4027,Setup!$M$6:$M$60,C4027)=0,"⚠ หมวดไม่ตรงประเภท","✓"))))</f>
        <v/>
      </c>
    </row>
    <row r="4028">
      <c r="B4028" s="113" t="n"/>
      <c r="C4028" s="114" t="n"/>
      <c r="D4028" s="115" t="n"/>
      <c r="E4028" s="116" t="n"/>
      <c r="F4028" s="115" t="n"/>
      <c r="G4028" s="117">
        <f>IF(COUNTA(B4028:E4028)=0,"",IF(COUNTA(B4028:E4028)&lt;4,"⚠ กรอกไม่ครบ",IF(NOT(ISNUMBER(B4028)),"⚠ วันที่ไม่ถูกต้อง",IF(COUNTIFS(Setup!$L$6:$L$60,D4028,Setup!$M$6:$M$60,C4028)=0,"⚠ หมวดไม่ตรงประเภท","✓"))))</f>
        <v/>
      </c>
    </row>
    <row r="4029">
      <c r="B4029" s="113" t="n"/>
      <c r="C4029" s="114" t="n"/>
      <c r="D4029" s="115" t="n"/>
      <c r="E4029" s="116" t="n"/>
      <c r="F4029" s="115" t="n"/>
      <c r="G4029" s="117">
        <f>IF(COUNTA(B4029:E4029)=0,"",IF(COUNTA(B4029:E4029)&lt;4,"⚠ กรอกไม่ครบ",IF(NOT(ISNUMBER(B4029)),"⚠ วันที่ไม่ถูกต้อง",IF(COUNTIFS(Setup!$L$6:$L$60,D4029,Setup!$M$6:$M$60,C4029)=0,"⚠ หมวดไม่ตรงประเภท","✓"))))</f>
        <v/>
      </c>
    </row>
    <row r="4030">
      <c r="B4030" s="113" t="n"/>
      <c r="C4030" s="114" t="n"/>
      <c r="D4030" s="115" t="n"/>
      <c r="E4030" s="116" t="n"/>
      <c r="F4030" s="115" t="n"/>
      <c r="G4030" s="117">
        <f>IF(COUNTA(B4030:E4030)=0,"",IF(COUNTA(B4030:E4030)&lt;4,"⚠ กรอกไม่ครบ",IF(NOT(ISNUMBER(B4030)),"⚠ วันที่ไม่ถูกต้อง",IF(COUNTIFS(Setup!$L$6:$L$60,D4030,Setup!$M$6:$M$60,C4030)=0,"⚠ หมวดไม่ตรงประเภท","✓"))))</f>
        <v/>
      </c>
    </row>
    <row r="4031">
      <c r="B4031" s="113" t="n"/>
      <c r="C4031" s="114" t="n"/>
      <c r="D4031" s="115" t="n"/>
      <c r="E4031" s="116" t="n"/>
      <c r="F4031" s="115" t="n"/>
      <c r="G4031" s="117">
        <f>IF(COUNTA(B4031:E4031)=0,"",IF(COUNTA(B4031:E4031)&lt;4,"⚠ กรอกไม่ครบ",IF(NOT(ISNUMBER(B4031)),"⚠ วันที่ไม่ถูกต้อง",IF(COUNTIFS(Setup!$L$6:$L$60,D4031,Setup!$M$6:$M$60,C4031)=0,"⚠ หมวดไม่ตรงประเภท","✓"))))</f>
        <v/>
      </c>
    </row>
    <row r="4032">
      <c r="B4032" s="113" t="n"/>
      <c r="C4032" s="114" t="n"/>
      <c r="D4032" s="115" t="n"/>
      <c r="E4032" s="116" t="n"/>
      <c r="F4032" s="115" t="n"/>
      <c r="G4032" s="117">
        <f>IF(COUNTA(B4032:E4032)=0,"",IF(COUNTA(B4032:E4032)&lt;4,"⚠ กรอกไม่ครบ",IF(NOT(ISNUMBER(B4032)),"⚠ วันที่ไม่ถูกต้อง",IF(COUNTIFS(Setup!$L$6:$L$60,D4032,Setup!$M$6:$M$60,C4032)=0,"⚠ หมวดไม่ตรงประเภท","✓"))))</f>
        <v/>
      </c>
    </row>
    <row r="4033">
      <c r="B4033" s="113" t="n"/>
      <c r="C4033" s="114" t="n"/>
      <c r="D4033" s="115" t="n"/>
      <c r="E4033" s="116" t="n"/>
      <c r="F4033" s="115" t="n"/>
      <c r="G4033" s="117">
        <f>IF(COUNTA(B4033:E4033)=0,"",IF(COUNTA(B4033:E4033)&lt;4,"⚠ กรอกไม่ครบ",IF(NOT(ISNUMBER(B4033)),"⚠ วันที่ไม่ถูกต้อง",IF(COUNTIFS(Setup!$L$6:$L$60,D4033,Setup!$M$6:$M$60,C4033)=0,"⚠ หมวดไม่ตรงประเภท","✓"))))</f>
        <v/>
      </c>
    </row>
    <row r="4034">
      <c r="B4034" s="113" t="n"/>
      <c r="C4034" s="114" t="n"/>
      <c r="D4034" s="115" t="n"/>
      <c r="E4034" s="116" t="n"/>
      <c r="F4034" s="115" t="n"/>
      <c r="G4034" s="117">
        <f>IF(COUNTA(B4034:E4034)=0,"",IF(COUNTA(B4034:E4034)&lt;4,"⚠ กรอกไม่ครบ",IF(NOT(ISNUMBER(B4034)),"⚠ วันที่ไม่ถูกต้อง",IF(COUNTIFS(Setup!$L$6:$L$60,D4034,Setup!$M$6:$M$60,C4034)=0,"⚠ หมวดไม่ตรงประเภท","✓"))))</f>
        <v/>
      </c>
    </row>
    <row r="4035">
      <c r="B4035" s="113" t="n"/>
      <c r="C4035" s="114" t="n"/>
      <c r="D4035" s="115" t="n"/>
      <c r="E4035" s="116" t="n"/>
      <c r="F4035" s="115" t="n"/>
      <c r="G4035" s="117">
        <f>IF(COUNTA(B4035:E4035)=0,"",IF(COUNTA(B4035:E4035)&lt;4,"⚠ กรอกไม่ครบ",IF(NOT(ISNUMBER(B4035)),"⚠ วันที่ไม่ถูกต้อง",IF(COUNTIFS(Setup!$L$6:$L$60,D4035,Setup!$M$6:$M$60,C4035)=0,"⚠ หมวดไม่ตรงประเภท","✓"))))</f>
        <v/>
      </c>
    </row>
    <row r="4036">
      <c r="B4036" s="113" t="n"/>
      <c r="C4036" s="114" t="n"/>
      <c r="D4036" s="115" t="n"/>
      <c r="E4036" s="116" t="n"/>
      <c r="F4036" s="115" t="n"/>
      <c r="G4036" s="117">
        <f>IF(COUNTA(B4036:E4036)=0,"",IF(COUNTA(B4036:E4036)&lt;4,"⚠ กรอกไม่ครบ",IF(NOT(ISNUMBER(B4036)),"⚠ วันที่ไม่ถูกต้อง",IF(COUNTIFS(Setup!$L$6:$L$60,D4036,Setup!$M$6:$M$60,C4036)=0,"⚠ หมวดไม่ตรงประเภท","✓"))))</f>
        <v/>
      </c>
    </row>
    <row r="4037">
      <c r="B4037" s="113" t="n"/>
      <c r="C4037" s="114" t="n"/>
      <c r="D4037" s="115" t="n"/>
      <c r="E4037" s="116" t="n"/>
      <c r="F4037" s="115" t="n"/>
      <c r="G4037" s="117">
        <f>IF(COUNTA(B4037:E4037)=0,"",IF(COUNTA(B4037:E4037)&lt;4,"⚠ กรอกไม่ครบ",IF(NOT(ISNUMBER(B4037)),"⚠ วันที่ไม่ถูกต้อง",IF(COUNTIFS(Setup!$L$6:$L$60,D4037,Setup!$M$6:$M$60,C4037)=0,"⚠ หมวดไม่ตรงประเภท","✓"))))</f>
        <v/>
      </c>
    </row>
    <row r="4038">
      <c r="B4038" s="113" t="n"/>
      <c r="C4038" s="114" t="n"/>
      <c r="D4038" s="115" t="n"/>
      <c r="E4038" s="116" t="n"/>
      <c r="F4038" s="115" t="n"/>
      <c r="G4038" s="117">
        <f>IF(COUNTA(B4038:E4038)=0,"",IF(COUNTA(B4038:E4038)&lt;4,"⚠ กรอกไม่ครบ",IF(NOT(ISNUMBER(B4038)),"⚠ วันที่ไม่ถูกต้อง",IF(COUNTIFS(Setup!$L$6:$L$60,D4038,Setup!$M$6:$M$60,C4038)=0,"⚠ หมวดไม่ตรงประเภท","✓"))))</f>
        <v/>
      </c>
    </row>
    <row r="4039">
      <c r="B4039" s="113" t="n"/>
      <c r="C4039" s="114" t="n"/>
      <c r="D4039" s="115" t="n"/>
      <c r="E4039" s="116" t="n"/>
      <c r="F4039" s="115" t="n"/>
      <c r="G4039" s="117">
        <f>IF(COUNTA(B4039:E4039)=0,"",IF(COUNTA(B4039:E4039)&lt;4,"⚠ กรอกไม่ครบ",IF(NOT(ISNUMBER(B4039)),"⚠ วันที่ไม่ถูกต้อง",IF(COUNTIFS(Setup!$L$6:$L$60,D4039,Setup!$M$6:$M$60,C4039)=0,"⚠ หมวดไม่ตรงประเภท","✓"))))</f>
        <v/>
      </c>
    </row>
    <row r="4040">
      <c r="B4040" s="113" t="n"/>
      <c r="C4040" s="114" t="n"/>
      <c r="D4040" s="115" t="n"/>
      <c r="E4040" s="116" t="n"/>
      <c r="F4040" s="115" t="n"/>
      <c r="G4040" s="117">
        <f>IF(COUNTA(B4040:E4040)=0,"",IF(COUNTA(B4040:E4040)&lt;4,"⚠ กรอกไม่ครบ",IF(NOT(ISNUMBER(B4040)),"⚠ วันที่ไม่ถูกต้อง",IF(COUNTIFS(Setup!$L$6:$L$60,D4040,Setup!$M$6:$M$60,C4040)=0,"⚠ หมวดไม่ตรงประเภท","✓"))))</f>
        <v/>
      </c>
    </row>
    <row r="4041">
      <c r="B4041" s="113" t="n"/>
      <c r="C4041" s="114" t="n"/>
      <c r="D4041" s="115" t="n"/>
      <c r="E4041" s="116" t="n"/>
      <c r="F4041" s="115" t="n"/>
      <c r="G4041" s="117">
        <f>IF(COUNTA(B4041:E4041)=0,"",IF(COUNTA(B4041:E4041)&lt;4,"⚠ กรอกไม่ครบ",IF(NOT(ISNUMBER(B4041)),"⚠ วันที่ไม่ถูกต้อง",IF(COUNTIFS(Setup!$L$6:$L$60,D4041,Setup!$M$6:$M$60,C4041)=0,"⚠ หมวดไม่ตรงประเภท","✓"))))</f>
        <v/>
      </c>
    </row>
    <row r="4042">
      <c r="B4042" s="113" t="n"/>
      <c r="C4042" s="114" t="n"/>
      <c r="D4042" s="115" t="n"/>
      <c r="E4042" s="116" t="n"/>
      <c r="F4042" s="115" t="n"/>
      <c r="G4042" s="117">
        <f>IF(COUNTA(B4042:E4042)=0,"",IF(COUNTA(B4042:E4042)&lt;4,"⚠ กรอกไม่ครบ",IF(NOT(ISNUMBER(B4042)),"⚠ วันที่ไม่ถูกต้อง",IF(COUNTIFS(Setup!$L$6:$L$60,D4042,Setup!$M$6:$M$60,C4042)=0,"⚠ หมวดไม่ตรงประเภท","✓"))))</f>
        <v/>
      </c>
    </row>
    <row r="4043">
      <c r="B4043" s="113" t="n"/>
      <c r="C4043" s="114" t="n"/>
      <c r="D4043" s="115" t="n"/>
      <c r="E4043" s="116" t="n"/>
      <c r="F4043" s="115" t="n"/>
      <c r="G4043" s="117">
        <f>IF(COUNTA(B4043:E4043)=0,"",IF(COUNTA(B4043:E4043)&lt;4,"⚠ กรอกไม่ครบ",IF(NOT(ISNUMBER(B4043)),"⚠ วันที่ไม่ถูกต้อง",IF(COUNTIFS(Setup!$L$6:$L$60,D4043,Setup!$M$6:$M$60,C4043)=0,"⚠ หมวดไม่ตรงประเภท","✓"))))</f>
        <v/>
      </c>
    </row>
    <row r="4044">
      <c r="B4044" s="113" t="n"/>
      <c r="C4044" s="114" t="n"/>
      <c r="D4044" s="115" t="n"/>
      <c r="E4044" s="116" t="n"/>
      <c r="F4044" s="115" t="n"/>
      <c r="G4044" s="117">
        <f>IF(COUNTA(B4044:E4044)=0,"",IF(COUNTA(B4044:E4044)&lt;4,"⚠ กรอกไม่ครบ",IF(NOT(ISNUMBER(B4044)),"⚠ วันที่ไม่ถูกต้อง",IF(COUNTIFS(Setup!$L$6:$L$60,D4044,Setup!$M$6:$M$60,C4044)=0,"⚠ หมวดไม่ตรงประเภท","✓"))))</f>
        <v/>
      </c>
    </row>
    <row r="4045">
      <c r="B4045" s="113" t="n"/>
      <c r="C4045" s="114" t="n"/>
      <c r="D4045" s="115" t="n"/>
      <c r="E4045" s="116" t="n"/>
      <c r="F4045" s="115" t="n"/>
      <c r="G4045" s="117">
        <f>IF(COUNTA(B4045:E4045)=0,"",IF(COUNTA(B4045:E4045)&lt;4,"⚠ กรอกไม่ครบ",IF(NOT(ISNUMBER(B4045)),"⚠ วันที่ไม่ถูกต้อง",IF(COUNTIFS(Setup!$L$6:$L$60,D4045,Setup!$M$6:$M$60,C4045)=0,"⚠ หมวดไม่ตรงประเภท","✓"))))</f>
        <v/>
      </c>
    </row>
    <row r="4046">
      <c r="B4046" s="113" t="n"/>
      <c r="C4046" s="114" t="n"/>
      <c r="D4046" s="115" t="n"/>
      <c r="E4046" s="116" t="n"/>
      <c r="F4046" s="115" t="n"/>
      <c r="G4046" s="117">
        <f>IF(COUNTA(B4046:E4046)=0,"",IF(COUNTA(B4046:E4046)&lt;4,"⚠ กรอกไม่ครบ",IF(NOT(ISNUMBER(B4046)),"⚠ วันที่ไม่ถูกต้อง",IF(COUNTIFS(Setup!$L$6:$L$60,D4046,Setup!$M$6:$M$60,C4046)=0,"⚠ หมวดไม่ตรงประเภท","✓"))))</f>
        <v/>
      </c>
    </row>
    <row r="4047">
      <c r="B4047" s="113" t="n"/>
      <c r="C4047" s="114" t="n"/>
      <c r="D4047" s="115" t="n"/>
      <c r="E4047" s="116" t="n"/>
      <c r="F4047" s="115" t="n"/>
      <c r="G4047" s="117">
        <f>IF(COUNTA(B4047:E4047)=0,"",IF(COUNTA(B4047:E4047)&lt;4,"⚠ กรอกไม่ครบ",IF(NOT(ISNUMBER(B4047)),"⚠ วันที่ไม่ถูกต้อง",IF(COUNTIFS(Setup!$L$6:$L$60,D4047,Setup!$M$6:$M$60,C4047)=0,"⚠ หมวดไม่ตรงประเภท","✓"))))</f>
        <v/>
      </c>
    </row>
    <row r="4048">
      <c r="B4048" s="113" t="n"/>
      <c r="C4048" s="114" t="n"/>
      <c r="D4048" s="115" t="n"/>
      <c r="E4048" s="116" t="n"/>
      <c r="F4048" s="115" t="n"/>
      <c r="G4048" s="117">
        <f>IF(COUNTA(B4048:E4048)=0,"",IF(COUNTA(B4048:E4048)&lt;4,"⚠ กรอกไม่ครบ",IF(NOT(ISNUMBER(B4048)),"⚠ วันที่ไม่ถูกต้อง",IF(COUNTIFS(Setup!$L$6:$L$60,D4048,Setup!$M$6:$M$60,C4048)=0,"⚠ หมวดไม่ตรงประเภท","✓"))))</f>
        <v/>
      </c>
    </row>
    <row r="4049">
      <c r="B4049" s="113" t="n"/>
      <c r="C4049" s="114" t="n"/>
      <c r="D4049" s="115" t="n"/>
      <c r="E4049" s="116" t="n"/>
      <c r="F4049" s="115" t="n"/>
      <c r="G4049" s="117">
        <f>IF(COUNTA(B4049:E4049)=0,"",IF(COUNTA(B4049:E4049)&lt;4,"⚠ กรอกไม่ครบ",IF(NOT(ISNUMBER(B4049)),"⚠ วันที่ไม่ถูกต้อง",IF(COUNTIFS(Setup!$L$6:$L$60,D4049,Setup!$M$6:$M$60,C4049)=0,"⚠ หมวดไม่ตรงประเภท","✓"))))</f>
        <v/>
      </c>
    </row>
    <row r="4050">
      <c r="B4050" s="113" t="n"/>
      <c r="C4050" s="114" t="n"/>
      <c r="D4050" s="115" t="n"/>
      <c r="E4050" s="116" t="n"/>
      <c r="F4050" s="115" t="n"/>
      <c r="G4050" s="117">
        <f>IF(COUNTA(B4050:E4050)=0,"",IF(COUNTA(B4050:E4050)&lt;4,"⚠ กรอกไม่ครบ",IF(NOT(ISNUMBER(B4050)),"⚠ วันที่ไม่ถูกต้อง",IF(COUNTIFS(Setup!$L$6:$L$60,D4050,Setup!$M$6:$M$60,C4050)=0,"⚠ หมวดไม่ตรงประเภท","✓"))))</f>
        <v/>
      </c>
    </row>
    <row r="4051">
      <c r="B4051" s="113" t="n"/>
      <c r="C4051" s="114" t="n"/>
      <c r="D4051" s="115" t="n"/>
      <c r="E4051" s="116" t="n"/>
      <c r="F4051" s="115" t="n"/>
      <c r="G4051" s="117">
        <f>IF(COUNTA(B4051:E4051)=0,"",IF(COUNTA(B4051:E4051)&lt;4,"⚠ กรอกไม่ครบ",IF(NOT(ISNUMBER(B4051)),"⚠ วันที่ไม่ถูกต้อง",IF(COUNTIFS(Setup!$L$6:$L$60,D4051,Setup!$M$6:$M$60,C4051)=0,"⚠ หมวดไม่ตรงประเภท","✓"))))</f>
        <v/>
      </c>
    </row>
    <row r="4052">
      <c r="B4052" s="113" t="n"/>
      <c r="C4052" s="114" t="n"/>
      <c r="D4052" s="115" t="n"/>
      <c r="E4052" s="116" t="n"/>
      <c r="F4052" s="115" t="n"/>
      <c r="G4052" s="117">
        <f>IF(COUNTA(B4052:E4052)=0,"",IF(COUNTA(B4052:E4052)&lt;4,"⚠ กรอกไม่ครบ",IF(NOT(ISNUMBER(B4052)),"⚠ วันที่ไม่ถูกต้อง",IF(COUNTIFS(Setup!$L$6:$L$60,D4052,Setup!$M$6:$M$60,C4052)=0,"⚠ หมวดไม่ตรงประเภท","✓"))))</f>
        <v/>
      </c>
    </row>
    <row r="4053">
      <c r="B4053" s="113" t="n"/>
      <c r="C4053" s="114" t="n"/>
      <c r="D4053" s="115" t="n"/>
      <c r="E4053" s="116" t="n"/>
      <c r="F4053" s="115" t="n"/>
      <c r="G4053" s="117">
        <f>IF(COUNTA(B4053:E4053)=0,"",IF(COUNTA(B4053:E4053)&lt;4,"⚠ กรอกไม่ครบ",IF(NOT(ISNUMBER(B4053)),"⚠ วันที่ไม่ถูกต้อง",IF(COUNTIFS(Setup!$L$6:$L$60,D4053,Setup!$M$6:$M$60,C4053)=0,"⚠ หมวดไม่ตรงประเภท","✓"))))</f>
        <v/>
      </c>
    </row>
    <row r="4054">
      <c r="B4054" s="113" t="n"/>
      <c r="C4054" s="114" t="n"/>
      <c r="D4054" s="115" t="n"/>
      <c r="E4054" s="116" t="n"/>
      <c r="F4054" s="115" t="n"/>
      <c r="G4054" s="117">
        <f>IF(COUNTA(B4054:E4054)=0,"",IF(COUNTA(B4054:E4054)&lt;4,"⚠ กรอกไม่ครบ",IF(NOT(ISNUMBER(B4054)),"⚠ วันที่ไม่ถูกต้อง",IF(COUNTIFS(Setup!$L$6:$L$60,D4054,Setup!$M$6:$M$60,C4054)=0,"⚠ หมวดไม่ตรงประเภท","✓"))))</f>
        <v/>
      </c>
    </row>
    <row r="4055">
      <c r="B4055" s="113" t="n"/>
      <c r="C4055" s="114" t="n"/>
      <c r="D4055" s="115" t="n"/>
      <c r="E4055" s="116" t="n"/>
      <c r="F4055" s="115" t="n"/>
      <c r="G4055" s="117">
        <f>IF(COUNTA(B4055:E4055)=0,"",IF(COUNTA(B4055:E4055)&lt;4,"⚠ กรอกไม่ครบ",IF(NOT(ISNUMBER(B4055)),"⚠ วันที่ไม่ถูกต้อง",IF(COUNTIFS(Setup!$L$6:$L$60,D4055,Setup!$M$6:$M$60,C4055)=0,"⚠ หมวดไม่ตรงประเภท","✓"))))</f>
        <v/>
      </c>
    </row>
    <row r="4056">
      <c r="B4056" s="113" t="n"/>
      <c r="C4056" s="114" t="n"/>
      <c r="D4056" s="115" t="n"/>
      <c r="E4056" s="116" t="n"/>
      <c r="F4056" s="115" t="n"/>
      <c r="G4056" s="117">
        <f>IF(COUNTA(B4056:E4056)=0,"",IF(COUNTA(B4056:E4056)&lt;4,"⚠ กรอกไม่ครบ",IF(NOT(ISNUMBER(B4056)),"⚠ วันที่ไม่ถูกต้อง",IF(COUNTIFS(Setup!$L$6:$L$60,D4056,Setup!$M$6:$M$60,C4056)=0,"⚠ หมวดไม่ตรงประเภท","✓"))))</f>
        <v/>
      </c>
    </row>
    <row r="4057">
      <c r="B4057" s="113" t="n"/>
      <c r="C4057" s="114" t="n"/>
      <c r="D4057" s="115" t="n"/>
      <c r="E4057" s="116" t="n"/>
      <c r="F4057" s="115" t="n"/>
      <c r="G4057" s="117">
        <f>IF(COUNTA(B4057:E4057)=0,"",IF(COUNTA(B4057:E4057)&lt;4,"⚠ กรอกไม่ครบ",IF(NOT(ISNUMBER(B4057)),"⚠ วันที่ไม่ถูกต้อง",IF(COUNTIFS(Setup!$L$6:$L$60,D4057,Setup!$M$6:$M$60,C4057)=0,"⚠ หมวดไม่ตรงประเภท","✓"))))</f>
        <v/>
      </c>
    </row>
    <row r="4058">
      <c r="B4058" s="113" t="n"/>
      <c r="C4058" s="114" t="n"/>
      <c r="D4058" s="115" t="n"/>
      <c r="E4058" s="116" t="n"/>
      <c r="F4058" s="115" t="n"/>
      <c r="G4058" s="117">
        <f>IF(COUNTA(B4058:E4058)=0,"",IF(COUNTA(B4058:E4058)&lt;4,"⚠ กรอกไม่ครบ",IF(NOT(ISNUMBER(B4058)),"⚠ วันที่ไม่ถูกต้อง",IF(COUNTIFS(Setup!$L$6:$L$60,D4058,Setup!$M$6:$M$60,C4058)=0,"⚠ หมวดไม่ตรงประเภท","✓"))))</f>
        <v/>
      </c>
    </row>
    <row r="4059">
      <c r="B4059" s="113" t="n"/>
      <c r="C4059" s="114" t="n"/>
      <c r="D4059" s="115" t="n"/>
      <c r="E4059" s="116" t="n"/>
      <c r="F4059" s="115" t="n"/>
      <c r="G4059" s="117">
        <f>IF(COUNTA(B4059:E4059)=0,"",IF(COUNTA(B4059:E4059)&lt;4,"⚠ กรอกไม่ครบ",IF(NOT(ISNUMBER(B4059)),"⚠ วันที่ไม่ถูกต้อง",IF(COUNTIFS(Setup!$L$6:$L$60,D4059,Setup!$M$6:$M$60,C4059)=0,"⚠ หมวดไม่ตรงประเภท","✓"))))</f>
        <v/>
      </c>
    </row>
    <row r="4060">
      <c r="B4060" s="113" t="n"/>
      <c r="C4060" s="114" t="n"/>
      <c r="D4060" s="115" t="n"/>
      <c r="E4060" s="116" t="n"/>
      <c r="F4060" s="115" t="n"/>
      <c r="G4060" s="117">
        <f>IF(COUNTA(B4060:E4060)=0,"",IF(COUNTA(B4060:E4060)&lt;4,"⚠ กรอกไม่ครบ",IF(NOT(ISNUMBER(B4060)),"⚠ วันที่ไม่ถูกต้อง",IF(COUNTIFS(Setup!$L$6:$L$60,D4060,Setup!$M$6:$M$60,C4060)=0,"⚠ หมวดไม่ตรงประเภท","✓"))))</f>
        <v/>
      </c>
    </row>
    <row r="4061">
      <c r="B4061" s="113" t="n"/>
      <c r="C4061" s="114" t="n"/>
      <c r="D4061" s="115" t="n"/>
      <c r="E4061" s="116" t="n"/>
      <c r="F4061" s="115" t="n"/>
      <c r="G4061" s="117">
        <f>IF(COUNTA(B4061:E4061)=0,"",IF(COUNTA(B4061:E4061)&lt;4,"⚠ กรอกไม่ครบ",IF(NOT(ISNUMBER(B4061)),"⚠ วันที่ไม่ถูกต้อง",IF(COUNTIFS(Setup!$L$6:$L$60,D4061,Setup!$M$6:$M$60,C4061)=0,"⚠ หมวดไม่ตรงประเภท","✓"))))</f>
        <v/>
      </c>
    </row>
    <row r="4062">
      <c r="B4062" s="113" t="n"/>
      <c r="C4062" s="114" t="n"/>
      <c r="D4062" s="115" t="n"/>
      <c r="E4062" s="116" t="n"/>
      <c r="F4062" s="115" t="n"/>
      <c r="G4062" s="117">
        <f>IF(COUNTA(B4062:E4062)=0,"",IF(COUNTA(B4062:E4062)&lt;4,"⚠ กรอกไม่ครบ",IF(NOT(ISNUMBER(B4062)),"⚠ วันที่ไม่ถูกต้อง",IF(COUNTIFS(Setup!$L$6:$L$60,D4062,Setup!$M$6:$M$60,C4062)=0,"⚠ หมวดไม่ตรงประเภท","✓"))))</f>
        <v/>
      </c>
    </row>
    <row r="4063">
      <c r="B4063" s="113" t="n"/>
      <c r="C4063" s="114" t="n"/>
      <c r="D4063" s="115" t="n"/>
      <c r="E4063" s="116" t="n"/>
      <c r="F4063" s="115" t="n"/>
      <c r="G4063" s="117">
        <f>IF(COUNTA(B4063:E4063)=0,"",IF(COUNTA(B4063:E4063)&lt;4,"⚠ กรอกไม่ครบ",IF(NOT(ISNUMBER(B4063)),"⚠ วันที่ไม่ถูกต้อง",IF(COUNTIFS(Setup!$L$6:$L$60,D4063,Setup!$M$6:$M$60,C4063)=0,"⚠ หมวดไม่ตรงประเภท","✓"))))</f>
        <v/>
      </c>
    </row>
    <row r="4064">
      <c r="B4064" s="113" t="n"/>
      <c r="C4064" s="114" t="n"/>
      <c r="D4064" s="115" t="n"/>
      <c r="E4064" s="116" t="n"/>
      <c r="F4064" s="115" t="n"/>
      <c r="G4064" s="117">
        <f>IF(COUNTA(B4064:E4064)=0,"",IF(COUNTA(B4064:E4064)&lt;4,"⚠ กรอกไม่ครบ",IF(NOT(ISNUMBER(B4064)),"⚠ วันที่ไม่ถูกต้อง",IF(COUNTIFS(Setup!$L$6:$L$60,D4064,Setup!$M$6:$M$60,C4064)=0,"⚠ หมวดไม่ตรงประเภท","✓"))))</f>
        <v/>
      </c>
    </row>
    <row r="4065">
      <c r="B4065" s="113" t="n"/>
      <c r="C4065" s="114" t="n"/>
      <c r="D4065" s="115" t="n"/>
      <c r="E4065" s="116" t="n"/>
      <c r="F4065" s="115" t="n"/>
      <c r="G4065" s="117">
        <f>IF(COUNTA(B4065:E4065)=0,"",IF(COUNTA(B4065:E4065)&lt;4,"⚠ กรอกไม่ครบ",IF(NOT(ISNUMBER(B4065)),"⚠ วันที่ไม่ถูกต้อง",IF(COUNTIFS(Setup!$L$6:$L$60,D4065,Setup!$M$6:$M$60,C4065)=0,"⚠ หมวดไม่ตรงประเภท","✓"))))</f>
        <v/>
      </c>
    </row>
    <row r="4066">
      <c r="B4066" s="113" t="n"/>
      <c r="C4066" s="114" t="n"/>
      <c r="D4066" s="115" t="n"/>
      <c r="E4066" s="116" t="n"/>
      <c r="F4066" s="115" t="n"/>
      <c r="G4066" s="117">
        <f>IF(COUNTA(B4066:E4066)=0,"",IF(COUNTA(B4066:E4066)&lt;4,"⚠ กรอกไม่ครบ",IF(NOT(ISNUMBER(B4066)),"⚠ วันที่ไม่ถูกต้อง",IF(COUNTIFS(Setup!$L$6:$L$60,D4066,Setup!$M$6:$M$60,C4066)=0,"⚠ หมวดไม่ตรงประเภท","✓"))))</f>
        <v/>
      </c>
    </row>
    <row r="4067">
      <c r="B4067" s="113" t="n"/>
      <c r="C4067" s="114" t="n"/>
      <c r="D4067" s="115" t="n"/>
      <c r="E4067" s="116" t="n"/>
      <c r="F4067" s="115" t="n"/>
      <c r="G4067" s="117">
        <f>IF(COUNTA(B4067:E4067)=0,"",IF(COUNTA(B4067:E4067)&lt;4,"⚠ กรอกไม่ครบ",IF(NOT(ISNUMBER(B4067)),"⚠ วันที่ไม่ถูกต้อง",IF(COUNTIFS(Setup!$L$6:$L$60,D4067,Setup!$M$6:$M$60,C4067)=0,"⚠ หมวดไม่ตรงประเภท","✓"))))</f>
        <v/>
      </c>
    </row>
    <row r="4068">
      <c r="B4068" s="113" t="n"/>
      <c r="C4068" s="114" t="n"/>
      <c r="D4068" s="115" t="n"/>
      <c r="E4068" s="116" t="n"/>
      <c r="F4068" s="115" t="n"/>
      <c r="G4068" s="117">
        <f>IF(COUNTA(B4068:E4068)=0,"",IF(COUNTA(B4068:E4068)&lt;4,"⚠ กรอกไม่ครบ",IF(NOT(ISNUMBER(B4068)),"⚠ วันที่ไม่ถูกต้อง",IF(COUNTIFS(Setup!$L$6:$L$60,D4068,Setup!$M$6:$M$60,C4068)=0,"⚠ หมวดไม่ตรงประเภท","✓"))))</f>
        <v/>
      </c>
    </row>
    <row r="4069">
      <c r="B4069" s="113" t="n"/>
      <c r="C4069" s="114" t="n"/>
      <c r="D4069" s="115" t="n"/>
      <c r="E4069" s="116" t="n"/>
      <c r="F4069" s="115" t="n"/>
      <c r="G4069" s="117">
        <f>IF(COUNTA(B4069:E4069)=0,"",IF(COUNTA(B4069:E4069)&lt;4,"⚠ กรอกไม่ครบ",IF(NOT(ISNUMBER(B4069)),"⚠ วันที่ไม่ถูกต้อง",IF(COUNTIFS(Setup!$L$6:$L$60,D4069,Setup!$M$6:$M$60,C4069)=0,"⚠ หมวดไม่ตรงประเภท","✓"))))</f>
        <v/>
      </c>
    </row>
    <row r="4070">
      <c r="B4070" s="113" t="n"/>
      <c r="C4070" s="114" t="n"/>
      <c r="D4070" s="115" t="n"/>
      <c r="E4070" s="116" t="n"/>
      <c r="F4070" s="115" t="n"/>
      <c r="G4070" s="117">
        <f>IF(COUNTA(B4070:E4070)=0,"",IF(COUNTA(B4070:E4070)&lt;4,"⚠ กรอกไม่ครบ",IF(NOT(ISNUMBER(B4070)),"⚠ วันที่ไม่ถูกต้อง",IF(COUNTIFS(Setup!$L$6:$L$60,D4070,Setup!$M$6:$M$60,C4070)=0,"⚠ หมวดไม่ตรงประเภท","✓"))))</f>
        <v/>
      </c>
    </row>
    <row r="4071">
      <c r="B4071" s="113" t="n"/>
      <c r="C4071" s="114" t="n"/>
      <c r="D4071" s="115" t="n"/>
      <c r="E4071" s="116" t="n"/>
      <c r="F4071" s="115" t="n"/>
      <c r="G4071" s="117">
        <f>IF(COUNTA(B4071:E4071)=0,"",IF(COUNTA(B4071:E4071)&lt;4,"⚠ กรอกไม่ครบ",IF(NOT(ISNUMBER(B4071)),"⚠ วันที่ไม่ถูกต้อง",IF(COUNTIFS(Setup!$L$6:$L$60,D4071,Setup!$M$6:$M$60,C4071)=0,"⚠ หมวดไม่ตรงประเภท","✓"))))</f>
        <v/>
      </c>
    </row>
    <row r="4072">
      <c r="B4072" s="113" t="n"/>
      <c r="C4072" s="114" t="n"/>
      <c r="D4072" s="115" t="n"/>
      <c r="E4072" s="116" t="n"/>
      <c r="F4072" s="115" t="n"/>
      <c r="G4072" s="117">
        <f>IF(COUNTA(B4072:E4072)=0,"",IF(COUNTA(B4072:E4072)&lt;4,"⚠ กรอกไม่ครบ",IF(NOT(ISNUMBER(B4072)),"⚠ วันที่ไม่ถูกต้อง",IF(COUNTIFS(Setup!$L$6:$L$60,D4072,Setup!$M$6:$M$60,C4072)=0,"⚠ หมวดไม่ตรงประเภท","✓"))))</f>
        <v/>
      </c>
    </row>
    <row r="4073">
      <c r="B4073" s="113" t="n"/>
      <c r="C4073" s="114" t="n"/>
      <c r="D4073" s="115" t="n"/>
      <c r="E4073" s="116" t="n"/>
      <c r="F4073" s="115" t="n"/>
      <c r="G4073" s="117">
        <f>IF(COUNTA(B4073:E4073)=0,"",IF(COUNTA(B4073:E4073)&lt;4,"⚠ กรอกไม่ครบ",IF(NOT(ISNUMBER(B4073)),"⚠ วันที่ไม่ถูกต้อง",IF(COUNTIFS(Setup!$L$6:$L$60,D4073,Setup!$M$6:$M$60,C4073)=0,"⚠ หมวดไม่ตรงประเภท","✓"))))</f>
        <v/>
      </c>
    </row>
    <row r="4074">
      <c r="B4074" s="113" t="n"/>
      <c r="C4074" s="114" t="n"/>
      <c r="D4074" s="115" t="n"/>
      <c r="E4074" s="116" t="n"/>
      <c r="F4074" s="115" t="n"/>
      <c r="G4074" s="117">
        <f>IF(COUNTA(B4074:E4074)=0,"",IF(COUNTA(B4074:E4074)&lt;4,"⚠ กรอกไม่ครบ",IF(NOT(ISNUMBER(B4074)),"⚠ วันที่ไม่ถูกต้อง",IF(COUNTIFS(Setup!$L$6:$L$60,D4074,Setup!$M$6:$M$60,C4074)=0,"⚠ หมวดไม่ตรงประเภท","✓"))))</f>
        <v/>
      </c>
    </row>
    <row r="4075">
      <c r="B4075" s="113" t="n"/>
      <c r="C4075" s="114" t="n"/>
      <c r="D4075" s="115" t="n"/>
      <c r="E4075" s="116" t="n"/>
      <c r="F4075" s="115" t="n"/>
      <c r="G4075" s="117">
        <f>IF(COUNTA(B4075:E4075)=0,"",IF(COUNTA(B4075:E4075)&lt;4,"⚠ กรอกไม่ครบ",IF(NOT(ISNUMBER(B4075)),"⚠ วันที่ไม่ถูกต้อง",IF(COUNTIFS(Setup!$L$6:$L$60,D4075,Setup!$M$6:$M$60,C4075)=0,"⚠ หมวดไม่ตรงประเภท","✓"))))</f>
        <v/>
      </c>
    </row>
    <row r="4076">
      <c r="B4076" s="113" t="n"/>
      <c r="C4076" s="114" t="n"/>
      <c r="D4076" s="115" t="n"/>
      <c r="E4076" s="116" t="n"/>
      <c r="F4076" s="115" t="n"/>
      <c r="G4076" s="117">
        <f>IF(COUNTA(B4076:E4076)=0,"",IF(COUNTA(B4076:E4076)&lt;4,"⚠ กรอกไม่ครบ",IF(NOT(ISNUMBER(B4076)),"⚠ วันที่ไม่ถูกต้อง",IF(COUNTIFS(Setup!$L$6:$L$60,D4076,Setup!$M$6:$M$60,C4076)=0,"⚠ หมวดไม่ตรงประเภท","✓"))))</f>
        <v/>
      </c>
    </row>
    <row r="4077">
      <c r="B4077" s="113" t="n"/>
      <c r="C4077" s="114" t="n"/>
      <c r="D4077" s="115" t="n"/>
      <c r="E4077" s="116" t="n"/>
      <c r="F4077" s="115" t="n"/>
      <c r="G4077" s="117">
        <f>IF(COUNTA(B4077:E4077)=0,"",IF(COUNTA(B4077:E4077)&lt;4,"⚠ กรอกไม่ครบ",IF(NOT(ISNUMBER(B4077)),"⚠ วันที่ไม่ถูกต้อง",IF(COUNTIFS(Setup!$L$6:$L$60,D4077,Setup!$M$6:$M$60,C4077)=0,"⚠ หมวดไม่ตรงประเภท","✓"))))</f>
        <v/>
      </c>
    </row>
    <row r="4078">
      <c r="B4078" s="113" t="n"/>
      <c r="C4078" s="114" t="n"/>
      <c r="D4078" s="115" t="n"/>
      <c r="E4078" s="116" t="n"/>
      <c r="F4078" s="115" t="n"/>
      <c r="G4078" s="117">
        <f>IF(COUNTA(B4078:E4078)=0,"",IF(COUNTA(B4078:E4078)&lt;4,"⚠ กรอกไม่ครบ",IF(NOT(ISNUMBER(B4078)),"⚠ วันที่ไม่ถูกต้อง",IF(COUNTIFS(Setup!$L$6:$L$60,D4078,Setup!$M$6:$M$60,C4078)=0,"⚠ หมวดไม่ตรงประเภท","✓"))))</f>
        <v/>
      </c>
    </row>
    <row r="4079">
      <c r="B4079" s="113" t="n"/>
      <c r="C4079" s="114" t="n"/>
      <c r="D4079" s="115" t="n"/>
      <c r="E4079" s="116" t="n"/>
      <c r="F4079" s="115" t="n"/>
      <c r="G4079" s="117">
        <f>IF(COUNTA(B4079:E4079)=0,"",IF(COUNTA(B4079:E4079)&lt;4,"⚠ กรอกไม่ครบ",IF(NOT(ISNUMBER(B4079)),"⚠ วันที่ไม่ถูกต้อง",IF(COUNTIFS(Setup!$L$6:$L$60,D4079,Setup!$M$6:$M$60,C4079)=0,"⚠ หมวดไม่ตรงประเภท","✓"))))</f>
        <v/>
      </c>
    </row>
    <row r="4080">
      <c r="B4080" s="113" t="n"/>
      <c r="C4080" s="114" t="n"/>
      <c r="D4080" s="115" t="n"/>
      <c r="E4080" s="116" t="n"/>
      <c r="F4080" s="115" t="n"/>
      <c r="G4080" s="117">
        <f>IF(COUNTA(B4080:E4080)=0,"",IF(COUNTA(B4080:E4080)&lt;4,"⚠ กรอกไม่ครบ",IF(NOT(ISNUMBER(B4080)),"⚠ วันที่ไม่ถูกต้อง",IF(COUNTIFS(Setup!$L$6:$L$60,D4080,Setup!$M$6:$M$60,C4080)=0,"⚠ หมวดไม่ตรงประเภท","✓"))))</f>
        <v/>
      </c>
    </row>
    <row r="4081">
      <c r="B4081" s="113" t="n"/>
      <c r="C4081" s="114" t="n"/>
      <c r="D4081" s="115" t="n"/>
      <c r="E4081" s="116" t="n"/>
      <c r="F4081" s="115" t="n"/>
      <c r="G4081" s="117">
        <f>IF(COUNTA(B4081:E4081)=0,"",IF(COUNTA(B4081:E4081)&lt;4,"⚠ กรอกไม่ครบ",IF(NOT(ISNUMBER(B4081)),"⚠ วันที่ไม่ถูกต้อง",IF(COUNTIFS(Setup!$L$6:$L$60,D4081,Setup!$M$6:$M$60,C4081)=0,"⚠ หมวดไม่ตรงประเภท","✓"))))</f>
        <v/>
      </c>
    </row>
    <row r="4082">
      <c r="B4082" s="113" t="n"/>
      <c r="C4082" s="114" t="n"/>
      <c r="D4082" s="115" t="n"/>
      <c r="E4082" s="116" t="n"/>
      <c r="F4082" s="115" t="n"/>
      <c r="G4082" s="117">
        <f>IF(COUNTA(B4082:E4082)=0,"",IF(COUNTA(B4082:E4082)&lt;4,"⚠ กรอกไม่ครบ",IF(NOT(ISNUMBER(B4082)),"⚠ วันที่ไม่ถูกต้อง",IF(COUNTIFS(Setup!$L$6:$L$60,D4082,Setup!$M$6:$M$60,C4082)=0,"⚠ หมวดไม่ตรงประเภท","✓"))))</f>
        <v/>
      </c>
    </row>
    <row r="4083">
      <c r="B4083" s="113" t="n"/>
      <c r="C4083" s="114" t="n"/>
      <c r="D4083" s="115" t="n"/>
      <c r="E4083" s="116" t="n"/>
      <c r="F4083" s="115" t="n"/>
      <c r="G4083" s="117">
        <f>IF(COUNTA(B4083:E4083)=0,"",IF(COUNTA(B4083:E4083)&lt;4,"⚠ กรอกไม่ครบ",IF(NOT(ISNUMBER(B4083)),"⚠ วันที่ไม่ถูกต้อง",IF(COUNTIFS(Setup!$L$6:$L$60,D4083,Setup!$M$6:$M$60,C4083)=0,"⚠ หมวดไม่ตรงประเภท","✓"))))</f>
        <v/>
      </c>
    </row>
    <row r="4084">
      <c r="B4084" s="113" t="n"/>
      <c r="C4084" s="114" t="n"/>
      <c r="D4084" s="115" t="n"/>
      <c r="E4084" s="116" t="n"/>
      <c r="F4084" s="115" t="n"/>
      <c r="G4084" s="117">
        <f>IF(COUNTA(B4084:E4084)=0,"",IF(COUNTA(B4084:E4084)&lt;4,"⚠ กรอกไม่ครบ",IF(NOT(ISNUMBER(B4084)),"⚠ วันที่ไม่ถูกต้อง",IF(COUNTIFS(Setup!$L$6:$L$60,D4084,Setup!$M$6:$M$60,C4084)=0,"⚠ หมวดไม่ตรงประเภท","✓"))))</f>
        <v/>
      </c>
    </row>
    <row r="4085">
      <c r="B4085" s="113" t="n"/>
      <c r="C4085" s="114" t="n"/>
      <c r="D4085" s="115" t="n"/>
      <c r="E4085" s="116" t="n"/>
      <c r="F4085" s="115" t="n"/>
      <c r="G4085" s="117">
        <f>IF(COUNTA(B4085:E4085)=0,"",IF(COUNTA(B4085:E4085)&lt;4,"⚠ กรอกไม่ครบ",IF(NOT(ISNUMBER(B4085)),"⚠ วันที่ไม่ถูกต้อง",IF(COUNTIFS(Setup!$L$6:$L$60,D4085,Setup!$M$6:$M$60,C4085)=0,"⚠ หมวดไม่ตรงประเภท","✓"))))</f>
        <v/>
      </c>
    </row>
    <row r="4086">
      <c r="B4086" s="113" t="n"/>
      <c r="C4086" s="114" t="n"/>
      <c r="D4086" s="115" t="n"/>
      <c r="E4086" s="116" t="n"/>
      <c r="F4086" s="115" t="n"/>
      <c r="G4086" s="117">
        <f>IF(COUNTA(B4086:E4086)=0,"",IF(COUNTA(B4086:E4086)&lt;4,"⚠ กรอกไม่ครบ",IF(NOT(ISNUMBER(B4086)),"⚠ วันที่ไม่ถูกต้อง",IF(COUNTIFS(Setup!$L$6:$L$60,D4086,Setup!$M$6:$M$60,C4086)=0,"⚠ หมวดไม่ตรงประเภท","✓"))))</f>
        <v/>
      </c>
    </row>
    <row r="4087">
      <c r="B4087" s="113" t="n"/>
      <c r="C4087" s="114" t="n"/>
      <c r="D4087" s="115" t="n"/>
      <c r="E4087" s="116" t="n"/>
      <c r="F4087" s="115" t="n"/>
      <c r="G4087" s="117">
        <f>IF(COUNTA(B4087:E4087)=0,"",IF(COUNTA(B4087:E4087)&lt;4,"⚠ กรอกไม่ครบ",IF(NOT(ISNUMBER(B4087)),"⚠ วันที่ไม่ถูกต้อง",IF(COUNTIFS(Setup!$L$6:$L$60,D4087,Setup!$M$6:$M$60,C4087)=0,"⚠ หมวดไม่ตรงประเภท","✓"))))</f>
        <v/>
      </c>
    </row>
    <row r="4088">
      <c r="B4088" s="113" t="n"/>
      <c r="C4088" s="114" t="n"/>
      <c r="D4088" s="115" t="n"/>
      <c r="E4088" s="116" t="n"/>
      <c r="F4088" s="115" t="n"/>
      <c r="G4088" s="117">
        <f>IF(COUNTA(B4088:E4088)=0,"",IF(COUNTA(B4088:E4088)&lt;4,"⚠ กรอกไม่ครบ",IF(NOT(ISNUMBER(B4088)),"⚠ วันที่ไม่ถูกต้อง",IF(COUNTIFS(Setup!$L$6:$L$60,D4088,Setup!$M$6:$M$60,C4088)=0,"⚠ หมวดไม่ตรงประเภท","✓"))))</f>
        <v/>
      </c>
    </row>
    <row r="4089">
      <c r="B4089" s="113" t="n"/>
      <c r="C4089" s="114" t="n"/>
      <c r="D4089" s="115" t="n"/>
      <c r="E4089" s="116" t="n"/>
      <c r="F4089" s="115" t="n"/>
      <c r="G4089" s="117">
        <f>IF(COUNTA(B4089:E4089)=0,"",IF(COUNTA(B4089:E4089)&lt;4,"⚠ กรอกไม่ครบ",IF(NOT(ISNUMBER(B4089)),"⚠ วันที่ไม่ถูกต้อง",IF(COUNTIFS(Setup!$L$6:$L$60,D4089,Setup!$M$6:$M$60,C4089)=0,"⚠ หมวดไม่ตรงประเภท","✓"))))</f>
        <v/>
      </c>
    </row>
    <row r="4090">
      <c r="B4090" s="113" t="n"/>
      <c r="C4090" s="114" t="n"/>
      <c r="D4090" s="115" t="n"/>
      <c r="E4090" s="116" t="n"/>
      <c r="F4090" s="115" t="n"/>
      <c r="G4090" s="117">
        <f>IF(COUNTA(B4090:E4090)=0,"",IF(COUNTA(B4090:E4090)&lt;4,"⚠ กรอกไม่ครบ",IF(NOT(ISNUMBER(B4090)),"⚠ วันที่ไม่ถูกต้อง",IF(COUNTIFS(Setup!$L$6:$L$60,D4090,Setup!$M$6:$M$60,C4090)=0,"⚠ หมวดไม่ตรงประเภท","✓"))))</f>
        <v/>
      </c>
    </row>
    <row r="4091">
      <c r="B4091" s="113" t="n"/>
      <c r="C4091" s="114" t="n"/>
      <c r="D4091" s="115" t="n"/>
      <c r="E4091" s="116" t="n"/>
      <c r="F4091" s="115" t="n"/>
      <c r="G4091" s="117">
        <f>IF(COUNTA(B4091:E4091)=0,"",IF(COUNTA(B4091:E4091)&lt;4,"⚠ กรอกไม่ครบ",IF(NOT(ISNUMBER(B4091)),"⚠ วันที่ไม่ถูกต้อง",IF(COUNTIFS(Setup!$L$6:$L$60,D4091,Setup!$M$6:$M$60,C4091)=0,"⚠ หมวดไม่ตรงประเภท","✓"))))</f>
        <v/>
      </c>
    </row>
    <row r="4092">
      <c r="B4092" s="113" t="n"/>
      <c r="C4092" s="114" t="n"/>
      <c r="D4092" s="115" t="n"/>
      <c r="E4092" s="116" t="n"/>
      <c r="F4092" s="115" t="n"/>
      <c r="G4092" s="117">
        <f>IF(COUNTA(B4092:E4092)=0,"",IF(COUNTA(B4092:E4092)&lt;4,"⚠ กรอกไม่ครบ",IF(NOT(ISNUMBER(B4092)),"⚠ วันที่ไม่ถูกต้อง",IF(COUNTIFS(Setup!$L$6:$L$60,D4092,Setup!$M$6:$M$60,C4092)=0,"⚠ หมวดไม่ตรงประเภท","✓"))))</f>
        <v/>
      </c>
    </row>
    <row r="4093">
      <c r="B4093" s="113" t="n"/>
      <c r="C4093" s="114" t="n"/>
      <c r="D4093" s="115" t="n"/>
      <c r="E4093" s="116" t="n"/>
      <c r="F4093" s="115" t="n"/>
      <c r="G4093" s="117">
        <f>IF(COUNTA(B4093:E4093)=0,"",IF(COUNTA(B4093:E4093)&lt;4,"⚠ กรอกไม่ครบ",IF(NOT(ISNUMBER(B4093)),"⚠ วันที่ไม่ถูกต้อง",IF(COUNTIFS(Setup!$L$6:$L$60,D4093,Setup!$M$6:$M$60,C4093)=0,"⚠ หมวดไม่ตรงประเภท","✓"))))</f>
        <v/>
      </c>
    </row>
    <row r="4094">
      <c r="B4094" s="113" t="n"/>
      <c r="C4094" s="114" t="n"/>
      <c r="D4094" s="115" t="n"/>
      <c r="E4094" s="116" t="n"/>
      <c r="F4094" s="115" t="n"/>
      <c r="G4094" s="117">
        <f>IF(COUNTA(B4094:E4094)=0,"",IF(COUNTA(B4094:E4094)&lt;4,"⚠ กรอกไม่ครบ",IF(NOT(ISNUMBER(B4094)),"⚠ วันที่ไม่ถูกต้อง",IF(COUNTIFS(Setup!$L$6:$L$60,D4094,Setup!$M$6:$M$60,C4094)=0,"⚠ หมวดไม่ตรงประเภท","✓"))))</f>
        <v/>
      </c>
    </row>
    <row r="4095">
      <c r="B4095" s="113" t="n"/>
      <c r="C4095" s="114" t="n"/>
      <c r="D4095" s="115" t="n"/>
      <c r="E4095" s="116" t="n"/>
      <c r="F4095" s="115" t="n"/>
      <c r="G4095" s="117">
        <f>IF(COUNTA(B4095:E4095)=0,"",IF(COUNTA(B4095:E4095)&lt;4,"⚠ กรอกไม่ครบ",IF(NOT(ISNUMBER(B4095)),"⚠ วันที่ไม่ถูกต้อง",IF(COUNTIFS(Setup!$L$6:$L$60,D4095,Setup!$M$6:$M$60,C4095)=0,"⚠ หมวดไม่ตรงประเภท","✓"))))</f>
        <v/>
      </c>
    </row>
    <row r="4096">
      <c r="B4096" s="113" t="n"/>
      <c r="C4096" s="114" t="n"/>
      <c r="D4096" s="115" t="n"/>
      <c r="E4096" s="116" t="n"/>
      <c r="F4096" s="115" t="n"/>
      <c r="G4096" s="117">
        <f>IF(COUNTA(B4096:E4096)=0,"",IF(COUNTA(B4096:E4096)&lt;4,"⚠ กรอกไม่ครบ",IF(NOT(ISNUMBER(B4096)),"⚠ วันที่ไม่ถูกต้อง",IF(COUNTIFS(Setup!$L$6:$L$60,D4096,Setup!$M$6:$M$60,C4096)=0,"⚠ หมวดไม่ตรงประเภท","✓"))))</f>
        <v/>
      </c>
    </row>
    <row r="4097">
      <c r="B4097" s="113" t="n"/>
      <c r="C4097" s="114" t="n"/>
      <c r="D4097" s="115" t="n"/>
      <c r="E4097" s="116" t="n"/>
      <c r="F4097" s="115" t="n"/>
      <c r="G4097" s="117">
        <f>IF(COUNTA(B4097:E4097)=0,"",IF(COUNTA(B4097:E4097)&lt;4,"⚠ กรอกไม่ครบ",IF(NOT(ISNUMBER(B4097)),"⚠ วันที่ไม่ถูกต้อง",IF(COUNTIFS(Setup!$L$6:$L$60,D4097,Setup!$M$6:$M$60,C4097)=0,"⚠ หมวดไม่ตรงประเภท","✓"))))</f>
        <v/>
      </c>
    </row>
    <row r="4098">
      <c r="B4098" s="113" t="n"/>
      <c r="C4098" s="114" t="n"/>
      <c r="D4098" s="115" t="n"/>
      <c r="E4098" s="116" t="n"/>
      <c r="F4098" s="115" t="n"/>
      <c r="G4098" s="117">
        <f>IF(COUNTA(B4098:E4098)=0,"",IF(COUNTA(B4098:E4098)&lt;4,"⚠ กรอกไม่ครบ",IF(NOT(ISNUMBER(B4098)),"⚠ วันที่ไม่ถูกต้อง",IF(COUNTIFS(Setup!$L$6:$L$60,D4098,Setup!$M$6:$M$60,C4098)=0,"⚠ หมวดไม่ตรงประเภท","✓"))))</f>
        <v/>
      </c>
    </row>
    <row r="4099">
      <c r="B4099" s="113" t="n"/>
      <c r="C4099" s="114" t="n"/>
      <c r="D4099" s="115" t="n"/>
      <c r="E4099" s="116" t="n"/>
      <c r="F4099" s="115" t="n"/>
      <c r="G4099" s="117">
        <f>IF(COUNTA(B4099:E4099)=0,"",IF(COUNTA(B4099:E4099)&lt;4,"⚠ กรอกไม่ครบ",IF(NOT(ISNUMBER(B4099)),"⚠ วันที่ไม่ถูกต้อง",IF(COUNTIFS(Setup!$L$6:$L$60,D4099,Setup!$M$6:$M$60,C4099)=0,"⚠ หมวดไม่ตรงประเภท","✓"))))</f>
        <v/>
      </c>
    </row>
    <row r="4100">
      <c r="B4100" s="113" t="n"/>
      <c r="C4100" s="114" t="n"/>
      <c r="D4100" s="115" t="n"/>
      <c r="E4100" s="116" t="n"/>
      <c r="F4100" s="115" t="n"/>
      <c r="G4100" s="117">
        <f>IF(COUNTA(B4100:E4100)=0,"",IF(COUNTA(B4100:E4100)&lt;4,"⚠ กรอกไม่ครบ",IF(NOT(ISNUMBER(B4100)),"⚠ วันที่ไม่ถูกต้อง",IF(COUNTIFS(Setup!$L$6:$L$60,D4100,Setup!$M$6:$M$60,C4100)=0,"⚠ หมวดไม่ตรงประเภท","✓"))))</f>
        <v/>
      </c>
    </row>
    <row r="4101">
      <c r="B4101" s="113" t="n"/>
      <c r="C4101" s="114" t="n"/>
      <c r="D4101" s="115" t="n"/>
      <c r="E4101" s="116" t="n"/>
      <c r="F4101" s="115" t="n"/>
      <c r="G4101" s="117">
        <f>IF(COUNTA(B4101:E4101)=0,"",IF(COUNTA(B4101:E4101)&lt;4,"⚠ กรอกไม่ครบ",IF(NOT(ISNUMBER(B4101)),"⚠ วันที่ไม่ถูกต้อง",IF(COUNTIFS(Setup!$L$6:$L$60,D4101,Setup!$M$6:$M$60,C4101)=0,"⚠ หมวดไม่ตรงประเภท","✓"))))</f>
        <v/>
      </c>
    </row>
    <row r="4102">
      <c r="B4102" s="113" t="n"/>
      <c r="C4102" s="114" t="n"/>
      <c r="D4102" s="115" t="n"/>
      <c r="E4102" s="116" t="n"/>
      <c r="F4102" s="115" t="n"/>
      <c r="G4102" s="117">
        <f>IF(COUNTA(B4102:E4102)=0,"",IF(COUNTA(B4102:E4102)&lt;4,"⚠ กรอกไม่ครบ",IF(NOT(ISNUMBER(B4102)),"⚠ วันที่ไม่ถูกต้อง",IF(COUNTIFS(Setup!$L$6:$L$60,D4102,Setup!$M$6:$M$60,C4102)=0,"⚠ หมวดไม่ตรงประเภท","✓"))))</f>
        <v/>
      </c>
    </row>
    <row r="4103">
      <c r="B4103" s="113" t="n"/>
      <c r="C4103" s="114" t="n"/>
      <c r="D4103" s="115" t="n"/>
      <c r="E4103" s="116" t="n"/>
      <c r="F4103" s="115" t="n"/>
      <c r="G4103" s="117">
        <f>IF(COUNTA(B4103:E4103)=0,"",IF(COUNTA(B4103:E4103)&lt;4,"⚠ กรอกไม่ครบ",IF(NOT(ISNUMBER(B4103)),"⚠ วันที่ไม่ถูกต้อง",IF(COUNTIFS(Setup!$L$6:$L$60,D4103,Setup!$M$6:$M$60,C4103)=0,"⚠ หมวดไม่ตรงประเภท","✓"))))</f>
        <v/>
      </c>
    </row>
    <row r="4104">
      <c r="B4104" s="113" t="n"/>
      <c r="C4104" s="114" t="n"/>
      <c r="D4104" s="115" t="n"/>
      <c r="E4104" s="116" t="n"/>
      <c r="F4104" s="115" t="n"/>
      <c r="G4104" s="117">
        <f>IF(COUNTA(B4104:E4104)=0,"",IF(COUNTA(B4104:E4104)&lt;4,"⚠ กรอกไม่ครบ",IF(NOT(ISNUMBER(B4104)),"⚠ วันที่ไม่ถูกต้อง",IF(COUNTIFS(Setup!$L$6:$L$60,D4104,Setup!$M$6:$M$60,C4104)=0,"⚠ หมวดไม่ตรงประเภท","✓"))))</f>
        <v/>
      </c>
    </row>
    <row r="4105">
      <c r="B4105" s="113" t="n"/>
      <c r="C4105" s="114" t="n"/>
      <c r="D4105" s="115" t="n"/>
      <c r="E4105" s="116" t="n"/>
      <c r="F4105" s="115" t="n"/>
      <c r="G4105" s="117">
        <f>IF(COUNTA(B4105:E4105)=0,"",IF(COUNTA(B4105:E4105)&lt;4,"⚠ กรอกไม่ครบ",IF(NOT(ISNUMBER(B4105)),"⚠ วันที่ไม่ถูกต้อง",IF(COUNTIFS(Setup!$L$6:$L$60,D4105,Setup!$M$6:$M$60,C4105)=0,"⚠ หมวดไม่ตรงประเภท","✓"))))</f>
        <v/>
      </c>
    </row>
    <row r="4106">
      <c r="B4106" s="113" t="n"/>
      <c r="C4106" s="114" t="n"/>
      <c r="D4106" s="115" t="n"/>
      <c r="E4106" s="116" t="n"/>
      <c r="F4106" s="115" t="n"/>
      <c r="G4106" s="117">
        <f>IF(COUNTA(B4106:E4106)=0,"",IF(COUNTA(B4106:E4106)&lt;4,"⚠ กรอกไม่ครบ",IF(NOT(ISNUMBER(B4106)),"⚠ วันที่ไม่ถูกต้อง",IF(COUNTIFS(Setup!$L$6:$L$60,D4106,Setup!$M$6:$M$60,C4106)=0,"⚠ หมวดไม่ตรงประเภท","✓"))))</f>
        <v/>
      </c>
    </row>
    <row r="4107">
      <c r="B4107" s="113" t="n"/>
      <c r="C4107" s="114" t="n"/>
      <c r="D4107" s="115" t="n"/>
      <c r="E4107" s="116" t="n"/>
      <c r="F4107" s="115" t="n"/>
      <c r="G4107" s="117">
        <f>IF(COUNTA(B4107:E4107)=0,"",IF(COUNTA(B4107:E4107)&lt;4,"⚠ กรอกไม่ครบ",IF(NOT(ISNUMBER(B4107)),"⚠ วันที่ไม่ถูกต้อง",IF(COUNTIFS(Setup!$L$6:$L$60,D4107,Setup!$M$6:$M$60,C4107)=0,"⚠ หมวดไม่ตรงประเภท","✓"))))</f>
        <v/>
      </c>
    </row>
    <row r="4108">
      <c r="B4108" s="113" t="n"/>
      <c r="C4108" s="114" t="n"/>
      <c r="D4108" s="115" t="n"/>
      <c r="E4108" s="116" t="n"/>
      <c r="F4108" s="115" t="n"/>
      <c r="G4108" s="117">
        <f>IF(COUNTA(B4108:E4108)=0,"",IF(COUNTA(B4108:E4108)&lt;4,"⚠ กรอกไม่ครบ",IF(NOT(ISNUMBER(B4108)),"⚠ วันที่ไม่ถูกต้อง",IF(COUNTIFS(Setup!$L$6:$L$60,D4108,Setup!$M$6:$M$60,C4108)=0,"⚠ หมวดไม่ตรงประเภท","✓"))))</f>
        <v/>
      </c>
    </row>
    <row r="4109">
      <c r="B4109" s="113" t="n"/>
      <c r="C4109" s="114" t="n"/>
      <c r="D4109" s="115" t="n"/>
      <c r="E4109" s="116" t="n"/>
      <c r="F4109" s="115" t="n"/>
      <c r="G4109" s="117">
        <f>IF(COUNTA(B4109:E4109)=0,"",IF(COUNTA(B4109:E4109)&lt;4,"⚠ กรอกไม่ครบ",IF(NOT(ISNUMBER(B4109)),"⚠ วันที่ไม่ถูกต้อง",IF(COUNTIFS(Setup!$L$6:$L$60,D4109,Setup!$M$6:$M$60,C4109)=0,"⚠ หมวดไม่ตรงประเภท","✓"))))</f>
        <v/>
      </c>
    </row>
    <row r="4110">
      <c r="B4110" s="113" t="n"/>
      <c r="C4110" s="114" t="n"/>
      <c r="D4110" s="115" t="n"/>
      <c r="E4110" s="116" t="n"/>
      <c r="F4110" s="115" t="n"/>
      <c r="G4110" s="117">
        <f>IF(COUNTA(B4110:E4110)=0,"",IF(COUNTA(B4110:E4110)&lt;4,"⚠ กรอกไม่ครบ",IF(NOT(ISNUMBER(B4110)),"⚠ วันที่ไม่ถูกต้อง",IF(COUNTIFS(Setup!$L$6:$L$60,D4110,Setup!$M$6:$M$60,C4110)=0,"⚠ หมวดไม่ตรงประเภท","✓"))))</f>
        <v/>
      </c>
    </row>
    <row r="4111">
      <c r="B4111" s="113" t="n"/>
      <c r="C4111" s="114" t="n"/>
      <c r="D4111" s="115" t="n"/>
      <c r="E4111" s="116" t="n"/>
      <c r="F4111" s="115" t="n"/>
      <c r="G4111" s="117">
        <f>IF(COUNTA(B4111:E4111)=0,"",IF(COUNTA(B4111:E4111)&lt;4,"⚠ กรอกไม่ครบ",IF(NOT(ISNUMBER(B4111)),"⚠ วันที่ไม่ถูกต้อง",IF(COUNTIFS(Setup!$L$6:$L$60,D4111,Setup!$M$6:$M$60,C4111)=0,"⚠ หมวดไม่ตรงประเภท","✓"))))</f>
        <v/>
      </c>
    </row>
    <row r="4112">
      <c r="B4112" s="113" t="n"/>
      <c r="C4112" s="114" t="n"/>
      <c r="D4112" s="115" t="n"/>
      <c r="E4112" s="116" t="n"/>
      <c r="F4112" s="115" t="n"/>
      <c r="G4112" s="117">
        <f>IF(COUNTA(B4112:E4112)=0,"",IF(COUNTA(B4112:E4112)&lt;4,"⚠ กรอกไม่ครบ",IF(NOT(ISNUMBER(B4112)),"⚠ วันที่ไม่ถูกต้อง",IF(COUNTIFS(Setup!$L$6:$L$60,D4112,Setup!$M$6:$M$60,C4112)=0,"⚠ หมวดไม่ตรงประเภท","✓"))))</f>
        <v/>
      </c>
    </row>
    <row r="4113">
      <c r="B4113" s="113" t="n"/>
      <c r="C4113" s="114" t="n"/>
      <c r="D4113" s="115" t="n"/>
      <c r="E4113" s="116" t="n"/>
      <c r="F4113" s="115" t="n"/>
      <c r="G4113" s="117">
        <f>IF(COUNTA(B4113:E4113)=0,"",IF(COUNTA(B4113:E4113)&lt;4,"⚠ กรอกไม่ครบ",IF(NOT(ISNUMBER(B4113)),"⚠ วันที่ไม่ถูกต้อง",IF(COUNTIFS(Setup!$L$6:$L$60,D4113,Setup!$M$6:$M$60,C4113)=0,"⚠ หมวดไม่ตรงประเภท","✓"))))</f>
        <v/>
      </c>
    </row>
    <row r="4114">
      <c r="B4114" s="113" t="n"/>
      <c r="C4114" s="114" t="n"/>
      <c r="D4114" s="115" t="n"/>
      <c r="E4114" s="116" t="n"/>
      <c r="F4114" s="115" t="n"/>
      <c r="G4114" s="117">
        <f>IF(COUNTA(B4114:E4114)=0,"",IF(COUNTA(B4114:E4114)&lt;4,"⚠ กรอกไม่ครบ",IF(NOT(ISNUMBER(B4114)),"⚠ วันที่ไม่ถูกต้อง",IF(COUNTIFS(Setup!$L$6:$L$60,D4114,Setup!$M$6:$M$60,C4114)=0,"⚠ หมวดไม่ตรงประเภท","✓"))))</f>
        <v/>
      </c>
    </row>
    <row r="4115">
      <c r="B4115" s="113" t="n"/>
      <c r="C4115" s="114" t="n"/>
      <c r="D4115" s="115" t="n"/>
      <c r="E4115" s="116" t="n"/>
      <c r="F4115" s="115" t="n"/>
      <c r="G4115" s="117">
        <f>IF(COUNTA(B4115:E4115)=0,"",IF(COUNTA(B4115:E4115)&lt;4,"⚠ กรอกไม่ครบ",IF(NOT(ISNUMBER(B4115)),"⚠ วันที่ไม่ถูกต้อง",IF(COUNTIFS(Setup!$L$6:$L$60,D4115,Setup!$M$6:$M$60,C4115)=0,"⚠ หมวดไม่ตรงประเภท","✓"))))</f>
        <v/>
      </c>
    </row>
    <row r="4116">
      <c r="B4116" s="113" t="n"/>
      <c r="C4116" s="114" t="n"/>
      <c r="D4116" s="115" t="n"/>
      <c r="E4116" s="116" t="n"/>
      <c r="F4116" s="115" t="n"/>
      <c r="G4116" s="117">
        <f>IF(COUNTA(B4116:E4116)=0,"",IF(COUNTA(B4116:E4116)&lt;4,"⚠ กรอกไม่ครบ",IF(NOT(ISNUMBER(B4116)),"⚠ วันที่ไม่ถูกต้อง",IF(COUNTIFS(Setup!$L$6:$L$60,D4116,Setup!$M$6:$M$60,C4116)=0,"⚠ หมวดไม่ตรงประเภท","✓"))))</f>
        <v/>
      </c>
    </row>
    <row r="4117">
      <c r="B4117" s="113" t="n"/>
      <c r="C4117" s="114" t="n"/>
      <c r="D4117" s="115" t="n"/>
      <c r="E4117" s="116" t="n"/>
      <c r="F4117" s="115" t="n"/>
      <c r="G4117" s="117">
        <f>IF(COUNTA(B4117:E4117)=0,"",IF(COUNTA(B4117:E4117)&lt;4,"⚠ กรอกไม่ครบ",IF(NOT(ISNUMBER(B4117)),"⚠ วันที่ไม่ถูกต้อง",IF(COUNTIFS(Setup!$L$6:$L$60,D4117,Setup!$M$6:$M$60,C4117)=0,"⚠ หมวดไม่ตรงประเภท","✓"))))</f>
        <v/>
      </c>
    </row>
    <row r="4118">
      <c r="B4118" s="113" t="n"/>
      <c r="C4118" s="114" t="n"/>
      <c r="D4118" s="115" t="n"/>
      <c r="E4118" s="116" t="n"/>
      <c r="F4118" s="115" t="n"/>
      <c r="G4118" s="117">
        <f>IF(COUNTA(B4118:E4118)=0,"",IF(COUNTA(B4118:E4118)&lt;4,"⚠ กรอกไม่ครบ",IF(NOT(ISNUMBER(B4118)),"⚠ วันที่ไม่ถูกต้อง",IF(COUNTIFS(Setup!$L$6:$L$60,D4118,Setup!$M$6:$M$60,C4118)=0,"⚠ หมวดไม่ตรงประเภท","✓"))))</f>
        <v/>
      </c>
    </row>
    <row r="4119">
      <c r="B4119" s="113" t="n"/>
      <c r="C4119" s="114" t="n"/>
      <c r="D4119" s="115" t="n"/>
      <c r="E4119" s="116" t="n"/>
      <c r="F4119" s="115" t="n"/>
      <c r="G4119" s="117">
        <f>IF(COUNTA(B4119:E4119)=0,"",IF(COUNTA(B4119:E4119)&lt;4,"⚠ กรอกไม่ครบ",IF(NOT(ISNUMBER(B4119)),"⚠ วันที่ไม่ถูกต้อง",IF(COUNTIFS(Setup!$L$6:$L$60,D4119,Setup!$M$6:$M$60,C4119)=0,"⚠ หมวดไม่ตรงประเภท","✓"))))</f>
        <v/>
      </c>
    </row>
    <row r="4120">
      <c r="B4120" s="113" t="n"/>
      <c r="C4120" s="114" t="n"/>
      <c r="D4120" s="115" t="n"/>
      <c r="E4120" s="116" t="n"/>
      <c r="F4120" s="115" t="n"/>
      <c r="G4120" s="117">
        <f>IF(COUNTA(B4120:E4120)=0,"",IF(COUNTA(B4120:E4120)&lt;4,"⚠ กรอกไม่ครบ",IF(NOT(ISNUMBER(B4120)),"⚠ วันที่ไม่ถูกต้อง",IF(COUNTIFS(Setup!$L$6:$L$60,D4120,Setup!$M$6:$M$60,C4120)=0,"⚠ หมวดไม่ตรงประเภท","✓"))))</f>
        <v/>
      </c>
    </row>
    <row r="4121">
      <c r="B4121" s="113" t="n"/>
      <c r="C4121" s="114" t="n"/>
      <c r="D4121" s="115" t="n"/>
      <c r="E4121" s="116" t="n"/>
      <c r="F4121" s="115" t="n"/>
      <c r="G4121" s="117">
        <f>IF(COUNTA(B4121:E4121)=0,"",IF(COUNTA(B4121:E4121)&lt;4,"⚠ กรอกไม่ครบ",IF(NOT(ISNUMBER(B4121)),"⚠ วันที่ไม่ถูกต้อง",IF(COUNTIFS(Setup!$L$6:$L$60,D4121,Setup!$M$6:$M$60,C4121)=0,"⚠ หมวดไม่ตรงประเภท","✓"))))</f>
        <v/>
      </c>
    </row>
    <row r="4122">
      <c r="B4122" s="113" t="n"/>
      <c r="C4122" s="114" t="n"/>
      <c r="D4122" s="115" t="n"/>
      <c r="E4122" s="116" t="n"/>
      <c r="F4122" s="115" t="n"/>
      <c r="G4122" s="117">
        <f>IF(COUNTA(B4122:E4122)=0,"",IF(COUNTA(B4122:E4122)&lt;4,"⚠ กรอกไม่ครบ",IF(NOT(ISNUMBER(B4122)),"⚠ วันที่ไม่ถูกต้อง",IF(COUNTIFS(Setup!$L$6:$L$60,D4122,Setup!$M$6:$M$60,C4122)=0,"⚠ หมวดไม่ตรงประเภท","✓"))))</f>
        <v/>
      </c>
    </row>
    <row r="4123">
      <c r="B4123" s="113" t="n"/>
      <c r="C4123" s="114" t="n"/>
      <c r="D4123" s="115" t="n"/>
      <c r="E4123" s="116" t="n"/>
      <c r="F4123" s="115" t="n"/>
      <c r="G4123" s="117">
        <f>IF(COUNTA(B4123:E4123)=0,"",IF(COUNTA(B4123:E4123)&lt;4,"⚠ กรอกไม่ครบ",IF(NOT(ISNUMBER(B4123)),"⚠ วันที่ไม่ถูกต้อง",IF(COUNTIFS(Setup!$L$6:$L$60,D4123,Setup!$M$6:$M$60,C4123)=0,"⚠ หมวดไม่ตรงประเภท","✓"))))</f>
        <v/>
      </c>
    </row>
    <row r="4124">
      <c r="B4124" s="113" t="n"/>
      <c r="C4124" s="114" t="n"/>
      <c r="D4124" s="115" t="n"/>
      <c r="E4124" s="116" t="n"/>
      <c r="F4124" s="115" t="n"/>
      <c r="G4124" s="117">
        <f>IF(COUNTA(B4124:E4124)=0,"",IF(COUNTA(B4124:E4124)&lt;4,"⚠ กรอกไม่ครบ",IF(NOT(ISNUMBER(B4124)),"⚠ วันที่ไม่ถูกต้อง",IF(COUNTIFS(Setup!$L$6:$L$60,D4124,Setup!$M$6:$M$60,C4124)=0,"⚠ หมวดไม่ตรงประเภท","✓"))))</f>
        <v/>
      </c>
    </row>
    <row r="4125">
      <c r="B4125" s="113" t="n"/>
      <c r="C4125" s="114" t="n"/>
      <c r="D4125" s="115" t="n"/>
      <c r="E4125" s="116" t="n"/>
      <c r="F4125" s="115" t="n"/>
      <c r="G4125" s="117">
        <f>IF(COUNTA(B4125:E4125)=0,"",IF(COUNTA(B4125:E4125)&lt;4,"⚠ กรอกไม่ครบ",IF(NOT(ISNUMBER(B4125)),"⚠ วันที่ไม่ถูกต้อง",IF(COUNTIFS(Setup!$L$6:$L$60,D4125,Setup!$M$6:$M$60,C4125)=0,"⚠ หมวดไม่ตรงประเภท","✓"))))</f>
        <v/>
      </c>
    </row>
    <row r="4126">
      <c r="B4126" s="113" t="n"/>
      <c r="C4126" s="114" t="n"/>
      <c r="D4126" s="115" t="n"/>
      <c r="E4126" s="116" t="n"/>
      <c r="F4126" s="115" t="n"/>
      <c r="G4126" s="117">
        <f>IF(COUNTA(B4126:E4126)=0,"",IF(COUNTA(B4126:E4126)&lt;4,"⚠ กรอกไม่ครบ",IF(NOT(ISNUMBER(B4126)),"⚠ วันที่ไม่ถูกต้อง",IF(COUNTIFS(Setup!$L$6:$L$60,D4126,Setup!$M$6:$M$60,C4126)=0,"⚠ หมวดไม่ตรงประเภท","✓"))))</f>
        <v/>
      </c>
    </row>
    <row r="4127">
      <c r="B4127" s="113" t="n"/>
      <c r="C4127" s="114" t="n"/>
      <c r="D4127" s="115" t="n"/>
      <c r="E4127" s="116" t="n"/>
      <c r="F4127" s="115" t="n"/>
      <c r="G4127" s="117">
        <f>IF(COUNTA(B4127:E4127)=0,"",IF(COUNTA(B4127:E4127)&lt;4,"⚠ กรอกไม่ครบ",IF(NOT(ISNUMBER(B4127)),"⚠ วันที่ไม่ถูกต้อง",IF(COUNTIFS(Setup!$L$6:$L$60,D4127,Setup!$M$6:$M$60,C4127)=0,"⚠ หมวดไม่ตรงประเภท","✓"))))</f>
        <v/>
      </c>
    </row>
    <row r="4128">
      <c r="B4128" s="113" t="n"/>
      <c r="C4128" s="114" t="n"/>
      <c r="D4128" s="115" t="n"/>
      <c r="E4128" s="116" t="n"/>
      <c r="F4128" s="115" t="n"/>
      <c r="G4128" s="117">
        <f>IF(COUNTA(B4128:E4128)=0,"",IF(COUNTA(B4128:E4128)&lt;4,"⚠ กรอกไม่ครบ",IF(NOT(ISNUMBER(B4128)),"⚠ วันที่ไม่ถูกต้อง",IF(COUNTIFS(Setup!$L$6:$L$60,D4128,Setup!$M$6:$M$60,C4128)=0,"⚠ หมวดไม่ตรงประเภท","✓"))))</f>
        <v/>
      </c>
    </row>
    <row r="4129">
      <c r="B4129" s="113" t="n"/>
      <c r="C4129" s="114" t="n"/>
      <c r="D4129" s="115" t="n"/>
      <c r="E4129" s="116" t="n"/>
      <c r="F4129" s="115" t="n"/>
      <c r="G4129" s="117">
        <f>IF(COUNTA(B4129:E4129)=0,"",IF(COUNTA(B4129:E4129)&lt;4,"⚠ กรอกไม่ครบ",IF(NOT(ISNUMBER(B4129)),"⚠ วันที่ไม่ถูกต้อง",IF(COUNTIFS(Setup!$L$6:$L$60,D4129,Setup!$M$6:$M$60,C4129)=0,"⚠ หมวดไม่ตรงประเภท","✓"))))</f>
        <v/>
      </c>
    </row>
    <row r="4130">
      <c r="B4130" s="113" t="n"/>
      <c r="C4130" s="114" t="n"/>
      <c r="D4130" s="115" t="n"/>
      <c r="E4130" s="116" t="n"/>
      <c r="F4130" s="115" t="n"/>
      <c r="G4130" s="117">
        <f>IF(COUNTA(B4130:E4130)=0,"",IF(COUNTA(B4130:E4130)&lt;4,"⚠ กรอกไม่ครบ",IF(NOT(ISNUMBER(B4130)),"⚠ วันที่ไม่ถูกต้อง",IF(COUNTIFS(Setup!$L$6:$L$60,D4130,Setup!$M$6:$M$60,C4130)=0,"⚠ หมวดไม่ตรงประเภท","✓"))))</f>
        <v/>
      </c>
    </row>
    <row r="4131">
      <c r="B4131" s="113" t="n"/>
      <c r="C4131" s="114" t="n"/>
      <c r="D4131" s="115" t="n"/>
      <c r="E4131" s="116" t="n"/>
      <c r="F4131" s="115" t="n"/>
      <c r="G4131" s="117">
        <f>IF(COUNTA(B4131:E4131)=0,"",IF(COUNTA(B4131:E4131)&lt;4,"⚠ กรอกไม่ครบ",IF(NOT(ISNUMBER(B4131)),"⚠ วันที่ไม่ถูกต้อง",IF(COUNTIFS(Setup!$L$6:$L$60,D4131,Setup!$M$6:$M$60,C4131)=0,"⚠ หมวดไม่ตรงประเภท","✓"))))</f>
        <v/>
      </c>
    </row>
    <row r="4132">
      <c r="B4132" s="113" t="n"/>
      <c r="C4132" s="114" t="n"/>
      <c r="D4132" s="115" t="n"/>
      <c r="E4132" s="116" t="n"/>
      <c r="F4132" s="115" t="n"/>
      <c r="G4132" s="117">
        <f>IF(COUNTA(B4132:E4132)=0,"",IF(COUNTA(B4132:E4132)&lt;4,"⚠ กรอกไม่ครบ",IF(NOT(ISNUMBER(B4132)),"⚠ วันที่ไม่ถูกต้อง",IF(COUNTIFS(Setup!$L$6:$L$60,D4132,Setup!$M$6:$M$60,C4132)=0,"⚠ หมวดไม่ตรงประเภท","✓"))))</f>
        <v/>
      </c>
    </row>
    <row r="4133">
      <c r="B4133" s="113" t="n"/>
      <c r="C4133" s="114" t="n"/>
      <c r="D4133" s="115" t="n"/>
      <c r="E4133" s="116" t="n"/>
      <c r="F4133" s="115" t="n"/>
      <c r="G4133" s="117">
        <f>IF(COUNTA(B4133:E4133)=0,"",IF(COUNTA(B4133:E4133)&lt;4,"⚠ กรอกไม่ครบ",IF(NOT(ISNUMBER(B4133)),"⚠ วันที่ไม่ถูกต้อง",IF(COUNTIFS(Setup!$L$6:$L$60,D4133,Setup!$M$6:$M$60,C4133)=0,"⚠ หมวดไม่ตรงประเภท","✓"))))</f>
        <v/>
      </c>
    </row>
    <row r="4134">
      <c r="B4134" s="113" t="n"/>
      <c r="C4134" s="114" t="n"/>
      <c r="D4134" s="115" t="n"/>
      <c r="E4134" s="116" t="n"/>
      <c r="F4134" s="115" t="n"/>
      <c r="G4134" s="117">
        <f>IF(COUNTA(B4134:E4134)=0,"",IF(COUNTA(B4134:E4134)&lt;4,"⚠ กรอกไม่ครบ",IF(NOT(ISNUMBER(B4134)),"⚠ วันที่ไม่ถูกต้อง",IF(COUNTIFS(Setup!$L$6:$L$60,D4134,Setup!$M$6:$M$60,C4134)=0,"⚠ หมวดไม่ตรงประเภท","✓"))))</f>
        <v/>
      </c>
    </row>
    <row r="4135">
      <c r="B4135" s="113" t="n"/>
      <c r="C4135" s="114" t="n"/>
      <c r="D4135" s="115" t="n"/>
      <c r="E4135" s="116" t="n"/>
      <c r="F4135" s="115" t="n"/>
      <c r="G4135" s="117">
        <f>IF(COUNTA(B4135:E4135)=0,"",IF(COUNTA(B4135:E4135)&lt;4,"⚠ กรอกไม่ครบ",IF(NOT(ISNUMBER(B4135)),"⚠ วันที่ไม่ถูกต้อง",IF(COUNTIFS(Setup!$L$6:$L$60,D4135,Setup!$M$6:$M$60,C4135)=0,"⚠ หมวดไม่ตรงประเภท","✓"))))</f>
        <v/>
      </c>
    </row>
    <row r="4136">
      <c r="B4136" s="113" t="n"/>
      <c r="C4136" s="114" t="n"/>
      <c r="D4136" s="115" t="n"/>
      <c r="E4136" s="116" t="n"/>
      <c r="F4136" s="115" t="n"/>
      <c r="G4136" s="117">
        <f>IF(COUNTA(B4136:E4136)=0,"",IF(COUNTA(B4136:E4136)&lt;4,"⚠ กรอกไม่ครบ",IF(NOT(ISNUMBER(B4136)),"⚠ วันที่ไม่ถูกต้อง",IF(COUNTIFS(Setup!$L$6:$L$60,D4136,Setup!$M$6:$M$60,C4136)=0,"⚠ หมวดไม่ตรงประเภท","✓"))))</f>
        <v/>
      </c>
    </row>
    <row r="4137">
      <c r="B4137" s="113" t="n"/>
      <c r="C4137" s="114" t="n"/>
      <c r="D4137" s="115" t="n"/>
      <c r="E4137" s="116" t="n"/>
      <c r="F4137" s="115" t="n"/>
      <c r="G4137" s="117">
        <f>IF(COUNTA(B4137:E4137)=0,"",IF(COUNTA(B4137:E4137)&lt;4,"⚠ กรอกไม่ครบ",IF(NOT(ISNUMBER(B4137)),"⚠ วันที่ไม่ถูกต้อง",IF(COUNTIFS(Setup!$L$6:$L$60,D4137,Setup!$M$6:$M$60,C4137)=0,"⚠ หมวดไม่ตรงประเภท","✓"))))</f>
        <v/>
      </c>
    </row>
    <row r="4138">
      <c r="B4138" s="113" t="n"/>
      <c r="C4138" s="114" t="n"/>
      <c r="D4138" s="115" t="n"/>
      <c r="E4138" s="116" t="n"/>
      <c r="F4138" s="115" t="n"/>
      <c r="G4138" s="117">
        <f>IF(COUNTA(B4138:E4138)=0,"",IF(COUNTA(B4138:E4138)&lt;4,"⚠ กรอกไม่ครบ",IF(NOT(ISNUMBER(B4138)),"⚠ วันที่ไม่ถูกต้อง",IF(COUNTIFS(Setup!$L$6:$L$60,D4138,Setup!$M$6:$M$60,C4138)=0,"⚠ หมวดไม่ตรงประเภท","✓"))))</f>
        <v/>
      </c>
    </row>
    <row r="4139">
      <c r="B4139" s="113" t="n"/>
      <c r="C4139" s="114" t="n"/>
      <c r="D4139" s="115" t="n"/>
      <c r="E4139" s="116" t="n"/>
      <c r="F4139" s="115" t="n"/>
      <c r="G4139" s="117">
        <f>IF(COUNTA(B4139:E4139)=0,"",IF(COUNTA(B4139:E4139)&lt;4,"⚠ กรอกไม่ครบ",IF(NOT(ISNUMBER(B4139)),"⚠ วันที่ไม่ถูกต้อง",IF(COUNTIFS(Setup!$L$6:$L$60,D4139,Setup!$M$6:$M$60,C4139)=0,"⚠ หมวดไม่ตรงประเภท","✓"))))</f>
        <v/>
      </c>
    </row>
    <row r="4140">
      <c r="B4140" s="113" t="n"/>
      <c r="C4140" s="114" t="n"/>
      <c r="D4140" s="115" t="n"/>
      <c r="E4140" s="116" t="n"/>
      <c r="F4140" s="115" t="n"/>
      <c r="G4140" s="117">
        <f>IF(COUNTA(B4140:E4140)=0,"",IF(COUNTA(B4140:E4140)&lt;4,"⚠ กรอกไม่ครบ",IF(NOT(ISNUMBER(B4140)),"⚠ วันที่ไม่ถูกต้อง",IF(COUNTIFS(Setup!$L$6:$L$60,D4140,Setup!$M$6:$M$60,C4140)=0,"⚠ หมวดไม่ตรงประเภท","✓"))))</f>
        <v/>
      </c>
    </row>
    <row r="4141">
      <c r="B4141" s="113" t="n"/>
      <c r="C4141" s="114" t="n"/>
      <c r="D4141" s="115" t="n"/>
      <c r="E4141" s="116" t="n"/>
      <c r="F4141" s="115" t="n"/>
      <c r="G4141" s="117">
        <f>IF(COUNTA(B4141:E4141)=0,"",IF(COUNTA(B4141:E4141)&lt;4,"⚠ กรอกไม่ครบ",IF(NOT(ISNUMBER(B4141)),"⚠ วันที่ไม่ถูกต้อง",IF(COUNTIFS(Setup!$L$6:$L$60,D4141,Setup!$M$6:$M$60,C4141)=0,"⚠ หมวดไม่ตรงประเภท","✓"))))</f>
        <v/>
      </c>
    </row>
    <row r="4142">
      <c r="B4142" s="113" t="n"/>
      <c r="C4142" s="114" t="n"/>
      <c r="D4142" s="115" t="n"/>
      <c r="E4142" s="116" t="n"/>
      <c r="F4142" s="115" t="n"/>
      <c r="G4142" s="117">
        <f>IF(COUNTA(B4142:E4142)=0,"",IF(COUNTA(B4142:E4142)&lt;4,"⚠ กรอกไม่ครบ",IF(NOT(ISNUMBER(B4142)),"⚠ วันที่ไม่ถูกต้อง",IF(COUNTIFS(Setup!$L$6:$L$60,D4142,Setup!$M$6:$M$60,C4142)=0,"⚠ หมวดไม่ตรงประเภท","✓"))))</f>
        <v/>
      </c>
    </row>
    <row r="4143">
      <c r="B4143" s="113" t="n"/>
      <c r="C4143" s="114" t="n"/>
      <c r="D4143" s="115" t="n"/>
      <c r="E4143" s="116" t="n"/>
      <c r="F4143" s="115" t="n"/>
      <c r="G4143" s="117">
        <f>IF(COUNTA(B4143:E4143)=0,"",IF(COUNTA(B4143:E4143)&lt;4,"⚠ กรอกไม่ครบ",IF(NOT(ISNUMBER(B4143)),"⚠ วันที่ไม่ถูกต้อง",IF(COUNTIFS(Setup!$L$6:$L$60,D4143,Setup!$M$6:$M$60,C4143)=0,"⚠ หมวดไม่ตรงประเภท","✓"))))</f>
        <v/>
      </c>
    </row>
    <row r="4144">
      <c r="B4144" s="113" t="n"/>
      <c r="C4144" s="114" t="n"/>
      <c r="D4144" s="115" t="n"/>
      <c r="E4144" s="116" t="n"/>
      <c r="F4144" s="115" t="n"/>
      <c r="G4144" s="117">
        <f>IF(COUNTA(B4144:E4144)=0,"",IF(COUNTA(B4144:E4144)&lt;4,"⚠ กรอกไม่ครบ",IF(NOT(ISNUMBER(B4144)),"⚠ วันที่ไม่ถูกต้อง",IF(COUNTIFS(Setup!$L$6:$L$60,D4144,Setup!$M$6:$M$60,C4144)=0,"⚠ หมวดไม่ตรงประเภท","✓"))))</f>
        <v/>
      </c>
    </row>
    <row r="4145">
      <c r="B4145" s="113" t="n"/>
      <c r="C4145" s="114" t="n"/>
      <c r="D4145" s="115" t="n"/>
      <c r="E4145" s="116" t="n"/>
      <c r="F4145" s="115" t="n"/>
      <c r="G4145" s="117">
        <f>IF(COUNTA(B4145:E4145)=0,"",IF(COUNTA(B4145:E4145)&lt;4,"⚠ กรอกไม่ครบ",IF(NOT(ISNUMBER(B4145)),"⚠ วันที่ไม่ถูกต้อง",IF(COUNTIFS(Setup!$L$6:$L$60,D4145,Setup!$M$6:$M$60,C4145)=0,"⚠ หมวดไม่ตรงประเภท","✓"))))</f>
        <v/>
      </c>
    </row>
    <row r="4146">
      <c r="B4146" s="113" t="n"/>
      <c r="C4146" s="114" t="n"/>
      <c r="D4146" s="115" t="n"/>
      <c r="E4146" s="116" t="n"/>
      <c r="F4146" s="115" t="n"/>
      <c r="G4146" s="117">
        <f>IF(COUNTA(B4146:E4146)=0,"",IF(COUNTA(B4146:E4146)&lt;4,"⚠ กรอกไม่ครบ",IF(NOT(ISNUMBER(B4146)),"⚠ วันที่ไม่ถูกต้อง",IF(COUNTIFS(Setup!$L$6:$L$60,D4146,Setup!$M$6:$M$60,C4146)=0,"⚠ หมวดไม่ตรงประเภท","✓"))))</f>
        <v/>
      </c>
    </row>
    <row r="4147">
      <c r="B4147" s="113" t="n"/>
      <c r="C4147" s="114" t="n"/>
      <c r="D4147" s="115" t="n"/>
      <c r="E4147" s="116" t="n"/>
      <c r="F4147" s="115" t="n"/>
      <c r="G4147" s="117">
        <f>IF(COUNTA(B4147:E4147)=0,"",IF(COUNTA(B4147:E4147)&lt;4,"⚠ กรอกไม่ครบ",IF(NOT(ISNUMBER(B4147)),"⚠ วันที่ไม่ถูกต้อง",IF(COUNTIFS(Setup!$L$6:$L$60,D4147,Setup!$M$6:$M$60,C4147)=0,"⚠ หมวดไม่ตรงประเภท","✓"))))</f>
        <v/>
      </c>
    </row>
    <row r="4148">
      <c r="B4148" s="113" t="n"/>
      <c r="C4148" s="114" t="n"/>
      <c r="D4148" s="115" t="n"/>
      <c r="E4148" s="116" t="n"/>
      <c r="F4148" s="115" t="n"/>
      <c r="G4148" s="117">
        <f>IF(COUNTA(B4148:E4148)=0,"",IF(COUNTA(B4148:E4148)&lt;4,"⚠ กรอกไม่ครบ",IF(NOT(ISNUMBER(B4148)),"⚠ วันที่ไม่ถูกต้อง",IF(COUNTIFS(Setup!$L$6:$L$60,D4148,Setup!$M$6:$M$60,C4148)=0,"⚠ หมวดไม่ตรงประเภท","✓"))))</f>
        <v/>
      </c>
    </row>
    <row r="4149">
      <c r="B4149" s="113" t="n"/>
      <c r="C4149" s="114" t="n"/>
      <c r="D4149" s="115" t="n"/>
      <c r="E4149" s="116" t="n"/>
      <c r="F4149" s="115" t="n"/>
      <c r="G4149" s="117">
        <f>IF(COUNTA(B4149:E4149)=0,"",IF(COUNTA(B4149:E4149)&lt;4,"⚠ กรอกไม่ครบ",IF(NOT(ISNUMBER(B4149)),"⚠ วันที่ไม่ถูกต้อง",IF(COUNTIFS(Setup!$L$6:$L$60,D4149,Setup!$M$6:$M$60,C4149)=0,"⚠ หมวดไม่ตรงประเภท","✓"))))</f>
        <v/>
      </c>
    </row>
    <row r="4150">
      <c r="B4150" s="113" t="n"/>
      <c r="C4150" s="114" t="n"/>
      <c r="D4150" s="115" t="n"/>
      <c r="E4150" s="116" t="n"/>
      <c r="F4150" s="115" t="n"/>
      <c r="G4150" s="117">
        <f>IF(COUNTA(B4150:E4150)=0,"",IF(COUNTA(B4150:E4150)&lt;4,"⚠ กรอกไม่ครบ",IF(NOT(ISNUMBER(B4150)),"⚠ วันที่ไม่ถูกต้อง",IF(COUNTIFS(Setup!$L$6:$L$60,D4150,Setup!$M$6:$M$60,C4150)=0,"⚠ หมวดไม่ตรงประเภท","✓"))))</f>
        <v/>
      </c>
    </row>
    <row r="4151">
      <c r="B4151" s="113" t="n"/>
      <c r="C4151" s="114" t="n"/>
      <c r="D4151" s="115" t="n"/>
      <c r="E4151" s="116" t="n"/>
      <c r="F4151" s="115" t="n"/>
      <c r="G4151" s="117">
        <f>IF(COUNTA(B4151:E4151)=0,"",IF(COUNTA(B4151:E4151)&lt;4,"⚠ กรอกไม่ครบ",IF(NOT(ISNUMBER(B4151)),"⚠ วันที่ไม่ถูกต้อง",IF(COUNTIFS(Setup!$L$6:$L$60,D4151,Setup!$M$6:$M$60,C4151)=0,"⚠ หมวดไม่ตรงประเภท","✓"))))</f>
        <v/>
      </c>
    </row>
    <row r="4152">
      <c r="B4152" s="113" t="n"/>
      <c r="C4152" s="114" t="n"/>
      <c r="D4152" s="115" t="n"/>
      <c r="E4152" s="116" t="n"/>
      <c r="F4152" s="115" t="n"/>
      <c r="G4152" s="117">
        <f>IF(COUNTA(B4152:E4152)=0,"",IF(COUNTA(B4152:E4152)&lt;4,"⚠ กรอกไม่ครบ",IF(NOT(ISNUMBER(B4152)),"⚠ วันที่ไม่ถูกต้อง",IF(COUNTIFS(Setup!$L$6:$L$60,D4152,Setup!$M$6:$M$60,C4152)=0,"⚠ หมวดไม่ตรงประเภท","✓"))))</f>
        <v/>
      </c>
    </row>
    <row r="4153">
      <c r="B4153" s="113" t="n"/>
      <c r="C4153" s="114" t="n"/>
      <c r="D4153" s="115" t="n"/>
      <c r="E4153" s="116" t="n"/>
      <c r="F4153" s="115" t="n"/>
      <c r="G4153" s="117">
        <f>IF(COUNTA(B4153:E4153)=0,"",IF(COUNTA(B4153:E4153)&lt;4,"⚠ กรอกไม่ครบ",IF(NOT(ISNUMBER(B4153)),"⚠ วันที่ไม่ถูกต้อง",IF(COUNTIFS(Setup!$L$6:$L$60,D4153,Setup!$M$6:$M$60,C4153)=0,"⚠ หมวดไม่ตรงประเภท","✓"))))</f>
        <v/>
      </c>
    </row>
    <row r="4154">
      <c r="B4154" s="113" t="n"/>
      <c r="C4154" s="114" t="n"/>
      <c r="D4154" s="115" t="n"/>
      <c r="E4154" s="116" t="n"/>
      <c r="F4154" s="115" t="n"/>
      <c r="G4154" s="117">
        <f>IF(COUNTA(B4154:E4154)=0,"",IF(COUNTA(B4154:E4154)&lt;4,"⚠ กรอกไม่ครบ",IF(NOT(ISNUMBER(B4154)),"⚠ วันที่ไม่ถูกต้อง",IF(COUNTIFS(Setup!$L$6:$L$60,D4154,Setup!$M$6:$M$60,C4154)=0,"⚠ หมวดไม่ตรงประเภท","✓"))))</f>
        <v/>
      </c>
    </row>
    <row r="4155">
      <c r="B4155" s="113" t="n"/>
      <c r="C4155" s="114" t="n"/>
      <c r="D4155" s="115" t="n"/>
      <c r="E4155" s="116" t="n"/>
      <c r="F4155" s="115" t="n"/>
      <c r="G4155" s="117">
        <f>IF(COUNTA(B4155:E4155)=0,"",IF(COUNTA(B4155:E4155)&lt;4,"⚠ กรอกไม่ครบ",IF(NOT(ISNUMBER(B4155)),"⚠ วันที่ไม่ถูกต้อง",IF(COUNTIFS(Setup!$L$6:$L$60,D4155,Setup!$M$6:$M$60,C4155)=0,"⚠ หมวดไม่ตรงประเภท","✓"))))</f>
        <v/>
      </c>
    </row>
    <row r="4156">
      <c r="B4156" s="113" t="n"/>
      <c r="C4156" s="114" t="n"/>
      <c r="D4156" s="115" t="n"/>
      <c r="E4156" s="116" t="n"/>
      <c r="F4156" s="115" t="n"/>
      <c r="G4156" s="117">
        <f>IF(COUNTA(B4156:E4156)=0,"",IF(COUNTA(B4156:E4156)&lt;4,"⚠ กรอกไม่ครบ",IF(NOT(ISNUMBER(B4156)),"⚠ วันที่ไม่ถูกต้อง",IF(COUNTIFS(Setup!$L$6:$L$60,D4156,Setup!$M$6:$M$60,C4156)=0,"⚠ หมวดไม่ตรงประเภท","✓"))))</f>
        <v/>
      </c>
    </row>
    <row r="4157">
      <c r="B4157" s="113" t="n"/>
      <c r="C4157" s="114" t="n"/>
      <c r="D4157" s="115" t="n"/>
      <c r="E4157" s="116" t="n"/>
      <c r="F4157" s="115" t="n"/>
      <c r="G4157" s="117">
        <f>IF(COUNTA(B4157:E4157)=0,"",IF(COUNTA(B4157:E4157)&lt;4,"⚠ กรอกไม่ครบ",IF(NOT(ISNUMBER(B4157)),"⚠ วันที่ไม่ถูกต้อง",IF(COUNTIFS(Setup!$L$6:$L$60,D4157,Setup!$M$6:$M$60,C4157)=0,"⚠ หมวดไม่ตรงประเภท","✓"))))</f>
        <v/>
      </c>
    </row>
    <row r="4158">
      <c r="B4158" s="113" t="n"/>
      <c r="C4158" s="114" t="n"/>
      <c r="D4158" s="115" t="n"/>
      <c r="E4158" s="116" t="n"/>
      <c r="F4158" s="115" t="n"/>
      <c r="G4158" s="117">
        <f>IF(COUNTA(B4158:E4158)=0,"",IF(COUNTA(B4158:E4158)&lt;4,"⚠ กรอกไม่ครบ",IF(NOT(ISNUMBER(B4158)),"⚠ วันที่ไม่ถูกต้อง",IF(COUNTIFS(Setup!$L$6:$L$60,D4158,Setup!$M$6:$M$60,C4158)=0,"⚠ หมวดไม่ตรงประเภท","✓"))))</f>
        <v/>
      </c>
    </row>
    <row r="4159">
      <c r="B4159" s="113" t="n"/>
      <c r="C4159" s="114" t="n"/>
      <c r="D4159" s="115" t="n"/>
      <c r="E4159" s="116" t="n"/>
      <c r="F4159" s="115" t="n"/>
      <c r="G4159" s="117">
        <f>IF(COUNTA(B4159:E4159)=0,"",IF(COUNTA(B4159:E4159)&lt;4,"⚠ กรอกไม่ครบ",IF(NOT(ISNUMBER(B4159)),"⚠ วันที่ไม่ถูกต้อง",IF(COUNTIFS(Setup!$L$6:$L$60,D4159,Setup!$M$6:$M$60,C4159)=0,"⚠ หมวดไม่ตรงประเภท","✓"))))</f>
        <v/>
      </c>
    </row>
    <row r="4160">
      <c r="B4160" s="113" t="n"/>
      <c r="C4160" s="114" t="n"/>
      <c r="D4160" s="115" t="n"/>
      <c r="E4160" s="116" t="n"/>
      <c r="F4160" s="115" t="n"/>
      <c r="G4160" s="117">
        <f>IF(COUNTA(B4160:E4160)=0,"",IF(COUNTA(B4160:E4160)&lt;4,"⚠ กรอกไม่ครบ",IF(NOT(ISNUMBER(B4160)),"⚠ วันที่ไม่ถูกต้อง",IF(COUNTIFS(Setup!$L$6:$L$60,D4160,Setup!$M$6:$M$60,C4160)=0,"⚠ หมวดไม่ตรงประเภท","✓"))))</f>
        <v/>
      </c>
    </row>
    <row r="4161">
      <c r="B4161" s="113" t="n"/>
      <c r="C4161" s="114" t="n"/>
      <c r="D4161" s="115" t="n"/>
      <c r="E4161" s="116" t="n"/>
      <c r="F4161" s="115" t="n"/>
      <c r="G4161" s="117">
        <f>IF(COUNTA(B4161:E4161)=0,"",IF(COUNTA(B4161:E4161)&lt;4,"⚠ กรอกไม่ครบ",IF(NOT(ISNUMBER(B4161)),"⚠ วันที่ไม่ถูกต้อง",IF(COUNTIFS(Setup!$L$6:$L$60,D4161,Setup!$M$6:$M$60,C4161)=0,"⚠ หมวดไม่ตรงประเภท","✓"))))</f>
        <v/>
      </c>
    </row>
    <row r="4162">
      <c r="B4162" s="113" t="n"/>
      <c r="C4162" s="114" t="n"/>
      <c r="D4162" s="115" t="n"/>
      <c r="E4162" s="116" t="n"/>
      <c r="F4162" s="115" t="n"/>
      <c r="G4162" s="117">
        <f>IF(COUNTA(B4162:E4162)=0,"",IF(COUNTA(B4162:E4162)&lt;4,"⚠ กรอกไม่ครบ",IF(NOT(ISNUMBER(B4162)),"⚠ วันที่ไม่ถูกต้อง",IF(COUNTIFS(Setup!$L$6:$L$60,D4162,Setup!$M$6:$M$60,C4162)=0,"⚠ หมวดไม่ตรงประเภท","✓"))))</f>
        <v/>
      </c>
    </row>
    <row r="4163">
      <c r="B4163" s="113" t="n"/>
      <c r="C4163" s="114" t="n"/>
      <c r="D4163" s="115" t="n"/>
      <c r="E4163" s="116" t="n"/>
      <c r="F4163" s="115" t="n"/>
      <c r="G4163" s="117">
        <f>IF(COUNTA(B4163:E4163)=0,"",IF(COUNTA(B4163:E4163)&lt;4,"⚠ กรอกไม่ครบ",IF(NOT(ISNUMBER(B4163)),"⚠ วันที่ไม่ถูกต้อง",IF(COUNTIFS(Setup!$L$6:$L$60,D4163,Setup!$M$6:$M$60,C4163)=0,"⚠ หมวดไม่ตรงประเภท","✓"))))</f>
        <v/>
      </c>
    </row>
    <row r="4164">
      <c r="B4164" s="113" t="n"/>
      <c r="C4164" s="114" t="n"/>
      <c r="D4164" s="115" t="n"/>
      <c r="E4164" s="116" t="n"/>
      <c r="F4164" s="115" t="n"/>
      <c r="G4164" s="117">
        <f>IF(COUNTA(B4164:E4164)=0,"",IF(COUNTA(B4164:E4164)&lt;4,"⚠ กรอกไม่ครบ",IF(NOT(ISNUMBER(B4164)),"⚠ วันที่ไม่ถูกต้อง",IF(COUNTIFS(Setup!$L$6:$L$60,D4164,Setup!$M$6:$M$60,C4164)=0,"⚠ หมวดไม่ตรงประเภท","✓"))))</f>
        <v/>
      </c>
    </row>
    <row r="4165">
      <c r="B4165" s="113" t="n"/>
      <c r="C4165" s="114" t="n"/>
      <c r="D4165" s="115" t="n"/>
      <c r="E4165" s="116" t="n"/>
      <c r="F4165" s="115" t="n"/>
      <c r="G4165" s="117">
        <f>IF(COUNTA(B4165:E4165)=0,"",IF(COUNTA(B4165:E4165)&lt;4,"⚠ กรอกไม่ครบ",IF(NOT(ISNUMBER(B4165)),"⚠ วันที่ไม่ถูกต้อง",IF(COUNTIFS(Setup!$L$6:$L$60,D4165,Setup!$M$6:$M$60,C4165)=0,"⚠ หมวดไม่ตรงประเภท","✓"))))</f>
        <v/>
      </c>
    </row>
    <row r="4166">
      <c r="B4166" s="113" t="n"/>
      <c r="C4166" s="114" t="n"/>
      <c r="D4166" s="115" t="n"/>
      <c r="E4166" s="116" t="n"/>
      <c r="F4166" s="115" t="n"/>
      <c r="G4166" s="117">
        <f>IF(COUNTA(B4166:E4166)=0,"",IF(COUNTA(B4166:E4166)&lt;4,"⚠ กรอกไม่ครบ",IF(NOT(ISNUMBER(B4166)),"⚠ วันที่ไม่ถูกต้อง",IF(COUNTIFS(Setup!$L$6:$L$60,D4166,Setup!$M$6:$M$60,C4166)=0,"⚠ หมวดไม่ตรงประเภท","✓"))))</f>
        <v/>
      </c>
    </row>
    <row r="4167">
      <c r="B4167" s="113" t="n"/>
      <c r="C4167" s="114" t="n"/>
      <c r="D4167" s="115" t="n"/>
      <c r="E4167" s="116" t="n"/>
      <c r="F4167" s="115" t="n"/>
      <c r="G4167" s="117">
        <f>IF(COUNTA(B4167:E4167)=0,"",IF(COUNTA(B4167:E4167)&lt;4,"⚠ กรอกไม่ครบ",IF(NOT(ISNUMBER(B4167)),"⚠ วันที่ไม่ถูกต้อง",IF(COUNTIFS(Setup!$L$6:$L$60,D4167,Setup!$M$6:$M$60,C4167)=0,"⚠ หมวดไม่ตรงประเภท","✓"))))</f>
        <v/>
      </c>
    </row>
    <row r="4168">
      <c r="B4168" s="113" t="n"/>
      <c r="C4168" s="114" t="n"/>
      <c r="D4168" s="115" t="n"/>
      <c r="E4168" s="116" t="n"/>
      <c r="F4168" s="115" t="n"/>
      <c r="G4168" s="117">
        <f>IF(COUNTA(B4168:E4168)=0,"",IF(COUNTA(B4168:E4168)&lt;4,"⚠ กรอกไม่ครบ",IF(NOT(ISNUMBER(B4168)),"⚠ วันที่ไม่ถูกต้อง",IF(COUNTIFS(Setup!$L$6:$L$60,D4168,Setup!$M$6:$M$60,C4168)=0,"⚠ หมวดไม่ตรงประเภท","✓"))))</f>
        <v/>
      </c>
    </row>
    <row r="4169">
      <c r="B4169" s="113" t="n"/>
      <c r="C4169" s="114" t="n"/>
      <c r="D4169" s="115" t="n"/>
      <c r="E4169" s="116" t="n"/>
      <c r="F4169" s="115" t="n"/>
      <c r="G4169" s="117">
        <f>IF(COUNTA(B4169:E4169)=0,"",IF(COUNTA(B4169:E4169)&lt;4,"⚠ กรอกไม่ครบ",IF(NOT(ISNUMBER(B4169)),"⚠ วันที่ไม่ถูกต้อง",IF(COUNTIFS(Setup!$L$6:$L$60,D4169,Setup!$M$6:$M$60,C4169)=0,"⚠ หมวดไม่ตรงประเภท","✓"))))</f>
        <v/>
      </c>
    </row>
    <row r="4170">
      <c r="B4170" s="113" t="n"/>
      <c r="C4170" s="114" t="n"/>
      <c r="D4170" s="115" t="n"/>
      <c r="E4170" s="116" t="n"/>
      <c r="F4170" s="115" t="n"/>
      <c r="G4170" s="117">
        <f>IF(COUNTA(B4170:E4170)=0,"",IF(COUNTA(B4170:E4170)&lt;4,"⚠ กรอกไม่ครบ",IF(NOT(ISNUMBER(B4170)),"⚠ วันที่ไม่ถูกต้อง",IF(COUNTIFS(Setup!$L$6:$L$60,D4170,Setup!$M$6:$M$60,C4170)=0,"⚠ หมวดไม่ตรงประเภท","✓"))))</f>
        <v/>
      </c>
    </row>
    <row r="4171">
      <c r="B4171" s="113" t="n"/>
      <c r="C4171" s="114" t="n"/>
      <c r="D4171" s="115" t="n"/>
      <c r="E4171" s="116" t="n"/>
      <c r="F4171" s="115" t="n"/>
      <c r="G4171" s="117">
        <f>IF(COUNTA(B4171:E4171)=0,"",IF(COUNTA(B4171:E4171)&lt;4,"⚠ กรอกไม่ครบ",IF(NOT(ISNUMBER(B4171)),"⚠ วันที่ไม่ถูกต้อง",IF(COUNTIFS(Setup!$L$6:$L$60,D4171,Setup!$M$6:$M$60,C4171)=0,"⚠ หมวดไม่ตรงประเภท","✓"))))</f>
        <v/>
      </c>
    </row>
    <row r="4172">
      <c r="B4172" s="113" t="n"/>
      <c r="C4172" s="114" t="n"/>
      <c r="D4172" s="115" t="n"/>
      <c r="E4172" s="116" t="n"/>
      <c r="F4172" s="115" t="n"/>
      <c r="G4172" s="117">
        <f>IF(COUNTA(B4172:E4172)=0,"",IF(COUNTA(B4172:E4172)&lt;4,"⚠ กรอกไม่ครบ",IF(NOT(ISNUMBER(B4172)),"⚠ วันที่ไม่ถูกต้อง",IF(COUNTIFS(Setup!$L$6:$L$60,D4172,Setup!$M$6:$M$60,C4172)=0,"⚠ หมวดไม่ตรงประเภท","✓"))))</f>
        <v/>
      </c>
    </row>
    <row r="4173">
      <c r="B4173" s="113" t="n"/>
      <c r="C4173" s="114" t="n"/>
      <c r="D4173" s="115" t="n"/>
      <c r="E4173" s="116" t="n"/>
      <c r="F4173" s="115" t="n"/>
      <c r="G4173" s="117">
        <f>IF(COUNTA(B4173:E4173)=0,"",IF(COUNTA(B4173:E4173)&lt;4,"⚠ กรอกไม่ครบ",IF(NOT(ISNUMBER(B4173)),"⚠ วันที่ไม่ถูกต้อง",IF(COUNTIFS(Setup!$L$6:$L$60,D4173,Setup!$M$6:$M$60,C4173)=0,"⚠ หมวดไม่ตรงประเภท","✓"))))</f>
        <v/>
      </c>
    </row>
    <row r="4174">
      <c r="B4174" s="113" t="n"/>
      <c r="C4174" s="114" t="n"/>
      <c r="D4174" s="115" t="n"/>
      <c r="E4174" s="116" t="n"/>
      <c r="F4174" s="115" t="n"/>
      <c r="G4174" s="117">
        <f>IF(COUNTA(B4174:E4174)=0,"",IF(COUNTA(B4174:E4174)&lt;4,"⚠ กรอกไม่ครบ",IF(NOT(ISNUMBER(B4174)),"⚠ วันที่ไม่ถูกต้อง",IF(COUNTIFS(Setup!$L$6:$L$60,D4174,Setup!$M$6:$M$60,C4174)=0,"⚠ หมวดไม่ตรงประเภท","✓"))))</f>
        <v/>
      </c>
    </row>
    <row r="4175">
      <c r="B4175" s="113" t="n"/>
      <c r="C4175" s="114" t="n"/>
      <c r="D4175" s="115" t="n"/>
      <c r="E4175" s="116" t="n"/>
      <c r="F4175" s="115" t="n"/>
      <c r="G4175" s="117">
        <f>IF(COUNTA(B4175:E4175)=0,"",IF(COUNTA(B4175:E4175)&lt;4,"⚠ กรอกไม่ครบ",IF(NOT(ISNUMBER(B4175)),"⚠ วันที่ไม่ถูกต้อง",IF(COUNTIFS(Setup!$L$6:$L$60,D4175,Setup!$M$6:$M$60,C4175)=0,"⚠ หมวดไม่ตรงประเภท","✓"))))</f>
        <v/>
      </c>
    </row>
    <row r="4176">
      <c r="B4176" s="113" t="n"/>
      <c r="C4176" s="114" t="n"/>
      <c r="D4176" s="115" t="n"/>
      <c r="E4176" s="116" t="n"/>
      <c r="F4176" s="115" t="n"/>
      <c r="G4176" s="117">
        <f>IF(COUNTA(B4176:E4176)=0,"",IF(COUNTA(B4176:E4176)&lt;4,"⚠ กรอกไม่ครบ",IF(NOT(ISNUMBER(B4176)),"⚠ วันที่ไม่ถูกต้อง",IF(COUNTIFS(Setup!$L$6:$L$60,D4176,Setup!$M$6:$M$60,C4176)=0,"⚠ หมวดไม่ตรงประเภท","✓"))))</f>
        <v/>
      </c>
    </row>
    <row r="4177">
      <c r="B4177" s="113" t="n"/>
      <c r="C4177" s="114" t="n"/>
      <c r="D4177" s="115" t="n"/>
      <c r="E4177" s="116" t="n"/>
      <c r="F4177" s="115" t="n"/>
      <c r="G4177" s="117">
        <f>IF(COUNTA(B4177:E4177)=0,"",IF(COUNTA(B4177:E4177)&lt;4,"⚠ กรอกไม่ครบ",IF(NOT(ISNUMBER(B4177)),"⚠ วันที่ไม่ถูกต้อง",IF(COUNTIFS(Setup!$L$6:$L$60,D4177,Setup!$M$6:$M$60,C4177)=0,"⚠ หมวดไม่ตรงประเภท","✓"))))</f>
        <v/>
      </c>
    </row>
    <row r="4178">
      <c r="B4178" s="113" t="n"/>
      <c r="C4178" s="114" t="n"/>
      <c r="D4178" s="115" t="n"/>
      <c r="E4178" s="116" t="n"/>
      <c r="F4178" s="115" t="n"/>
      <c r="G4178" s="117">
        <f>IF(COUNTA(B4178:E4178)=0,"",IF(COUNTA(B4178:E4178)&lt;4,"⚠ กรอกไม่ครบ",IF(NOT(ISNUMBER(B4178)),"⚠ วันที่ไม่ถูกต้อง",IF(COUNTIFS(Setup!$L$6:$L$60,D4178,Setup!$M$6:$M$60,C4178)=0,"⚠ หมวดไม่ตรงประเภท","✓"))))</f>
        <v/>
      </c>
    </row>
    <row r="4179">
      <c r="B4179" s="113" t="n"/>
      <c r="C4179" s="114" t="n"/>
      <c r="D4179" s="115" t="n"/>
      <c r="E4179" s="116" t="n"/>
      <c r="F4179" s="115" t="n"/>
      <c r="G4179" s="117">
        <f>IF(COUNTA(B4179:E4179)=0,"",IF(COUNTA(B4179:E4179)&lt;4,"⚠ กรอกไม่ครบ",IF(NOT(ISNUMBER(B4179)),"⚠ วันที่ไม่ถูกต้อง",IF(COUNTIFS(Setup!$L$6:$L$60,D4179,Setup!$M$6:$M$60,C4179)=0,"⚠ หมวดไม่ตรงประเภท","✓"))))</f>
        <v/>
      </c>
    </row>
    <row r="4180">
      <c r="B4180" s="113" t="n"/>
      <c r="C4180" s="114" t="n"/>
      <c r="D4180" s="115" t="n"/>
      <c r="E4180" s="116" t="n"/>
      <c r="F4180" s="115" t="n"/>
      <c r="G4180" s="117">
        <f>IF(COUNTA(B4180:E4180)=0,"",IF(COUNTA(B4180:E4180)&lt;4,"⚠ กรอกไม่ครบ",IF(NOT(ISNUMBER(B4180)),"⚠ วันที่ไม่ถูกต้อง",IF(COUNTIFS(Setup!$L$6:$L$60,D4180,Setup!$M$6:$M$60,C4180)=0,"⚠ หมวดไม่ตรงประเภท","✓"))))</f>
        <v/>
      </c>
    </row>
    <row r="4181">
      <c r="B4181" s="113" t="n"/>
      <c r="C4181" s="114" t="n"/>
      <c r="D4181" s="115" t="n"/>
      <c r="E4181" s="116" t="n"/>
      <c r="F4181" s="115" t="n"/>
      <c r="G4181" s="117">
        <f>IF(COUNTA(B4181:E4181)=0,"",IF(COUNTA(B4181:E4181)&lt;4,"⚠ กรอกไม่ครบ",IF(NOT(ISNUMBER(B4181)),"⚠ วันที่ไม่ถูกต้อง",IF(COUNTIFS(Setup!$L$6:$L$60,D4181,Setup!$M$6:$M$60,C4181)=0,"⚠ หมวดไม่ตรงประเภท","✓"))))</f>
        <v/>
      </c>
    </row>
    <row r="4182">
      <c r="B4182" s="113" t="n"/>
      <c r="C4182" s="114" t="n"/>
      <c r="D4182" s="115" t="n"/>
      <c r="E4182" s="116" t="n"/>
      <c r="F4182" s="115" t="n"/>
      <c r="G4182" s="117">
        <f>IF(COUNTA(B4182:E4182)=0,"",IF(COUNTA(B4182:E4182)&lt;4,"⚠ กรอกไม่ครบ",IF(NOT(ISNUMBER(B4182)),"⚠ วันที่ไม่ถูกต้อง",IF(COUNTIFS(Setup!$L$6:$L$60,D4182,Setup!$M$6:$M$60,C4182)=0,"⚠ หมวดไม่ตรงประเภท","✓"))))</f>
        <v/>
      </c>
    </row>
    <row r="4183">
      <c r="B4183" s="113" t="n"/>
      <c r="C4183" s="114" t="n"/>
      <c r="D4183" s="115" t="n"/>
      <c r="E4183" s="116" t="n"/>
      <c r="F4183" s="115" t="n"/>
      <c r="G4183" s="117">
        <f>IF(COUNTA(B4183:E4183)=0,"",IF(COUNTA(B4183:E4183)&lt;4,"⚠ กรอกไม่ครบ",IF(NOT(ISNUMBER(B4183)),"⚠ วันที่ไม่ถูกต้อง",IF(COUNTIFS(Setup!$L$6:$L$60,D4183,Setup!$M$6:$M$60,C4183)=0,"⚠ หมวดไม่ตรงประเภท","✓"))))</f>
        <v/>
      </c>
    </row>
    <row r="4184">
      <c r="B4184" s="113" t="n"/>
      <c r="C4184" s="114" t="n"/>
      <c r="D4184" s="115" t="n"/>
      <c r="E4184" s="116" t="n"/>
      <c r="F4184" s="115" t="n"/>
      <c r="G4184" s="117">
        <f>IF(COUNTA(B4184:E4184)=0,"",IF(COUNTA(B4184:E4184)&lt;4,"⚠ กรอกไม่ครบ",IF(NOT(ISNUMBER(B4184)),"⚠ วันที่ไม่ถูกต้อง",IF(COUNTIFS(Setup!$L$6:$L$60,D4184,Setup!$M$6:$M$60,C4184)=0,"⚠ หมวดไม่ตรงประเภท","✓"))))</f>
        <v/>
      </c>
    </row>
    <row r="4185">
      <c r="B4185" s="113" t="n"/>
      <c r="C4185" s="114" t="n"/>
      <c r="D4185" s="115" t="n"/>
      <c r="E4185" s="116" t="n"/>
      <c r="F4185" s="115" t="n"/>
      <c r="G4185" s="117">
        <f>IF(COUNTA(B4185:E4185)=0,"",IF(COUNTA(B4185:E4185)&lt;4,"⚠ กรอกไม่ครบ",IF(NOT(ISNUMBER(B4185)),"⚠ วันที่ไม่ถูกต้อง",IF(COUNTIFS(Setup!$L$6:$L$60,D4185,Setup!$M$6:$M$60,C4185)=0,"⚠ หมวดไม่ตรงประเภท","✓"))))</f>
        <v/>
      </c>
    </row>
    <row r="4186">
      <c r="B4186" s="113" t="n"/>
      <c r="C4186" s="114" t="n"/>
      <c r="D4186" s="115" t="n"/>
      <c r="E4186" s="116" t="n"/>
      <c r="F4186" s="115" t="n"/>
      <c r="G4186" s="117">
        <f>IF(COUNTA(B4186:E4186)=0,"",IF(COUNTA(B4186:E4186)&lt;4,"⚠ กรอกไม่ครบ",IF(NOT(ISNUMBER(B4186)),"⚠ วันที่ไม่ถูกต้อง",IF(COUNTIFS(Setup!$L$6:$L$60,D4186,Setup!$M$6:$M$60,C4186)=0,"⚠ หมวดไม่ตรงประเภท","✓"))))</f>
        <v/>
      </c>
    </row>
    <row r="4187">
      <c r="B4187" s="113" t="n"/>
      <c r="C4187" s="114" t="n"/>
      <c r="D4187" s="115" t="n"/>
      <c r="E4187" s="116" t="n"/>
      <c r="F4187" s="115" t="n"/>
      <c r="G4187" s="117">
        <f>IF(COUNTA(B4187:E4187)=0,"",IF(COUNTA(B4187:E4187)&lt;4,"⚠ กรอกไม่ครบ",IF(NOT(ISNUMBER(B4187)),"⚠ วันที่ไม่ถูกต้อง",IF(COUNTIFS(Setup!$L$6:$L$60,D4187,Setup!$M$6:$M$60,C4187)=0,"⚠ หมวดไม่ตรงประเภท","✓"))))</f>
        <v/>
      </c>
    </row>
    <row r="4188">
      <c r="B4188" s="113" t="n"/>
      <c r="C4188" s="114" t="n"/>
      <c r="D4188" s="115" t="n"/>
      <c r="E4188" s="116" t="n"/>
      <c r="F4188" s="115" t="n"/>
      <c r="G4188" s="117">
        <f>IF(COUNTA(B4188:E4188)=0,"",IF(COUNTA(B4188:E4188)&lt;4,"⚠ กรอกไม่ครบ",IF(NOT(ISNUMBER(B4188)),"⚠ วันที่ไม่ถูกต้อง",IF(COUNTIFS(Setup!$L$6:$L$60,D4188,Setup!$M$6:$M$60,C4188)=0,"⚠ หมวดไม่ตรงประเภท","✓"))))</f>
        <v/>
      </c>
    </row>
    <row r="4189">
      <c r="B4189" s="113" t="n"/>
      <c r="C4189" s="114" t="n"/>
      <c r="D4189" s="115" t="n"/>
      <c r="E4189" s="116" t="n"/>
      <c r="F4189" s="115" t="n"/>
      <c r="G4189" s="117">
        <f>IF(COUNTA(B4189:E4189)=0,"",IF(COUNTA(B4189:E4189)&lt;4,"⚠ กรอกไม่ครบ",IF(NOT(ISNUMBER(B4189)),"⚠ วันที่ไม่ถูกต้อง",IF(COUNTIFS(Setup!$L$6:$L$60,D4189,Setup!$M$6:$M$60,C4189)=0,"⚠ หมวดไม่ตรงประเภท","✓"))))</f>
        <v/>
      </c>
    </row>
    <row r="4190">
      <c r="B4190" s="113" t="n"/>
      <c r="C4190" s="114" t="n"/>
      <c r="D4190" s="115" t="n"/>
      <c r="E4190" s="116" t="n"/>
      <c r="F4190" s="115" t="n"/>
      <c r="G4190" s="117">
        <f>IF(COUNTA(B4190:E4190)=0,"",IF(COUNTA(B4190:E4190)&lt;4,"⚠ กรอกไม่ครบ",IF(NOT(ISNUMBER(B4190)),"⚠ วันที่ไม่ถูกต้อง",IF(COUNTIFS(Setup!$L$6:$L$60,D4190,Setup!$M$6:$M$60,C4190)=0,"⚠ หมวดไม่ตรงประเภท","✓"))))</f>
        <v/>
      </c>
    </row>
    <row r="4191">
      <c r="B4191" s="113" t="n"/>
      <c r="C4191" s="114" t="n"/>
      <c r="D4191" s="115" t="n"/>
      <c r="E4191" s="116" t="n"/>
      <c r="F4191" s="115" t="n"/>
      <c r="G4191" s="117">
        <f>IF(COUNTA(B4191:E4191)=0,"",IF(COUNTA(B4191:E4191)&lt;4,"⚠ กรอกไม่ครบ",IF(NOT(ISNUMBER(B4191)),"⚠ วันที่ไม่ถูกต้อง",IF(COUNTIFS(Setup!$L$6:$L$60,D4191,Setup!$M$6:$M$60,C4191)=0,"⚠ หมวดไม่ตรงประเภท","✓"))))</f>
        <v/>
      </c>
    </row>
    <row r="4192">
      <c r="B4192" s="113" t="n"/>
      <c r="C4192" s="114" t="n"/>
      <c r="D4192" s="115" t="n"/>
      <c r="E4192" s="116" t="n"/>
      <c r="F4192" s="115" t="n"/>
      <c r="G4192" s="117">
        <f>IF(COUNTA(B4192:E4192)=0,"",IF(COUNTA(B4192:E4192)&lt;4,"⚠ กรอกไม่ครบ",IF(NOT(ISNUMBER(B4192)),"⚠ วันที่ไม่ถูกต้อง",IF(COUNTIFS(Setup!$L$6:$L$60,D4192,Setup!$M$6:$M$60,C4192)=0,"⚠ หมวดไม่ตรงประเภท","✓"))))</f>
        <v/>
      </c>
    </row>
    <row r="4193">
      <c r="B4193" s="113" t="n"/>
      <c r="C4193" s="114" t="n"/>
      <c r="D4193" s="115" t="n"/>
      <c r="E4193" s="116" t="n"/>
      <c r="F4193" s="115" t="n"/>
      <c r="G4193" s="117">
        <f>IF(COUNTA(B4193:E4193)=0,"",IF(COUNTA(B4193:E4193)&lt;4,"⚠ กรอกไม่ครบ",IF(NOT(ISNUMBER(B4193)),"⚠ วันที่ไม่ถูกต้อง",IF(COUNTIFS(Setup!$L$6:$L$60,D4193,Setup!$M$6:$M$60,C4193)=0,"⚠ หมวดไม่ตรงประเภท","✓"))))</f>
        <v/>
      </c>
    </row>
    <row r="4194">
      <c r="B4194" s="113" t="n"/>
      <c r="C4194" s="114" t="n"/>
      <c r="D4194" s="115" t="n"/>
      <c r="E4194" s="116" t="n"/>
      <c r="F4194" s="115" t="n"/>
      <c r="G4194" s="117">
        <f>IF(COUNTA(B4194:E4194)=0,"",IF(COUNTA(B4194:E4194)&lt;4,"⚠ กรอกไม่ครบ",IF(NOT(ISNUMBER(B4194)),"⚠ วันที่ไม่ถูกต้อง",IF(COUNTIFS(Setup!$L$6:$L$60,D4194,Setup!$M$6:$M$60,C4194)=0,"⚠ หมวดไม่ตรงประเภท","✓"))))</f>
        <v/>
      </c>
    </row>
    <row r="4195">
      <c r="B4195" s="113" t="n"/>
      <c r="C4195" s="114" t="n"/>
      <c r="D4195" s="115" t="n"/>
      <c r="E4195" s="116" t="n"/>
      <c r="F4195" s="115" t="n"/>
      <c r="G4195" s="117">
        <f>IF(COUNTA(B4195:E4195)=0,"",IF(COUNTA(B4195:E4195)&lt;4,"⚠ กรอกไม่ครบ",IF(NOT(ISNUMBER(B4195)),"⚠ วันที่ไม่ถูกต้อง",IF(COUNTIFS(Setup!$L$6:$L$60,D4195,Setup!$M$6:$M$60,C4195)=0,"⚠ หมวดไม่ตรงประเภท","✓"))))</f>
        <v/>
      </c>
    </row>
    <row r="4196">
      <c r="B4196" s="113" t="n"/>
      <c r="C4196" s="114" t="n"/>
      <c r="D4196" s="115" t="n"/>
      <c r="E4196" s="116" t="n"/>
      <c r="F4196" s="115" t="n"/>
      <c r="G4196" s="117">
        <f>IF(COUNTA(B4196:E4196)=0,"",IF(COUNTA(B4196:E4196)&lt;4,"⚠ กรอกไม่ครบ",IF(NOT(ISNUMBER(B4196)),"⚠ วันที่ไม่ถูกต้อง",IF(COUNTIFS(Setup!$L$6:$L$60,D4196,Setup!$M$6:$M$60,C4196)=0,"⚠ หมวดไม่ตรงประเภท","✓"))))</f>
        <v/>
      </c>
    </row>
    <row r="4197">
      <c r="B4197" s="113" t="n"/>
      <c r="C4197" s="114" t="n"/>
      <c r="D4197" s="115" t="n"/>
      <c r="E4197" s="116" t="n"/>
      <c r="F4197" s="115" t="n"/>
      <c r="G4197" s="117">
        <f>IF(COUNTA(B4197:E4197)=0,"",IF(COUNTA(B4197:E4197)&lt;4,"⚠ กรอกไม่ครบ",IF(NOT(ISNUMBER(B4197)),"⚠ วันที่ไม่ถูกต้อง",IF(COUNTIFS(Setup!$L$6:$L$60,D4197,Setup!$M$6:$M$60,C4197)=0,"⚠ หมวดไม่ตรงประเภท","✓"))))</f>
        <v/>
      </c>
    </row>
    <row r="4198">
      <c r="B4198" s="113" t="n"/>
      <c r="C4198" s="114" t="n"/>
      <c r="D4198" s="115" t="n"/>
      <c r="E4198" s="116" t="n"/>
      <c r="F4198" s="115" t="n"/>
      <c r="G4198" s="117">
        <f>IF(COUNTA(B4198:E4198)=0,"",IF(COUNTA(B4198:E4198)&lt;4,"⚠ กรอกไม่ครบ",IF(NOT(ISNUMBER(B4198)),"⚠ วันที่ไม่ถูกต้อง",IF(COUNTIFS(Setup!$L$6:$L$60,D4198,Setup!$M$6:$M$60,C4198)=0,"⚠ หมวดไม่ตรงประเภท","✓"))))</f>
        <v/>
      </c>
    </row>
    <row r="4199">
      <c r="B4199" s="113" t="n"/>
      <c r="C4199" s="114" t="n"/>
      <c r="D4199" s="115" t="n"/>
      <c r="E4199" s="116" t="n"/>
      <c r="F4199" s="115" t="n"/>
      <c r="G4199" s="117">
        <f>IF(COUNTA(B4199:E4199)=0,"",IF(COUNTA(B4199:E4199)&lt;4,"⚠ กรอกไม่ครบ",IF(NOT(ISNUMBER(B4199)),"⚠ วันที่ไม่ถูกต้อง",IF(COUNTIFS(Setup!$L$6:$L$60,D4199,Setup!$M$6:$M$60,C4199)=0,"⚠ หมวดไม่ตรงประเภท","✓"))))</f>
        <v/>
      </c>
    </row>
    <row r="4200">
      <c r="B4200" s="113" t="n"/>
      <c r="C4200" s="114" t="n"/>
      <c r="D4200" s="115" t="n"/>
      <c r="E4200" s="116" t="n"/>
      <c r="F4200" s="115" t="n"/>
      <c r="G4200" s="117">
        <f>IF(COUNTA(B4200:E4200)=0,"",IF(COUNTA(B4200:E4200)&lt;4,"⚠ กรอกไม่ครบ",IF(NOT(ISNUMBER(B4200)),"⚠ วันที่ไม่ถูกต้อง",IF(COUNTIFS(Setup!$L$6:$L$60,D4200,Setup!$M$6:$M$60,C4200)=0,"⚠ หมวดไม่ตรงประเภท","✓"))))</f>
        <v/>
      </c>
    </row>
    <row r="4201">
      <c r="B4201" s="113" t="n"/>
      <c r="C4201" s="114" t="n"/>
      <c r="D4201" s="115" t="n"/>
      <c r="E4201" s="116" t="n"/>
      <c r="F4201" s="115" t="n"/>
      <c r="G4201" s="117">
        <f>IF(COUNTA(B4201:E4201)=0,"",IF(COUNTA(B4201:E4201)&lt;4,"⚠ กรอกไม่ครบ",IF(NOT(ISNUMBER(B4201)),"⚠ วันที่ไม่ถูกต้อง",IF(COUNTIFS(Setup!$L$6:$L$60,D4201,Setup!$M$6:$M$60,C4201)=0,"⚠ หมวดไม่ตรงประเภท","✓"))))</f>
        <v/>
      </c>
    </row>
    <row r="4202">
      <c r="B4202" s="113" t="n"/>
      <c r="C4202" s="114" t="n"/>
      <c r="D4202" s="115" t="n"/>
      <c r="E4202" s="116" t="n"/>
      <c r="F4202" s="115" t="n"/>
      <c r="G4202" s="117">
        <f>IF(COUNTA(B4202:E4202)=0,"",IF(COUNTA(B4202:E4202)&lt;4,"⚠ กรอกไม่ครบ",IF(NOT(ISNUMBER(B4202)),"⚠ วันที่ไม่ถูกต้อง",IF(COUNTIFS(Setup!$L$6:$L$60,D4202,Setup!$M$6:$M$60,C4202)=0,"⚠ หมวดไม่ตรงประเภท","✓"))))</f>
        <v/>
      </c>
    </row>
    <row r="4203">
      <c r="B4203" s="113" t="n"/>
      <c r="C4203" s="114" t="n"/>
      <c r="D4203" s="115" t="n"/>
      <c r="E4203" s="116" t="n"/>
      <c r="F4203" s="115" t="n"/>
      <c r="G4203" s="117">
        <f>IF(COUNTA(B4203:E4203)=0,"",IF(COUNTA(B4203:E4203)&lt;4,"⚠ กรอกไม่ครบ",IF(NOT(ISNUMBER(B4203)),"⚠ วันที่ไม่ถูกต้อง",IF(COUNTIFS(Setup!$L$6:$L$60,D4203,Setup!$M$6:$M$60,C4203)=0,"⚠ หมวดไม่ตรงประเภท","✓"))))</f>
        <v/>
      </c>
    </row>
    <row r="4204">
      <c r="B4204" s="113" t="n"/>
      <c r="C4204" s="114" t="n"/>
      <c r="D4204" s="115" t="n"/>
      <c r="E4204" s="116" t="n"/>
      <c r="F4204" s="115" t="n"/>
      <c r="G4204" s="117">
        <f>IF(COUNTA(B4204:E4204)=0,"",IF(COUNTA(B4204:E4204)&lt;4,"⚠ กรอกไม่ครบ",IF(NOT(ISNUMBER(B4204)),"⚠ วันที่ไม่ถูกต้อง",IF(COUNTIFS(Setup!$L$6:$L$60,D4204,Setup!$M$6:$M$60,C4204)=0,"⚠ หมวดไม่ตรงประเภท","✓"))))</f>
        <v/>
      </c>
    </row>
    <row r="4205">
      <c r="B4205" s="113" t="n"/>
      <c r="C4205" s="114" t="n"/>
      <c r="D4205" s="115" t="n"/>
      <c r="E4205" s="116" t="n"/>
      <c r="F4205" s="115" t="n"/>
      <c r="G4205" s="117">
        <f>IF(COUNTA(B4205:E4205)=0,"",IF(COUNTA(B4205:E4205)&lt;4,"⚠ กรอกไม่ครบ",IF(NOT(ISNUMBER(B4205)),"⚠ วันที่ไม่ถูกต้อง",IF(COUNTIFS(Setup!$L$6:$L$60,D4205,Setup!$M$6:$M$60,C4205)=0,"⚠ หมวดไม่ตรงประเภท","✓"))))</f>
        <v/>
      </c>
    </row>
    <row r="4206">
      <c r="B4206" s="113" t="n"/>
      <c r="C4206" s="114" t="n"/>
      <c r="D4206" s="115" t="n"/>
      <c r="E4206" s="116" t="n"/>
      <c r="F4206" s="115" t="n"/>
      <c r="G4206" s="117">
        <f>IF(COUNTA(B4206:E4206)=0,"",IF(COUNTA(B4206:E4206)&lt;4,"⚠ กรอกไม่ครบ",IF(NOT(ISNUMBER(B4206)),"⚠ วันที่ไม่ถูกต้อง",IF(COUNTIFS(Setup!$L$6:$L$60,D4206,Setup!$M$6:$M$60,C4206)=0,"⚠ หมวดไม่ตรงประเภท","✓"))))</f>
        <v/>
      </c>
    </row>
    <row r="4207">
      <c r="B4207" s="113" t="n"/>
      <c r="C4207" s="114" t="n"/>
      <c r="D4207" s="115" t="n"/>
      <c r="E4207" s="116" t="n"/>
      <c r="F4207" s="115" t="n"/>
      <c r="G4207" s="117">
        <f>IF(COUNTA(B4207:E4207)=0,"",IF(COUNTA(B4207:E4207)&lt;4,"⚠ กรอกไม่ครบ",IF(NOT(ISNUMBER(B4207)),"⚠ วันที่ไม่ถูกต้อง",IF(COUNTIFS(Setup!$L$6:$L$60,D4207,Setup!$M$6:$M$60,C4207)=0,"⚠ หมวดไม่ตรงประเภท","✓"))))</f>
        <v/>
      </c>
    </row>
    <row r="4208">
      <c r="B4208" s="113" t="n"/>
      <c r="C4208" s="114" t="n"/>
      <c r="D4208" s="115" t="n"/>
      <c r="E4208" s="116" t="n"/>
      <c r="F4208" s="115" t="n"/>
      <c r="G4208" s="117">
        <f>IF(COUNTA(B4208:E4208)=0,"",IF(COUNTA(B4208:E4208)&lt;4,"⚠ กรอกไม่ครบ",IF(NOT(ISNUMBER(B4208)),"⚠ วันที่ไม่ถูกต้อง",IF(COUNTIFS(Setup!$L$6:$L$60,D4208,Setup!$M$6:$M$60,C4208)=0,"⚠ หมวดไม่ตรงประเภท","✓"))))</f>
        <v/>
      </c>
    </row>
    <row r="4209">
      <c r="B4209" s="113" t="n"/>
      <c r="C4209" s="114" t="n"/>
      <c r="D4209" s="115" t="n"/>
      <c r="E4209" s="116" t="n"/>
      <c r="F4209" s="115" t="n"/>
      <c r="G4209" s="117">
        <f>IF(COUNTA(B4209:E4209)=0,"",IF(COUNTA(B4209:E4209)&lt;4,"⚠ กรอกไม่ครบ",IF(NOT(ISNUMBER(B4209)),"⚠ วันที่ไม่ถูกต้อง",IF(COUNTIFS(Setup!$L$6:$L$60,D4209,Setup!$M$6:$M$60,C4209)=0,"⚠ หมวดไม่ตรงประเภท","✓"))))</f>
        <v/>
      </c>
    </row>
    <row r="4210">
      <c r="B4210" s="113" t="n"/>
      <c r="C4210" s="114" t="n"/>
      <c r="D4210" s="115" t="n"/>
      <c r="E4210" s="116" t="n"/>
      <c r="F4210" s="115" t="n"/>
      <c r="G4210" s="117">
        <f>IF(COUNTA(B4210:E4210)=0,"",IF(COUNTA(B4210:E4210)&lt;4,"⚠ กรอกไม่ครบ",IF(NOT(ISNUMBER(B4210)),"⚠ วันที่ไม่ถูกต้อง",IF(COUNTIFS(Setup!$L$6:$L$60,D4210,Setup!$M$6:$M$60,C4210)=0,"⚠ หมวดไม่ตรงประเภท","✓"))))</f>
        <v/>
      </c>
    </row>
    <row r="4211">
      <c r="B4211" s="113" t="n"/>
      <c r="C4211" s="114" t="n"/>
      <c r="D4211" s="115" t="n"/>
      <c r="E4211" s="116" t="n"/>
      <c r="F4211" s="115" t="n"/>
      <c r="G4211" s="117">
        <f>IF(COUNTA(B4211:E4211)=0,"",IF(COUNTA(B4211:E4211)&lt;4,"⚠ กรอกไม่ครบ",IF(NOT(ISNUMBER(B4211)),"⚠ วันที่ไม่ถูกต้อง",IF(COUNTIFS(Setup!$L$6:$L$60,D4211,Setup!$M$6:$M$60,C4211)=0,"⚠ หมวดไม่ตรงประเภท","✓"))))</f>
        <v/>
      </c>
    </row>
    <row r="4212">
      <c r="B4212" s="113" t="n"/>
      <c r="C4212" s="114" t="n"/>
      <c r="D4212" s="115" t="n"/>
      <c r="E4212" s="116" t="n"/>
      <c r="F4212" s="115" t="n"/>
      <c r="G4212" s="117">
        <f>IF(COUNTA(B4212:E4212)=0,"",IF(COUNTA(B4212:E4212)&lt;4,"⚠ กรอกไม่ครบ",IF(NOT(ISNUMBER(B4212)),"⚠ วันที่ไม่ถูกต้อง",IF(COUNTIFS(Setup!$L$6:$L$60,D4212,Setup!$M$6:$M$60,C4212)=0,"⚠ หมวดไม่ตรงประเภท","✓"))))</f>
        <v/>
      </c>
    </row>
    <row r="4213">
      <c r="B4213" s="113" t="n"/>
      <c r="C4213" s="114" t="n"/>
      <c r="D4213" s="115" t="n"/>
      <c r="E4213" s="116" t="n"/>
      <c r="F4213" s="115" t="n"/>
      <c r="G4213" s="117">
        <f>IF(COUNTA(B4213:E4213)=0,"",IF(COUNTA(B4213:E4213)&lt;4,"⚠ กรอกไม่ครบ",IF(NOT(ISNUMBER(B4213)),"⚠ วันที่ไม่ถูกต้อง",IF(COUNTIFS(Setup!$L$6:$L$60,D4213,Setup!$M$6:$M$60,C4213)=0,"⚠ หมวดไม่ตรงประเภท","✓"))))</f>
        <v/>
      </c>
    </row>
    <row r="4214">
      <c r="B4214" s="113" t="n"/>
      <c r="C4214" s="114" t="n"/>
      <c r="D4214" s="115" t="n"/>
      <c r="E4214" s="116" t="n"/>
      <c r="F4214" s="115" t="n"/>
      <c r="G4214" s="117">
        <f>IF(COUNTA(B4214:E4214)=0,"",IF(COUNTA(B4214:E4214)&lt;4,"⚠ กรอกไม่ครบ",IF(NOT(ISNUMBER(B4214)),"⚠ วันที่ไม่ถูกต้อง",IF(COUNTIFS(Setup!$L$6:$L$60,D4214,Setup!$M$6:$M$60,C4214)=0,"⚠ หมวดไม่ตรงประเภท","✓"))))</f>
        <v/>
      </c>
    </row>
    <row r="4215">
      <c r="B4215" s="113" t="n"/>
      <c r="C4215" s="114" t="n"/>
      <c r="D4215" s="115" t="n"/>
      <c r="E4215" s="116" t="n"/>
      <c r="F4215" s="115" t="n"/>
      <c r="G4215" s="117">
        <f>IF(COUNTA(B4215:E4215)=0,"",IF(COUNTA(B4215:E4215)&lt;4,"⚠ กรอกไม่ครบ",IF(NOT(ISNUMBER(B4215)),"⚠ วันที่ไม่ถูกต้อง",IF(COUNTIFS(Setup!$L$6:$L$60,D4215,Setup!$M$6:$M$60,C4215)=0,"⚠ หมวดไม่ตรงประเภท","✓"))))</f>
        <v/>
      </c>
    </row>
    <row r="4216">
      <c r="B4216" s="113" t="n"/>
      <c r="C4216" s="114" t="n"/>
      <c r="D4216" s="115" t="n"/>
      <c r="E4216" s="116" t="n"/>
      <c r="F4216" s="115" t="n"/>
      <c r="G4216" s="117">
        <f>IF(COUNTA(B4216:E4216)=0,"",IF(COUNTA(B4216:E4216)&lt;4,"⚠ กรอกไม่ครบ",IF(NOT(ISNUMBER(B4216)),"⚠ วันที่ไม่ถูกต้อง",IF(COUNTIFS(Setup!$L$6:$L$60,D4216,Setup!$M$6:$M$60,C4216)=0,"⚠ หมวดไม่ตรงประเภท","✓"))))</f>
        <v/>
      </c>
    </row>
    <row r="4217">
      <c r="B4217" s="113" t="n"/>
      <c r="C4217" s="114" t="n"/>
      <c r="D4217" s="115" t="n"/>
      <c r="E4217" s="116" t="n"/>
      <c r="F4217" s="115" t="n"/>
      <c r="G4217" s="117">
        <f>IF(COUNTA(B4217:E4217)=0,"",IF(COUNTA(B4217:E4217)&lt;4,"⚠ กรอกไม่ครบ",IF(NOT(ISNUMBER(B4217)),"⚠ วันที่ไม่ถูกต้อง",IF(COUNTIFS(Setup!$L$6:$L$60,D4217,Setup!$M$6:$M$60,C4217)=0,"⚠ หมวดไม่ตรงประเภท","✓"))))</f>
        <v/>
      </c>
    </row>
    <row r="4218">
      <c r="B4218" s="113" t="n"/>
      <c r="C4218" s="114" t="n"/>
      <c r="D4218" s="115" t="n"/>
      <c r="E4218" s="116" t="n"/>
      <c r="F4218" s="115" t="n"/>
      <c r="G4218" s="117">
        <f>IF(COUNTA(B4218:E4218)=0,"",IF(COUNTA(B4218:E4218)&lt;4,"⚠ กรอกไม่ครบ",IF(NOT(ISNUMBER(B4218)),"⚠ วันที่ไม่ถูกต้อง",IF(COUNTIFS(Setup!$L$6:$L$60,D4218,Setup!$M$6:$M$60,C4218)=0,"⚠ หมวดไม่ตรงประเภท","✓"))))</f>
        <v/>
      </c>
    </row>
    <row r="4219">
      <c r="B4219" s="113" t="n"/>
      <c r="C4219" s="114" t="n"/>
      <c r="D4219" s="115" t="n"/>
      <c r="E4219" s="116" t="n"/>
      <c r="F4219" s="115" t="n"/>
      <c r="G4219" s="117">
        <f>IF(COUNTA(B4219:E4219)=0,"",IF(COUNTA(B4219:E4219)&lt;4,"⚠ กรอกไม่ครบ",IF(NOT(ISNUMBER(B4219)),"⚠ วันที่ไม่ถูกต้อง",IF(COUNTIFS(Setup!$L$6:$L$60,D4219,Setup!$M$6:$M$60,C4219)=0,"⚠ หมวดไม่ตรงประเภท","✓"))))</f>
        <v/>
      </c>
    </row>
    <row r="4220">
      <c r="B4220" s="113" t="n"/>
      <c r="C4220" s="114" t="n"/>
      <c r="D4220" s="115" t="n"/>
      <c r="E4220" s="116" t="n"/>
      <c r="F4220" s="115" t="n"/>
      <c r="G4220" s="117">
        <f>IF(COUNTA(B4220:E4220)=0,"",IF(COUNTA(B4220:E4220)&lt;4,"⚠ กรอกไม่ครบ",IF(NOT(ISNUMBER(B4220)),"⚠ วันที่ไม่ถูกต้อง",IF(COUNTIFS(Setup!$L$6:$L$60,D4220,Setup!$M$6:$M$60,C4220)=0,"⚠ หมวดไม่ตรงประเภท","✓"))))</f>
        <v/>
      </c>
    </row>
    <row r="4221">
      <c r="B4221" s="113" t="n"/>
      <c r="C4221" s="114" t="n"/>
      <c r="D4221" s="115" t="n"/>
      <c r="E4221" s="116" t="n"/>
      <c r="F4221" s="115" t="n"/>
      <c r="G4221" s="117">
        <f>IF(COUNTA(B4221:E4221)=0,"",IF(COUNTA(B4221:E4221)&lt;4,"⚠ กรอกไม่ครบ",IF(NOT(ISNUMBER(B4221)),"⚠ วันที่ไม่ถูกต้อง",IF(COUNTIFS(Setup!$L$6:$L$60,D4221,Setup!$M$6:$M$60,C4221)=0,"⚠ หมวดไม่ตรงประเภท","✓"))))</f>
        <v/>
      </c>
    </row>
    <row r="4222">
      <c r="B4222" s="113" t="n"/>
      <c r="C4222" s="114" t="n"/>
      <c r="D4222" s="115" t="n"/>
      <c r="E4222" s="116" t="n"/>
      <c r="F4222" s="115" t="n"/>
      <c r="G4222" s="117">
        <f>IF(COUNTA(B4222:E4222)=0,"",IF(COUNTA(B4222:E4222)&lt;4,"⚠ กรอกไม่ครบ",IF(NOT(ISNUMBER(B4222)),"⚠ วันที่ไม่ถูกต้อง",IF(COUNTIFS(Setup!$L$6:$L$60,D4222,Setup!$M$6:$M$60,C4222)=0,"⚠ หมวดไม่ตรงประเภท","✓"))))</f>
        <v/>
      </c>
    </row>
    <row r="4223">
      <c r="B4223" s="113" t="n"/>
      <c r="C4223" s="114" t="n"/>
      <c r="D4223" s="115" t="n"/>
      <c r="E4223" s="116" t="n"/>
      <c r="F4223" s="115" t="n"/>
      <c r="G4223" s="117">
        <f>IF(COUNTA(B4223:E4223)=0,"",IF(COUNTA(B4223:E4223)&lt;4,"⚠ กรอกไม่ครบ",IF(NOT(ISNUMBER(B4223)),"⚠ วันที่ไม่ถูกต้อง",IF(COUNTIFS(Setup!$L$6:$L$60,D4223,Setup!$M$6:$M$60,C4223)=0,"⚠ หมวดไม่ตรงประเภท","✓"))))</f>
        <v/>
      </c>
    </row>
    <row r="4224">
      <c r="B4224" s="113" t="n"/>
      <c r="C4224" s="114" t="n"/>
      <c r="D4224" s="115" t="n"/>
      <c r="E4224" s="116" t="n"/>
      <c r="F4224" s="115" t="n"/>
      <c r="G4224" s="117">
        <f>IF(COUNTA(B4224:E4224)=0,"",IF(COUNTA(B4224:E4224)&lt;4,"⚠ กรอกไม่ครบ",IF(NOT(ISNUMBER(B4224)),"⚠ วันที่ไม่ถูกต้อง",IF(COUNTIFS(Setup!$L$6:$L$60,D4224,Setup!$M$6:$M$60,C4224)=0,"⚠ หมวดไม่ตรงประเภท","✓"))))</f>
        <v/>
      </c>
    </row>
    <row r="4225">
      <c r="B4225" s="113" t="n"/>
      <c r="C4225" s="114" t="n"/>
      <c r="D4225" s="115" t="n"/>
      <c r="E4225" s="116" t="n"/>
      <c r="F4225" s="115" t="n"/>
      <c r="G4225" s="117">
        <f>IF(COUNTA(B4225:E4225)=0,"",IF(COUNTA(B4225:E4225)&lt;4,"⚠ กรอกไม่ครบ",IF(NOT(ISNUMBER(B4225)),"⚠ วันที่ไม่ถูกต้อง",IF(COUNTIFS(Setup!$L$6:$L$60,D4225,Setup!$M$6:$M$60,C4225)=0,"⚠ หมวดไม่ตรงประเภท","✓"))))</f>
        <v/>
      </c>
    </row>
    <row r="4226">
      <c r="B4226" s="113" t="n"/>
      <c r="C4226" s="114" t="n"/>
      <c r="D4226" s="115" t="n"/>
      <c r="E4226" s="116" t="n"/>
      <c r="F4226" s="115" t="n"/>
      <c r="G4226" s="117">
        <f>IF(COUNTA(B4226:E4226)=0,"",IF(COUNTA(B4226:E4226)&lt;4,"⚠ กรอกไม่ครบ",IF(NOT(ISNUMBER(B4226)),"⚠ วันที่ไม่ถูกต้อง",IF(COUNTIFS(Setup!$L$6:$L$60,D4226,Setup!$M$6:$M$60,C4226)=0,"⚠ หมวดไม่ตรงประเภท","✓"))))</f>
        <v/>
      </c>
    </row>
    <row r="4227">
      <c r="B4227" s="113" t="n"/>
      <c r="C4227" s="114" t="n"/>
      <c r="D4227" s="115" t="n"/>
      <c r="E4227" s="116" t="n"/>
      <c r="F4227" s="115" t="n"/>
      <c r="G4227" s="117">
        <f>IF(COUNTA(B4227:E4227)=0,"",IF(COUNTA(B4227:E4227)&lt;4,"⚠ กรอกไม่ครบ",IF(NOT(ISNUMBER(B4227)),"⚠ วันที่ไม่ถูกต้อง",IF(COUNTIFS(Setup!$L$6:$L$60,D4227,Setup!$M$6:$M$60,C4227)=0,"⚠ หมวดไม่ตรงประเภท","✓"))))</f>
        <v/>
      </c>
    </row>
    <row r="4228">
      <c r="B4228" s="113" t="n"/>
      <c r="C4228" s="114" t="n"/>
      <c r="D4228" s="115" t="n"/>
      <c r="E4228" s="116" t="n"/>
      <c r="F4228" s="115" t="n"/>
      <c r="G4228" s="117">
        <f>IF(COUNTA(B4228:E4228)=0,"",IF(COUNTA(B4228:E4228)&lt;4,"⚠ กรอกไม่ครบ",IF(NOT(ISNUMBER(B4228)),"⚠ วันที่ไม่ถูกต้อง",IF(COUNTIFS(Setup!$L$6:$L$60,D4228,Setup!$M$6:$M$60,C4228)=0,"⚠ หมวดไม่ตรงประเภท","✓"))))</f>
        <v/>
      </c>
    </row>
    <row r="4229">
      <c r="B4229" s="113" t="n"/>
      <c r="C4229" s="114" t="n"/>
      <c r="D4229" s="115" t="n"/>
      <c r="E4229" s="116" t="n"/>
      <c r="F4229" s="115" t="n"/>
      <c r="G4229" s="117">
        <f>IF(COUNTA(B4229:E4229)=0,"",IF(COUNTA(B4229:E4229)&lt;4,"⚠ กรอกไม่ครบ",IF(NOT(ISNUMBER(B4229)),"⚠ วันที่ไม่ถูกต้อง",IF(COUNTIFS(Setup!$L$6:$L$60,D4229,Setup!$M$6:$M$60,C4229)=0,"⚠ หมวดไม่ตรงประเภท","✓"))))</f>
        <v/>
      </c>
    </row>
    <row r="4230">
      <c r="B4230" s="113" t="n"/>
      <c r="C4230" s="114" t="n"/>
      <c r="D4230" s="115" t="n"/>
      <c r="E4230" s="116" t="n"/>
      <c r="F4230" s="115" t="n"/>
      <c r="G4230" s="117">
        <f>IF(COUNTA(B4230:E4230)=0,"",IF(COUNTA(B4230:E4230)&lt;4,"⚠ กรอกไม่ครบ",IF(NOT(ISNUMBER(B4230)),"⚠ วันที่ไม่ถูกต้อง",IF(COUNTIFS(Setup!$L$6:$L$60,D4230,Setup!$M$6:$M$60,C4230)=0,"⚠ หมวดไม่ตรงประเภท","✓"))))</f>
        <v/>
      </c>
    </row>
    <row r="4231">
      <c r="B4231" s="113" t="n"/>
      <c r="C4231" s="114" t="n"/>
      <c r="D4231" s="115" t="n"/>
      <c r="E4231" s="116" t="n"/>
      <c r="F4231" s="115" t="n"/>
      <c r="G4231" s="117">
        <f>IF(COUNTA(B4231:E4231)=0,"",IF(COUNTA(B4231:E4231)&lt;4,"⚠ กรอกไม่ครบ",IF(NOT(ISNUMBER(B4231)),"⚠ วันที่ไม่ถูกต้อง",IF(COUNTIFS(Setup!$L$6:$L$60,D4231,Setup!$M$6:$M$60,C4231)=0,"⚠ หมวดไม่ตรงประเภท","✓"))))</f>
        <v/>
      </c>
    </row>
    <row r="4232">
      <c r="B4232" s="113" t="n"/>
      <c r="C4232" s="114" t="n"/>
      <c r="D4232" s="115" t="n"/>
      <c r="E4232" s="116" t="n"/>
      <c r="F4232" s="115" t="n"/>
      <c r="G4232" s="117">
        <f>IF(COUNTA(B4232:E4232)=0,"",IF(COUNTA(B4232:E4232)&lt;4,"⚠ กรอกไม่ครบ",IF(NOT(ISNUMBER(B4232)),"⚠ วันที่ไม่ถูกต้อง",IF(COUNTIFS(Setup!$L$6:$L$60,D4232,Setup!$M$6:$M$60,C4232)=0,"⚠ หมวดไม่ตรงประเภท","✓"))))</f>
        <v/>
      </c>
    </row>
    <row r="4233">
      <c r="B4233" s="113" t="n"/>
      <c r="C4233" s="114" t="n"/>
      <c r="D4233" s="115" t="n"/>
      <c r="E4233" s="116" t="n"/>
      <c r="F4233" s="115" t="n"/>
      <c r="G4233" s="117">
        <f>IF(COUNTA(B4233:E4233)=0,"",IF(COUNTA(B4233:E4233)&lt;4,"⚠ กรอกไม่ครบ",IF(NOT(ISNUMBER(B4233)),"⚠ วันที่ไม่ถูกต้อง",IF(COUNTIFS(Setup!$L$6:$L$60,D4233,Setup!$M$6:$M$60,C4233)=0,"⚠ หมวดไม่ตรงประเภท","✓"))))</f>
        <v/>
      </c>
    </row>
    <row r="4234">
      <c r="B4234" s="113" t="n"/>
      <c r="C4234" s="114" t="n"/>
      <c r="D4234" s="115" t="n"/>
      <c r="E4234" s="116" t="n"/>
      <c r="F4234" s="115" t="n"/>
      <c r="G4234" s="117">
        <f>IF(COUNTA(B4234:E4234)=0,"",IF(COUNTA(B4234:E4234)&lt;4,"⚠ กรอกไม่ครบ",IF(NOT(ISNUMBER(B4234)),"⚠ วันที่ไม่ถูกต้อง",IF(COUNTIFS(Setup!$L$6:$L$60,D4234,Setup!$M$6:$M$60,C4234)=0,"⚠ หมวดไม่ตรงประเภท","✓"))))</f>
        <v/>
      </c>
    </row>
    <row r="4235">
      <c r="B4235" s="113" t="n"/>
      <c r="C4235" s="114" t="n"/>
      <c r="D4235" s="115" t="n"/>
      <c r="E4235" s="116" t="n"/>
      <c r="F4235" s="115" t="n"/>
      <c r="G4235" s="117">
        <f>IF(COUNTA(B4235:E4235)=0,"",IF(COUNTA(B4235:E4235)&lt;4,"⚠ กรอกไม่ครบ",IF(NOT(ISNUMBER(B4235)),"⚠ วันที่ไม่ถูกต้อง",IF(COUNTIFS(Setup!$L$6:$L$60,D4235,Setup!$M$6:$M$60,C4235)=0,"⚠ หมวดไม่ตรงประเภท","✓"))))</f>
        <v/>
      </c>
    </row>
    <row r="4236">
      <c r="B4236" s="113" t="n"/>
      <c r="C4236" s="114" t="n"/>
      <c r="D4236" s="115" t="n"/>
      <c r="E4236" s="116" t="n"/>
      <c r="F4236" s="115" t="n"/>
      <c r="G4236" s="117">
        <f>IF(COUNTA(B4236:E4236)=0,"",IF(COUNTA(B4236:E4236)&lt;4,"⚠ กรอกไม่ครบ",IF(NOT(ISNUMBER(B4236)),"⚠ วันที่ไม่ถูกต้อง",IF(COUNTIFS(Setup!$L$6:$L$60,D4236,Setup!$M$6:$M$60,C4236)=0,"⚠ หมวดไม่ตรงประเภท","✓"))))</f>
        <v/>
      </c>
    </row>
    <row r="4237">
      <c r="B4237" s="113" t="n"/>
      <c r="C4237" s="114" t="n"/>
      <c r="D4237" s="115" t="n"/>
      <c r="E4237" s="116" t="n"/>
      <c r="F4237" s="115" t="n"/>
      <c r="G4237" s="117">
        <f>IF(COUNTA(B4237:E4237)=0,"",IF(COUNTA(B4237:E4237)&lt;4,"⚠ กรอกไม่ครบ",IF(NOT(ISNUMBER(B4237)),"⚠ วันที่ไม่ถูกต้อง",IF(COUNTIFS(Setup!$L$6:$L$60,D4237,Setup!$M$6:$M$60,C4237)=0,"⚠ หมวดไม่ตรงประเภท","✓"))))</f>
        <v/>
      </c>
    </row>
    <row r="4238">
      <c r="B4238" s="113" t="n"/>
      <c r="C4238" s="114" t="n"/>
      <c r="D4238" s="115" t="n"/>
      <c r="E4238" s="116" t="n"/>
      <c r="F4238" s="115" t="n"/>
      <c r="G4238" s="117">
        <f>IF(COUNTA(B4238:E4238)=0,"",IF(COUNTA(B4238:E4238)&lt;4,"⚠ กรอกไม่ครบ",IF(NOT(ISNUMBER(B4238)),"⚠ วันที่ไม่ถูกต้อง",IF(COUNTIFS(Setup!$L$6:$L$60,D4238,Setup!$M$6:$M$60,C4238)=0,"⚠ หมวดไม่ตรงประเภท","✓"))))</f>
        <v/>
      </c>
    </row>
    <row r="4239">
      <c r="B4239" s="113" t="n"/>
      <c r="C4239" s="114" t="n"/>
      <c r="D4239" s="115" t="n"/>
      <c r="E4239" s="116" t="n"/>
      <c r="F4239" s="115" t="n"/>
      <c r="G4239" s="117">
        <f>IF(COUNTA(B4239:E4239)=0,"",IF(COUNTA(B4239:E4239)&lt;4,"⚠ กรอกไม่ครบ",IF(NOT(ISNUMBER(B4239)),"⚠ วันที่ไม่ถูกต้อง",IF(COUNTIFS(Setup!$L$6:$L$60,D4239,Setup!$M$6:$M$60,C4239)=0,"⚠ หมวดไม่ตรงประเภท","✓"))))</f>
        <v/>
      </c>
    </row>
    <row r="4240">
      <c r="B4240" s="113" t="n"/>
      <c r="C4240" s="114" t="n"/>
      <c r="D4240" s="115" t="n"/>
      <c r="E4240" s="116" t="n"/>
      <c r="F4240" s="115" t="n"/>
      <c r="G4240" s="117">
        <f>IF(COUNTA(B4240:E4240)=0,"",IF(COUNTA(B4240:E4240)&lt;4,"⚠ กรอกไม่ครบ",IF(NOT(ISNUMBER(B4240)),"⚠ วันที่ไม่ถูกต้อง",IF(COUNTIFS(Setup!$L$6:$L$60,D4240,Setup!$M$6:$M$60,C4240)=0,"⚠ หมวดไม่ตรงประเภท","✓"))))</f>
        <v/>
      </c>
    </row>
    <row r="4241">
      <c r="B4241" s="113" t="n"/>
      <c r="C4241" s="114" t="n"/>
      <c r="D4241" s="115" t="n"/>
      <c r="E4241" s="116" t="n"/>
      <c r="F4241" s="115" t="n"/>
      <c r="G4241" s="117">
        <f>IF(COUNTA(B4241:E4241)=0,"",IF(COUNTA(B4241:E4241)&lt;4,"⚠ กรอกไม่ครบ",IF(NOT(ISNUMBER(B4241)),"⚠ วันที่ไม่ถูกต้อง",IF(COUNTIFS(Setup!$L$6:$L$60,D4241,Setup!$M$6:$M$60,C4241)=0,"⚠ หมวดไม่ตรงประเภท","✓"))))</f>
        <v/>
      </c>
    </row>
    <row r="4242">
      <c r="B4242" s="113" t="n"/>
      <c r="C4242" s="114" t="n"/>
      <c r="D4242" s="115" t="n"/>
      <c r="E4242" s="116" t="n"/>
      <c r="F4242" s="115" t="n"/>
      <c r="G4242" s="117">
        <f>IF(COUNTA(B4242:E4242)=0,"",IF(COUNTA(B4242:E4242)&lt;4,"⚠ กรอกไม่ครบ",IF(NOT(ISNUMBER(B4242)),"⚠ วันที่ไม่ถูกต้อง",IF(COUNTIFS(Setup!$L$6:$L$60,D4242,Setup!$M$6:$M$60,C4242)=0,"⚠ หมวดไม่ตรงประเภท","✓"))))</f>
        <v/>
      </c>
    </row>
    <row r="4243">
      <c r="B4243" s="113" t="n"/>
      <c r="C4243" s="114" t="n"/>
      <c r="D4243" s="115" t="n"/>
      <c r="E4243" s="116" t="n"/>
      <c r="F4243" s="115" t="n"/>
      <c r="G4243" s="117">
        <f>IF(COUNTA(B4243:E4243)=0,"",IF(COUNTA(B4243:E4243)&lt;4,"⚠ กรอกไม่ครบ",IF(NOT(ISNUMBER(B4243)),"⚠ วันที่ไม่ถูกต้อง",IF(COUNTIFS(Setup!$L$6:$L$60,D4243,Setup!$M$6:$M$60,C4243)=0,"⚠ หมวดไม่ตรงประเภท","✓"))))</f>
        <v/>
      </c>
    </row>
    <row r="4244">
      <c r="B4244" s="113" t="n"/>
      <c r="C4244" s="114" t="n"/>
      <c r="D4244" s="115" t="n"/>
      <c r="E4244" s="116" t="n"/>
      <c r="F4244" s="115" t="n"/>
      <c r="G4244" s="117">
        <f>IF(COUNTA(B4244:E4244)=0,"",IF(COUNTA(B4244:E4244)&lt;4,"⚠ กรอกไม่ครบ",IF(NOT(ISNUMBER(B4244)),"⚠ วันที่ไม่ถูกต้อง",IF(COUNTIFS(Setup!$L$6:$L$60,D4244,Setup!$M$6:$M$60,C4244)=0,"⚠ หมวดไม่ตรงประเภท","✓"))))</f>
        <v/>
      </c>
    </row>
    <row r="4245">
      <c r="B4245" s="113" t="n"/>
      <c r="C4245" s="114" t="n"/>
      <c r="D4245" s="115" t="n"/>
      <c r="E4245" s="116" t="n"/>
      <c r="F4245" s="115" t="n"/>
      <c r="G4245" s="117">
        <f>IF(COUNTA(B4245:E4245)=0,"",IF(COUNTA(B4245:E4245)&lt;4,"⚠ กรอกไม่ครบ",IF(NOT(ISNUMBER(B4245)),"⚠ วันที่ไม่ถูกต้อง",IF(COUNTIFS(Setup!$L$6:$L$60,D4245,Setup!$M$6:$M$60,C4245)=0,"⚠ หมวดไม่ตรงประเภท","✓"))))</f>
        <v/>
      </c>
    </row>
    <row r="4246">
      <c r="B4246" s="113" t="n"/>
      <c r="C4246" s="114" t="n"/>
      <c r="D4246" s="115" t="n"/>
      <c r="E4246" s="116" t="n"/>
      <c r="F4246" s="115" t="n"/>
      <c r="G4246" s="117">
        <f>IF(COUNTA(B4246:E4246)=0,"",IF(COUNTA(B4246:E4246)&lt;4,"⚠ กรอกไม่ครบ",IF(NOT(ISNUMBER(B4246)),"⚠ วันที่ไม่ถูกต้อง",IF(COUNTIFS(Setup!$L$6:$L$60,D4246,Setup!$M$6:$M$60,C4246)=0,"⚠ หมวดไม่ตรงประเภท","✓"))))</f>
        <v/>
      </c>
    </row>
    <row r="4247">
      <c r="B4247" s="113" t="n"/>
      <c r="C4247" s="114" t="n"/>
      <c r="D4247" s="115" t="n"/>
      <c r="E4247" s="116" t="n"/>
      <c r="F4247" s="115" t="n"/>
      <c r="G4247" s="117">
        <f>IF(COUNTA(B4247:E4247)=0,"",IF(COUNTA(B4247:E4247)&lt;4,"⚠ กรอกไม่ครบ",IF(NOT(ISNUMBER(B4247)),"⚠ วันที่ไม่ถูกต้อง",IF(COUNTIFS(Setup!$L$6:$L$60,D4247,Setup!$M$6:$M$60,C4247)=0,"⚠ หมวดไม่ตรงประเภท","✓"))))</f>
        <v/>
      </c>
    </row>
    <row r="4248">
      <c r="B4248" s="113" t="n"/>
      <c r="C4248" s="114" t="n"/>
      <c r="D4248" s="115" t="n"/>
      <c r="E4248" s="116" t="n"/>
      <c r="F4248" s="115" t="n"/>
      <c r="G4248" s="117">
        <f>IF(COUNTA(B4248:E4248)=0,"",IF(COUNTA(B4248:E4248)&lt;4,"⚠ กรอกไม่ครบ",IF(NOT(ISNUMBER(B4248)),"⚠ วันที่ไม่ถูกต้อง",IF(COUNTIFS(Setup!$L$6:$L$60,D4248,Setup!$M$6:$M$60,C4248)=0,"⚠ หมวดไม่ตรงประเภท","✓"))))</f>
        <v/>
      </c>
    </row>
    <row r="4249">
      <c r="B4249" s="113" t="n"/>
      <c r="C4249" s="114" t="n"/>
      <c r="D4249" s="115" t="n"/>
      <c r="E4249" s="116" t="n"/>
      <c r="F4249" s="115" t="n"/>
      <c r="G4249" s="117">
        <f>IF(COUNTA(B4249:E4249)=0,"",IF(COUNTA(B4249:E4249)&lt;4,"⚠ กรอกไม่ครบ",IF(NOT(ISNUMBER(B4249)),"⚠ วันที่ไม่ถูกต้อง",IF(COUNTIFS(Setup!$L$6:$L$60,D4249,Setup!$M$6:$M$60,C4249)=0,"⚠ หมวดไม่ตรงประเภท","✓"))))</f>
        <v/>
      </c>
    </row>
    <row r="4250">
      <c r="B4250" s="113" t="n"/>
      <c r="C4250" s="114" t="n"/>
      <c r="D4250" s="115" t="n"/>
      <c r="E4250" s="116" t="n"/>
      <c r="F4250" s="115" t="n"/>
      <c r="G4250" s="117">
        <f>IF(COUNTA(B4250:E4250)=0,"",IF(COUNTA(B4250:E4250)&lt;4,"⚠ กรอกไม่ครบ",IF(NOT(ISNUMBER(B4250)),"⚠ วันที่ไม่ถูกต้อง",IF(COUNTIFS(Setup!$L$6:$L$60,D4250,Setup!$M$6:$M$60,C4250)=0,"⚠ หมวดไม่ตรงประเภท","✓"))))</f>
        <v/>
      </c>
    </row>
    <row r="4251">
      <c r="B4251" s="113" t="n"/>
      <c r="C4251" s="114" t="n"/>
      <c r="D4251" s="115" t="n"/>
      <c r="E4251" s="116" t="n"/>
      <c r="F4251" s="115" t="n"/>
      <c r="G4251" s="117">
        <f>IF(COUNTA(B4251:E4251)=0,"",IF(COUNTA(B4251:E4251)&lt;4,"⚠ กรอกไม่ครบ",IF(NOT(ISNUMBER(B4251)),"⚠ วันที่ไม่ถูกต้อง",IF(COUNTIFS(Setup!$L$6:$L$60,D4251,Setup!$M$6:$M$60,C4251)=0,"⚠ หมวดไม่ตรงประเภท","✓"))))</f>
        <v/>
      </c>
    </row>
    <row r="4252">
      <c r="B4252" s="113" t="n"/>
      <c r="C4252" s="114" t="n"/>
      <c r="D4252" s="115" t="n"/>
      <c r="E4252" s="116" t="n"/>
      <c r="F4252" s="115" t="n"/>
      <c r="G4252" s="117">
        <f>IF(COUNTA(B4252:E4252)=0,"",IF(COUNTA(B4252:E4252)&lt;4,"⚠ กรอกไม่ครบ",IF(NOT(ISNUMBER(B4252)),"⚠ วันที่ไม่ถูกต้อง",IF(COUNTIFS(Setup!$L$6:$L$60,D4252,Setup!$M$6:$M$60,C4252)=0,"⚠ หมวดไม่ตรงประเภท","✓"))))</f>
        <v/>
      </c>
    </row>
    <row r="4253">
      <c r="B4253" s="113" t="n"/>
      <c r="C4253" s="114" t="n"/>
      <c r="D4253" s="115" t="n"/>
      <c r="E4253" s="116" t="n"/>
      <c r="F4253" s="115" t="n"/>
      <c r="G4253" s="117">
        <f>IF(COUNTA(B4253:E4253)=0,"",IF(COUNTA(B4253:E4253)&lt;4,"⚠ กรอกไม่ครบ",IF(NOT(ISNUMBER(B4253)),"⚠ วันที่ไม่ถูกต้อง",IF(COUNTIFS(Setup!$L$6:$L$60,D4253,Setup!$M$6:$M$60,C4253)=0,"⚠ หมวดไม่ตรงประเภท","✓"))))</f>
        <v/>
      </c>
    </row>
    <row r="4254">
      <c r="B4254" s="113" t="n"/>
      <c r="C4254" s="114" t="n"/>
      <c r="D4254" s="115" t="n"/>
      <c r="E4254" s="116" t="n"/>
      <c r="F4254" s="115" t="n"/>
      <c r="G4254" s="117">
        <f>IF(COUNTA(B4254:E4254)=0,"",IF(COUNTA(B4254:E4254)&lt;4,"⚠ กรอกไม่ครบ",IF(NOT(ISNUMBER(B4254)),"⚠ วันที่ไม่ถูกต้อง",IF(COUNTIFS(Setup!$L$6:$L$60,D4254,Setup!$M$6:$M$60,C4254)=0,"⚠ หมวดไม่ตรงประเภท","✓"))))</f>
        <v/>
      </c>
    </row>
    <row r="4255">
      <c r="B4255" s="113" t="n"/>
      <c r="C4255" s="114" t="n"/>
      <c r="D4255" s="115" t="n"/>
      <c r="E4255" s="116" t="n"/>
      <c r="F4255" s="115" t="n"/>
      <c r="G4255" s="117">
        <f>IF(COUNTA(B4255:E4255)=0,"",IF(COUNTA(B4255:E4255)&lt;4,"⚠ กรอกไม่ครบ",IF(NOT(ISNUMBER(B4255)),"⚠ วันที่ไม่ถูกต้อง",IF(COUNTIFS(Setup!$L$6:$L$60,D4255,Setup!$M$6:$M$60,C4255)=0,"⚠ หมวดไม่ตรงประเภท","✓"))))</f>
        <v/>
      </c>
    </row>
    <row r="4256">
      <c r="B4256" s="113" t="n"/>
      <c r="C4256" s="114" t="n"/>
      <c r="D4256" s="115" t="n"/>
      <c r="E4256" s="116" t="n"/>
      <c r="F4256" s="115" t="n"/>
      <c r="G4256" s="117">
        <f>IF(COUNTA(B4256:E4256)=0,"",IF(COUNTA(B4256:E4256)&lt;4,"⚠ กรอกไม่ครบ",IF(NOT(ISNUMBER(B4256)),"⚠ วันที่ไม่ถูกต้อง",IF(COUNTIFS(Setup!$L$6:$L$60,D4256,Setup!$M$6:$M$60,C4256)=0,"⚠ หมวดไม่ตรงประเภท","✓"))))</f>
        <v/>
      </c>
    </row>
    <row r="4257">
      <c r="B4257" s="113" t="n"/>
      <c r="C4257" s="114" t="n"/>
      <c r="D4257" s="115" t="n"/>
      <c r="E4257" s="116" t="n"/>
      <c r="F4257" s="115" t="n"/>
      <c r="G4257" s="117">
        <f>IF(COUNTA(B4257:E4257)=0,"",IF(COUNTA(B4257:E4257)&lt;4,"⚠ กรอกไม่ครบ",IF(NOT(ISNUMBER(B4257)),"⚠ วันที่ไม่ถูกต้อง",IF(COUNTIFS(Setup!$L$6:$L$60,D4257,Setup!$M$6:$M$60,C4257)=0,"⚠ หมวดไม่ตรงประเภท","✓"))))</f>
        <v/>
      </c>
    </row>
    <row r="4258">
      <c r="B4258" s="113" t="n"/>
      <c r="C4258" s="114" t="n"/>
      <c r="D4258" s="115" t="n"/>
      <c r="E4258" s="116" t="n"/>
      <c r="F4258" s="115" t="n"/>
      <c r="G4258" s="117">
        <f>IF(COUNTA(B4258:E4258)=0,"",IF(COUNTA(B4258:E4258)&lt;4,"⚠ กรอกไม่ครบ",IF(NOT(ISNUMBER(B4258)),"⚠ วันที่ไม่ถูกต้อง",IF(COUNTIFS(Setup!$L$6:$L$60,D4258,Setup!$M$6:$M$60,C4258)=0,"⚠ หมวดไม่ตรงประเภท","✓"))))</f>
        <v/>
      </c>
    </row>
    <row r="4259">
      <c r="B4259" s="113" t="n"/>
      <c r="C4259" s="114" t="n"/>
      <c r="D4259" s="115" t="n"/>
      <c r="E4259" s="116" t="n"/>
      <c r="F4259" s="115" t="n"/>
      <c r="G4259" s="117">
        <f>IF(COUNTA(B4259:E4259)=0,"",IF(COUNTA(B4259:E4259)&lt;4,"⚠ กรอกไม่ครบ",IF(NOT(ISNUMBER(B4259)),"⚠ วันที่ไม่ถูกต้อง",IF(COUNTIFS(Setup!$L$6:$L$60,D4259,Setup!$M$6:$M$60,C4259)=0,"⚠ หมวดไม่ตรงประเภท","✓"))))</f>
        <v/>
      </c>
    </row>
    <row r="4260">
      <c r="B4260" s="113" t="n"/>
      <c r="C4260" s="114" t="n"/>
      <c r="D4260" s="115" t="n"/>
      <c r="E4260" s="116" t="n"/>
      <c r="F4260" s="115" t="n"/>
      <c r="G4260" s="117">
        <f>IF(COUNTA(B4260:E4260)=0,"",IF(COUNTA(B4260:E4260)&lt;4,"⚠ กรอกไม่ครบ",IF(NOT(ISNUMBER(B4260)),"⚠ วันที่ไม่ถูกต้อง",IF(COUNTIFS(Setup!$L$6:$L$60,D4260,Setup!$M$6:$M$60,C4260)=0,"⚠ หมวดไม่ตรงประเภท","✓"))))</f>
        <v/>
      </c>
    </row>
    <row r="4261">
      <c r="B4261" s="113" t="n"/>
      <c r="C4261" s="114" t="n"/>
      <c r="D4261" s="115" t="n"/>
      <c r="E4261" s="116" t="n"/>
      <c r="F4261" s="115" t="n"/>
      <c r="G4261" s="117">
        <f>IF(COUNTA(B4261:E4261)=0,"",IF(COUNTA(B4261:E4261)&lt;4,"⚠ กรอกไม่ครบ",IF(NOT(ISNUMBER(B4261)),"⚠ วันที่ไม่ถูกต้อง",IF(COUNTIFS(Setup!$L$6:$L$60,D4261,Setup!$M$6:$M$60,C4261)=0,"⚠ หมวดไม่ตรงประเภท","✓"))))</f>
        <v/>
      </c>
    </row>
    <row r="4262">
      <c r="B4262" s="113" t="n"/>
      <c r="C4262" s="114" t="n"/>
      <c r="D4262" s="115" t="n"/>
      <c r="E4262" s="116" t="n"/>
      <c r="F4262" s="115" t="n"/>
      <c r="G4262" s="117">
        <f>IF(COUNTA(B4262:E4262)=0,"",IF(COUNTA(B4262:E4262)&lt;4,"⚠ กรอกไม่ครบ",IF(NOT(ISNUMBER(B4262)),"⚠ วันที่ไม่ถูกต้อง",IF(COUNTIFS(Setup!$L$6:$L$60,D4262,Setup!$M$6:$M$60,C4262)=0,"⚠ หมวดไม่ตรงประเภท","✓"))))</f>
        <v/>
      </c>
    </row>
    <row r="4263">
      <c r="B4263" s="113" t="n"/>
      <c r="C4263" s="114" t="n"/>
      <c r="D4263" s="115" t="n"/>
      <c r="E4263" s="116" t="n"/>
      <c r="F4263" s="115" t="n"/>
      <c r="G4263" s="117">
        <f>IF(COUNTA(B4263:E4263)=0,"",IF(COUNTA(B4263:E4263)&lt;4,"⚠ กรอกไม่ครบ",IF(NOT(ISNUMBER(B4263)),"⚠ วันที่ไม่ถูกต้อง",IF(COUNTIFS(Setup!$L$6:$L$60,D4263,Setup!$M$6:$M$60,C4263)=0,"⚠ หมวดไม่ตรงประเภท","✓"))))</f>
        <v/>
      </c>
    </row>
    <row r="4264">
      <c r="B4264" s="113" t="n"/>
      <c r="C4264" s="114" t="n"/>
      <c r="D4264" s="115" t="n"/>
      <c r="E4264" s="116" t="n"/>
      <c r="F4264" s="115" t="n"/>
      <c r="G4264" s="117">
        <f>IF(COUNTA(B4264:E4264)=0,"",IF(COUNTA(B4264:E4264)&lt;4,"⚠ กรอกไม่ครบ",IF(NOT(ISNUMBER(B4264)),"⚠ วันที่ไม่ถูกต้อง",IF(COUNTIFS(Setup!$L$6:$L$60,D4264,Setup!$M$6:$M$60,C4264)=0,"⚠ หมวดไม่ตรงประเภท","✓"))))</f>
        <v/>
      </c>
    </row>
    <row r="4265">
      <c r="B4265" s="113" t="n"/>
      <c r="C4265" s="114" t="n"/>
      <c r="D4265" s="115" t="n"/>
      <c r="E4265" s="116" t="n"/>
      <c r="F4265" s="115" t="n"/>
      <c r="G4265" s="117">
        <f>IF(COUNTA(B4265:E4265)=0,"",IF(COUNTA(B4265:E4265)&lt;4,"⚠ กรอกไม่ครบ",IF(NOT(ISNUMBER(B4265)),"⚠ วันที่ไม่ถูกต้อง",IF(COUNTIFS(Setup!$L$6:$L$60,D4265,Setup!$M$6:$M$60,C4265)=0,"⚠ หมวดไม่ตรงประเภท","✓"))))</f>
        <v/>
      </c>
    </row>
    <row r="4266">
      <c r="B4266" s="113" t="n"/>
      <c r="C4266" s="114" t="n"/>
      <c r="D4266" s="115" t="n"/>
      <c r="E4266" s="116" t="n"/>
      <c r="F4266" s="115" t="n"/>
      <c r="G4266" s="117">
        <f>IF(COUNTA(B4266:E4266)=0,"",IF(COUNTA(B4266:E4266)&lt;4,"⚠ กรอกไม่ครบ",IF(NOT(ISNUMBER(B4266)),"⚠ วันที่ไม่ถูกต้อง",IF(COUNTIFS(Setup!$L$6:$L$60,D4266,Setup!$M$6:$M$60,C4266)=0,"⚠ หมวดไม่ตรงประเภท","✓"))))</f>
        <v/>
      </c>
    </row>
    <row r="4267">
      <c r="B4267" s="113" t="n"/>
      <c r="C4267" s="114" t="n"/>
      <c r="D4267" s="115" t="n"/>
      <c r="E4267" s="116" t="n"/>
      <c r="F4267" s="115" t="n"/>
      <c r="G4267" s="117">
        <f>IF(COUNTA(B4267:E4267)=0,"",IF(COUNTA(B4267:E4267)&lt;4,"⚠ กรอกไม่ครบ",IF(NOT(ISNUMBER(B4267)),"⚠ วันที่ไม่ถูกต้อง",IF(COUNTIFS(Setup!$L$6:$L$60,D4267,Setup!$M$6:$M$60,C4267)=0,"⚠ หมวดไม่ตรงประเภท","✓"))))</f>
        <v/>
      </c>
    </row>
    <row r="4268">
      <c r="B4268" s="113" t="n"/>
      <c r="C4268" s="114" t="n"/>
      <c r="D4268" s="115" t="n"/>
      <c r="E4268" s="116" t="n"/>
      <c r="F4268" s="115" t="n"/>
      <c r="G4268" s="117">
        <f>IF(COUNTA(B4268:E4268)=0,"",IF(COUNTA(B4268:E4268)&lt;4,"⚠ กรอกไม่ครบ",IF(NOT(ISNUMBER(B4268)),"⚠ วันที่ไม่ถูกต้อง",IF(COUNTIFS(Setup!$L$6:$L$60,D4268,Setup!$M$6:$M$60,C4268)=0,"⚠ หมวดไม่ตรงประเภท","✓"))))</f>
        <v/>
      </c>
    </row>
    <row r="4269">
      <c r="B4269" s="113" t="n"/>
      <c r="C4269" s="114" t="n"/>
      <c r="D4269" s="115" t="n"/>
      <c r="E4269" s="116" t="n"/>
      <c r="F4269" s="115" t="n"/>
      <c r="G4269" s="117">
        <f>IF(COUNTA(B4269:E4269)=0,"",IF(COUNTA(B4269:E4269)&lt;4,"⚠ กรอกไม่ครบ",IF(NOT(ISNUMBER(B4269)),"⚠ วันที่ไม่ถูกต้อง",IF(COUNTIFS(Setup!$L$6:$L$60,D4269,Setup!$M$6:$M$60,C4269)=0,"⚠ หมวดไม่ตรงประเภท","✓"))))</f>
        <v/>
      </c>
    </row>
    <row r="4270">
      <c r="B4270" s="113" t="n"/>
      <c r="C4270" s="114" t="n"/>
      <c r="D4270" s="115" t="n"/>
      <c r="E4270" s="116" t="n"/>
      <c r="F4270" s="115" t="n"/>
      <c r="G4270" s="117">
        <f>IF(COUNTA(B4270:E4270)=0,"",IF(COUNTA(B4270:E4270)&lt;4,"⚠ กรอกไม่ครบ",IF(NOT(ISNUMBER(B4270)),"⚠ วันที่ไม่ถูกต้อง",IF(COUNTIFS(Setup!$L$6:$L$60,D4270,Setup!$M$6:$M$60,C4270)=0,"⚠ หมวดไม่ตรงประเภท","✓"))))</f>
        <v/>
      </c>
    </row>
    <row r="4271">
      <c r="B4271" s="113" t="n"/>
      <c r="C4271" s="114" t="n"/>
      <c r="D4271" s="115" t="n"/>
      <c r="E4271" s="116" t="n"/>
      <c r="F4271" s="115" t="n"/>
      <c r="G4271" s="117">
        <f>IF(COUNTA(B4271:E4271)=0,"",IF(COUNTA(B4271:E4271)&lt;4,"⚠ กรอกไม่ครบ",IF(NOT(ISNUMBER(B4271)),"⚠ วันที่ไม่ถูกต้อง",IF(COUNTIFS(Setup!$L$6:$L$60,D4271,Setup!$M$6:$M$60,C4271)=0,"⚠ หมวดไม่ตรงประเภท","✓"))))</f>
        <v/>
      </c>
    </row>
    <row r="4272">
      <c r="B4272" s="113" t="n"/>
      <c r="C4272" s="114" t="n"/>
      <c r="D4272" s="115" t="n"/>
      <c r="E4272" s="116" t="n"/>
      <c r="F4272" s="115" t="n"/>
      <c r="G4272" s="117">
        <f>IF(COUNTA(B4272:E4272)=0,"",IF(COUNTA(B4272:E4272)&lt;4,"⚠ กรอกไม่ครบ",IF(NOT(ISNUMBER(B4272)),"⚠ วันที่ไม่ถูกต้อง",IF(COUNTIFS(Setup!$L$6:$L$60,D4272,Setup!$M$6:$M$60,C4272)=0,"⚠ หมวดไม่ตรงประเภท","✓"))))</f>
        <v/>
      </c>
    </row>
    <row r="4273">
      <c r="B4273" s="113" t="n"/>
      <c r="C4273" s="114" t="n"/>
      <c r="D4273" s="115" t="n"/>
      <c r="E4273" s="116" t="n"/>
      <c r="F4273" s="115" t="n"/>
      <c r="G4273" s="117">
        <f>IF(COUNTA(B4273:E4273)=0,"",IF(COUNTA(B4273:E4273)&lt;4,"⚠ กรอกไม่ครบ",IF(NOT(ISNUMBER(B4273)),"⚠ วันที่ไม่ถูกต้อง",IF(COUNTIFS(Setup!$L$6:$L$60,D4273,Setup!$M$6:$M$60,C4273)=0,"⚠ หมวดไม่ตรงประเภท","✓"))))</f>
        <v/>
      </c>
    </row>
    <row r="4274">
      <c r="B4274" s="113" t="n"/>
      <c r="C4274" s="114" t="n"/>
      <c r="D4274" s="115" t="n"/>
      <c r="E4274" s="116" t="n"/>
      <c r="F4274" s="115" t="n"/>
      <c r="G4274" s="117">
        <f>IF(COUNTA(B4274:E4274)=0,"",IF(COUNTA(B4274:E4274)&lt;4,"⚠ กรอกไม่ครบ",IF(NOT(ISNUMBER(B4274)),"⚠ วันที่ไม่ถูกต้อง",IF(COUNTIFS(Setup!$L$6:$L$60,D4274,Setup!$M$6:$M$60,C4274)=0,"⚠ หมวดไม่ตรงประเภท","✓"))))</f>
        <v/>
      </c>
    </row>
    <row r="4275">
      <c r="B4275" s="113" t="n"/>
      <c r="C4275" s="114" t="n"/>
      <c r="D4275" s="115" t="n"/>
      <c r="E4275" s="116" t="n"/>
      <c r="F4275" s="115" t="n"/>
      <c r="G4275" s="117">
        <f>IF(COUNTA(B4275:E4275)=0,"",IF(COUNTA(B4275:E4275)&lt;4,"⚠ กรอกไม่ครบ",IF(NOT(ISNUMBER(B4275)),"⚠ วันที่ไม่ถูกต้อง",IF(COUNTIFS(Setup!$L$6:$L$60,D4275,Setup!$M$6:$M$60,C4275)=0,"⚠ หมวดไม่ตรงประเภท","✓"))))</f>
        <v/>
      </c>
    </row>
    <row r="4276">
      <c r="B4276" s="113" t="n"/>
      <c r="C4276" s="114" t="n"/>
      <c r="D4276" s="115" t="n"/>
      <c r="E4276" s="116" t="n"/>
      <c r="F4276" s="115" t="n"/>
      <c r="G4276" s="117">
        <f>IF(COUNTA(B4276:E4276)=0,"",IF(COUNTA(B4276:E4276)&lt;4,"⚠ กรอกไม่ครบ",IF(NOT(ISNUMBER(B4276)),"⚠ วันที่ไม่ถูกต้อง",IF(COUNTIFS(Setup!$L$6:$L$60,D4276,Setup!$M$6:$M$60,C4276)=0,"⚠ หมวดไม่ตรงประเภท","✓"))))</f>
        <v/>
      </c>
    </row>
    <row r="4277">
      <c r="B4277" s="113" t="n"/>
      <c r="C4277" s="114" t="n"/>
      <c r="D4277" s="115" t="n"/>
      <c r="E4277" s="116" t="n"/>
      <c r="F4277" s="115" t="n"/>
      <c r="G4277" s="117">
        <f>IF(COUNTA(B4277:E4277)=0,"",IF(COUNTA(B4277:E4277)&lt;4,"⚠ กรอกไม่ครบ",IF(NOT(ISNUMBER(B4277)),"⚠ วันที่ไม่ถูกต้อง",IF(COUNTIFS(Setup!$L$6:$L$60,D4277,Setup!$M$6:$M$60,C4277)=0,"⚠ หมวดไม่ตรงประเภท","✓"))))</f>
        <v/>
      </c>
    </row>
    <row r="4278">
      <c r="B4278" s="113" t="n"/>
      <c r="C4278" s="114" t="n"/>
      <c r="D4278" s="115" t="n"/>
      <c r="E4278" s="116" t="n"/>
      <c r="F4278" s="115" t="n"/>
      <c r="G4278" s="117">
        <f>IF(COUNTA(B4278:E4278)=0,"",IF(COUNTA(B4278:E4278)&lt;4,"⚠ กรอกไม่ครบ",IF(NOT(ISNUMBER(B4278)),"⚠ วันที่ไม่ถูกต้อง",IF(COUNTIFS(Setup!$L$6:$L$60,D4278,Setup!$M$6:$M$60,C4278)=0,"⚠ หมวดไม่ตรงประเภท","✓"))))</f>
        <v/>
      </c>
    </row>
    <row r="4279">
      <c r="B4279" s="113" t="n"/>
      <c r="C4279" s="114" t="n"/>
      <c r="D4279" s="115" t="n"/>
      <c r="E4279" s="116" t="n"/>
      <c r="F4279" s="115" t="n"/>
      <c r="G4279" s="117">
        <f>IF(COUNTA(B4279:E4279)=0,"",IF(COUNTA(B4279:E4279)&lt;4,"⚠ กรอกไม่ครบ",IF(NOT(ISNUMBER(B4279)),"⚠ วันที่ไม่ถูกต้อง",IF(COUNTIFS(Setup!$L$6:$L$60,D4279,Setup!$M$6:$M$60,C4279)=0,"⚠ หมวดไม่ตรงประเภท","✓"))))</f>
        <v/>
      </c>
    </row>
    <row r="4280">
      <c r="B4280" s="113" t="n"/>
      <c r="C4280" s="114" t="n"/>
      <c r="D4280" s="115" t="n"/>
      <c r="E4280" s="116" t="n"/>
      <c r="F4280" s="115" t="n"/>
      <c r="G4280" s="117">
        <f>IF(COUNTA(B4280:E4280)=0,"",IF(COUNTA(B4280:E4280)&lt;4,"⚠ กรอกไม่ครบ",IF(NOT(ISNUMBER(B4280)),"⚠ วันที่ไม่ถูกต้อง",IF(COUNTIFS(Setup!$L$6:$L$60,D4280,Setup!$M$6:$M$60,C4280)=0,"⚠ หมวดไม่ตรงประเภท","✓"))))</f>
        <v/>
      </c>
    </row>
    <row r="4281">
      <c r="B4281" s="113" t="n"/>
      <c r="C4281" s="114" t="n"/>
      <c r="D4281" s="115" t="n"/>
      <c r="E4281" s="116" t="n"/>
      <c r="F4281" s="115" t="n"/>
      <c r="G4281" s="117">
        <f>IF(COUNTA(B4281:E4281)=0,"",IF(COUNTA(B4281:E4281)&lt;4,"⚠ กรอกไม่ครบ",IF(NOT(ISNUMBER(B4281)),"⚠ วันที่ไม่ถูกต้อง",IF(COUNTIFS(Setup!$L$6:$L$60,D4281,Setup!$M$6:$M$60,C4281)=0,"⚠ หมวดไม่ตรงประเภท","✓"))))</f>
        <v/>
      </c>
    </row>
    <row r="4282">
      <c r="B4282" s="113" t="n"/>
      <c r="C4282" s="114" t="n"/>
      <c r="D4282" s="115" t="n"/>
      <c r="E4282" s="116" t="n"/>
      <c r="F4282" s="115" t="n"/>
      <c r="G4282" s="117">
        <f>IF(COUNTA(B4282:E4282)=0,"",IF(COUNTA(B4282:E4282)&lt;4,"⚠ กรอกไม่ครบ",IF(NOT(ISNUMBER(B4282)),"⚠ วันที่ไม่ถูกต้อง",IF(COUNTIFS(Setup!$L$6:$L$60,D4282,Setup!$M$6:$M$60,C4282)=0,"⚠ หมวดไม่ตรงประเภท","✓"))))</f>
        <v/>
      </c>
    </row>
    <row r="4283">
      <c r="B4283" s="113" t="n"/>
      <c r="C4283" s="114" t="n"/>
      <c r="D4283" s="115" t="n"/>
      <c r="E4283" s="116" t="n"/>
      <c r="F4283" s="115" t="n"/>
      <c r="G4283" s="117">
        <f>IF(COUNTA(B4283:E4283)=0,"",IF(COUNTA(B4283:E4283)&lt;4,"⚠ กรอกไม่ครบ",IF(NOT(ISNUMBER(B4283)),"⚠ วันที่ไม่ถูกต้อง",IF(COUNTIFS(Setup!$L$6:$L$60,D4283,Setup!$M$6:$M$60,C4283)=0,"⚠ หมวดไม่ตรงประเภท","✓"))))</f>
        <v/>
      </c>
    </row>
    <row r="4284">
      <c r="B4284" s="113" t="n"/>
      <c r="C4284" s="114" t="n"/>
      <c r="D4284" s="115" t="n"/>
      <c r="E4284" s="116" t="n"/>
      <c r="F4284" s="115" t="n"/>
      <c r="G4284" s="117">
        <f>IF(COUNTA(B4284:E4284)=0,"",IF(COUNTA(B4284:E4284)&lt;4,"⚠ กรอกไม่ครบ",IF(NOT(ISNUMBER(B4284)),"⚠ วันที่ไม่ถูกต้อง",IF(COUNTIFS(Setup!$L$6:$L$60,D4284,Setup!$M$6:$M$60,C4284)=0,"⚠ หมวดไม่ตรงประเภท","✓"))))</f>
        <v/>
      </c>
    </row>
    <row r="4285">
      <c r="B4285" s="113" t="n"/>
      <c r="C4285" s="114" t="n"/>
      <c r="D4285" s="115" t="n"/>
      <c r="E4285" s="116" t="n"/>
      <c r="F4285" s="115" t="n"/>
      <c r="G4285" s="117">
        <f>IF(COUNTA(B4285:E4285)=0,"",IF(COUNTA(B4285:E4285)&lt;4,"⚠ กรอกไม่ครบ",IF(NOT(ISNUMBER(B4285)),"⚠ วันที่ไม่ถูกต้อง",IF(COUNTIFS(Setup!$L$6:$L$60,D4285,Setup!$M$6:$M$60,C4285)=0,"⚠ หมวดไม่ตรงประเภท","✓"))))</f>
        <v/>
      </c>
    </row>
    <row r="4286">
      <c r="B4286" s="113" t="n"/>
      <c r="C4286" s="114" t="n"/>
      <c r="D4286" s="115" t="n"/>
      <c r="E4286" s="116" t="n"/>
      <c r="F4286" s="115" t="n"/>
      <c r="G4286" s="117">
        <f>IF(COUNTA(B4286:E4286)=0,"",IF(COUNTA(B4286:E4286)&lt;4,"⚠ กรอกไม่ครบ",IF(NOT(ISNUMBER(B4286)),"⚠ วันที่ไม่ถูกต้อง",IF(COUNTIFS(Setup!$L$6:$L$60,D4286,Setup!$M$6:$M$60,C4286)=0,"⚠ หมวดไม่ตรงประเภท","✓"))))</f>
        <v/>
      </c>
    </row>
    <row r="4287">
      <c r="B4287" s="113" t="n"/>
      <c r="C4287" s="114" t="n"/>
      <c r="D4287" s="115" t="n"/>
      <c r="E4287" s="116" t="n"/>
      <c r="F4287" s="115" t="n"/>
      <c r="G4287" s="117">
        <f>IF(COUNTA(B4287:E4287)=0,"",IF(COUNTA(B4287:E4287)&lt;4,"⚠ กรอกไม่ครบ",IF(NOT(ISNUMBER(B4287)),"⚠ วันที่ไม่ถูกต้อง",IF(COUNTIFS(Setup!$L$6:$L$60,D4287,Setup!$M$6:$M$60,C4287)=0,"⚠ หมวดไม่ตรงประเภท","✓"))))</f>
        <v/>
      </c>
    </row>
    <row r="4288">
      <c r="B4288" s="113" t="n"/>
      <c r="C4288" s="114" t="n"/>
      <c r="D4288" s="115" t="n"/>
      <c r="E4288" s="116" t="n"/>
      <c r="F4288" s="115" t="n"/>
      <c r="G4288" s="117">
        <f>IF(COUNTA(B4288:E4288)=0,"",IF(COUNTA(B4288:E4288)&lt;4,"⚠ กรอกไม่ครบ",IF(NOT(ISNUMBER(B4288)),"⚠ วันที่ไม่ถูกต้อง",IF(COUNTIFS(Setup!$L$6:$L$60,D4288,Setup!$M$6:$M$60,C4288)=0,"⚠ หมวดไม่ตรงประเภท","✓"))))</f>
        <v/>
      </c>
    </row>
    <row r="4289">
      <c r="B4289" s="113" t="n"/>
      <c r="C4289" s="114" t="n"/>
      <c r="D4289" s="115" t="n"/>
      <c r="E4289" s="116" t="n"/>
      <c r="F4289" s="115" t="n"/>
      <c r="G4289" s="117">
        <f>IF(COUNTA(B4289:E4289)=0,"",IF(COUNTA(B4289:E4289)&lt;4,"⚠ กรอกไม่ครบ",IF(NOT(ISNUMBER(B4289)),"⚠ วันที่ไม่ถูกต้อง",IF(COUNTIFS(Setup!$L$6:$L$60,D4289,Setup!$M$6:$M$60,C4289)=0,"⚠ หมวดไม่ตรงประเภท","✓"))))</f>
        <v/>
      </c>
    </row>
    <row r="4290">
      <c r="B4290" s="113" t="n"/>
      <c r="C4290" s="114" t="n"/>
      <c r="D4290" s="115" t="n"/>
      <c r="E4290" s="116" t="n"/>
      <c r="F4290" s="115" t="n"/>
      <c r="G4290" s="117">
        <f>IF(COUNTA(B4290:E4290)=0,"",IF(COUNTA(B4290:E4290)&lt;4,"⚠ กรอกไม่ครบ",IF(NOT(ISNUMBER(B4290)),"⚠ วันที่ไม่ถูกต้อง",IF(COUNTIFS(Setup!$L$6:$L$60,D4290,Setup!$M$6:$M$60,C4290)=0,"⚠ หมวดไม่ตรงประเภท","✓"))))</f>
        <v/>
      </c>
    </row>
    <row r="4291">
      <c r="B4291" s="113" t="n"/>
      <c r="C4291" s="114" t="n"/>
      <c r="D4291" s="115" t="n"/>
      <c r="E4291" s="116" t="n"/>
      <c r="F4291" s="115" t="n"/>
      <c r="G4291" s="117">
        <f>IF(COUNTA(B4291:E4291)=0,"",IF(COUNTA(B4291:E4291)&lt;4,"⚠ กรอกไม่ครบ",IF(NOT(ISNUMBER(B4291)),"⚠ วันที่ไม่ถูกต้อง",IF(COUNTIFS(Setup!$L$6:$L$60,D4291,Setup!$M$6:$M$60,C4291)=0,"⚠ หมวดไม่ตรงประเภท","✓"))))</f>
        <v/>
      </c>
    </row>
    <row r="4292">
      <c r="B4292" s="113" t="n"/>
      <c r="C4292" s="114" t="n"/>
      <c r="D4292" s="115" t="n"/>
      <c r="E4292" s="116" t="n"/>
      <c r="F4292" s="115" t="n"/>
      <c r="G4292" s="117">
        <f>IF(COUNTA(B4292:E4292)=0,"",IF(COUNTA(B4292:E4292)&lt;4,"⚠ กรอกไม่ครบ",IF(NOT(ISNUMBER(B4292)),"⚠ วันที่ไม่ถูกต้อง",IF(COUNTIFS(Setup!$L$6:$L$60,D4292,Setup!$M$6:$M$60,C4292)=0,"⚠ หมวดไม่ตรงประเภท","✓"))))</f>
        <v/>
      </c>
    </row>
    <row r="4293">
      <c r="B4293" s="113" t="n"/>
      <c r="C4293" s="114" t="n"/>
      <c r="D4293" s="115" t="n"/>
      <c r="E4293" s="116" t="n"/>
      <c r="F4293" s="115" t="n"/>
      <c r="G4293" s="117">
        <f>IF(COUNTA(B4293:E4293)=0,"",IF(COUNTA(B4293:E4293)&lt;4,"⚠ กรอกไม่ครบ",IF(NOT(ISNUMBER(B4293)),"⚠ วันที่ไม่ถูกต้อง",IF(COUNTIFS(Setup!$L$6:$L$60,D4293,Setup!$M$6:$M$60,C4293)=0,"⚠ หมวดไม่ตรงประเภท","✓"))))</f>
        <v/>
      </c>
    </row>
    <row r="4294">
      <c r="B4294" s="113" t="n"/>
      <c r="C4294" s="114" t="n"/>
      <c r="D4294" s="115" t="n"/>
      <c r="E4294" s="116" t="n"/>
      <c r="F4294" s="115" t="n"/>
      <c r="G4294" s="117">
        <f>IF(COUNTA(B4294:E4294)=0,"",IF(COUNTA(B4294:E4294)&lt;4,"⚠ กรอกไม่ครบ",IF(NOT(ISNUMBER(B4294)),"⚠ วันที่ไม่ถูกต้อง",IF(COUNTIFS(Setup!$L$6:$L$60,D4294,Setup!$M$6:$M$60,C4294)=0,"⚠ หมวดไม่ตรงประเภท","✓"))))</f>
        <v/>
      </c>
    </row>
    <row r="4295">
      <c r="B4295" s="113" t="n"/>
      <c r="C4295" s="114" t="n"/>
      <c r="D4295" s="115" t="n"/>
      <c r="E4295" s="116" t="n"/>
      <c r="F4295" s="115" t="n"/>
      <c r="G4295" s="117">
        <f>IF(COUNTA(B4295:E4295)=0,"",IF(COUNTA(B4295:E4295)&lt;4,"⚠ กรอกไม่ครบ",IF(NOT(ISNUMBER(B4295)),"⚠ วันที่ไม่ถูกต้อง",IF(COUNTIFS(Setup!$L$6:$L$60,D4295,Setup!$M$6:$M$60,C4295)=0,"⚠ หมวดไม่ตรงประเภท","✓"))))</f>
        <v/>
      </c>
    </row>
    <row r="4296">
      <c r="B4296" s="113" t="n"/>
      <c r="C4296" s="114" t="n"/>
      <c r="D4296" s="115" t="n"/>
      <c r="E4296" s="116" t="n"/>
      <c r="F4296" s="115" t="n"/>
      <c r="G4296" s="117">
        <f>IF(COUNTA(B4296:E4296)=0,"",IF(COUNTA(B4296:E4296)&lt;4,"⚠ กรอกไม่ครบ",IF(NOT(ISNUMBER(B4296)),"⚠ วันที่ไม่ถูกต้อง",IF(COUNTIFS(Setup!$L$6:$L$60,D4296,Setup!$M$6:$M$60,C4296)=0,"⚠ หมวดไม่ตรงประเภท","✓"))))</f>
        <v/>
      </c>
    </row>
    <row r="4297">
      <c r="B4297" s="113" t="n"/>
      <c r="C4297" s="114" t="n"/>
      <c r="D4297" s="115" t="n"/>
      <c r="E4297" s="116" t="n"/>
      <c r="F4297" s="115" t="n"/>
      <c r="G4297" s="117">
        <f>IF(COUNTA(B4297:E4297)=0,"",IF(COUNTA(B4297:E4297)&lt;4,"⚠ กรอกไม่ครบ",IF(NOT(ISNUMBER(B4297)),"⚠ วันที่ไม่ถูกต้อง",IF(COUNTIFS(Setup!$L$6:$L$60,D4297,Setup!$M$6:$M$60,C4297)=0,"⚠ หมวดไม่ตรงประเภท","✓"))))</f>
        <v/>
      </c>
    </row>
    <row r="4298">
      <c r="B4298" s="113" t="n"/>
      <c r="C4298" s="114" t="n"/>
      <c r="D4298" s="115" t="n"/>
      <c r="E4298" s="116" t="n"/>
      <c r="F4298" s="115" t="n"/>
      <c r="G4298" s="117">
        <f>IF(COUNTA(B4298:E4298)=0,"",IF(COUNTA(B4298:E4298)&lt;4,"⚠ กรอกไม่ครบ",IF(NOT(ISNUMBER(B4298)),"⚠ วันที่ไม่ถูกต้อง",IF(COUNTIFS(Setup!$L$6:$L$60,D4298,Setup!$M$6:$M$60,C4298)=0,"⚠ หมวดไม่ตรงประเภท","✓"))))</f>
        <v/>
      </c>
    </row>
    <row r="4299">
      <c r="B4299" s="113" t="n"/>
      <c r="C4299" s="114" t="n"/>
      <c r="D4299" s="115" t="n"/>
      <c r="E4299" s="116" t="n"/>
      <c r="F4299" s="115" t="n"/>
      <c r="G4299" s="117">
        <f>IF(COUNTA(B4299:E4299)=0,"",IF(COUNTA(B4299:E4299)&lt;4,"⚠ กรอกไม่ครบ",IF(NOT(ISNUMBER(B4299)),"⚠ วันที่ไม่ถูกต้อง",IF(COUNTIFS(Setup!$L$6:$L$60,D4299,Setup!$M$6:$M$60,C4299)=0,"⚠ หมวดไม่ตรงประเภท","✓"))))</f>
        <v/>
      </c>
    </row>
    <row r="4300">
      <c r="B4300" s="113" t="n"/>
      <c r="C4300" s="114" t="n"/>
      <c r="D4300" s="115" t="n"/>
      <c r="E4300" s="116" t="n"/>
      <c r="F4300" s="115" t="n"/>
      <c r="G4300" s="117">
        <f>IF(COUNTA(B4300:E4300)=0,"",IF(COUNTA(B4300:E4300)&lt;4,"⚠ กรอกไม่ครบ",IF(NOT(ISNUMBER(B4300)),"⚠ วันที่ไม่ถูกต้อง",IF(COUNTIFS(Setup!$L$6:$L$60,D4300,Setup!$M$6:$M$60,C4300)=0,"⚠ หมวดไม่ตรงประเภท","✓"))))</f>
        <v/>
      </c>
    </row>
    <row r="4301">
      <c r="B4301" s="113" t="n"/>
      <c r="C4301" s="114" t="n"/>
      <c r="D4301" s="115" t="n"/>
      <c r="E4301" s="116" t="n"/>
      <c r="F4301" s="115" t="n"/>
      <c r="G4301" s="117">
        <f>IF(COUNTA(B4301:E4301)=0,"",IF(COUNTA(B4301:E4301)&lt;4,"⚠ กรอกไม่ครบ",IF(NOT(ISNUMBER(B4301)),"⚠ วันที่ไม่ถูกต้อง",IF(COUNTIFS(Setup!$L$6:$L$60,D4301,Setup!$M$6:$M$60,C4301)=0,"⚠ หมวดไม่ตรงประเภท","✓"))))</f>
        <v/>
      </c>
    </row>
    <row r="4302">
      <c r="B4302" s="113" t="n"/>
      <c r="C4302" s="114" t="n"/>
      <c r="D4302" s="115" t="n"/>
      <c r="E4302" s="116" t="n"/>
      <c r="F4302" s="115" t="n"/>
      <c r="G4302" s="117">
        <f>IF(COUNTA(B4302:E4302)=0,"",IF(COUNTA(B4302:E4302)&lt;4,"⚠ กรอกไม่ครบ",IF(NOT(ISNUMBER(B4302)),"⚠ วันที่ไม่ถูกต้อง",IF(COUNTIFS(Setup!$L$6:$L$60,D4302,Setup!$M$6:$M$60,C4302)=0,"⚠ หมวดไม่ตรงประเภท","✓"))))</f>
        <v/>
      </c>
    </row>
    <row r="4303">
      <c r="B4303" s="113" t="n"/>
      <c r="C4303" s="114" t="n"/>
      <c r="D4303" s="115" t="n"/>
      <c r="E4303" s="116" t="n"/>
      <c r="F4303" s="115" t="n"/>
      <c r="G4303" s="117">
        <f>IF(COUNTA(B4303:E4303)=0,"",IF(COUNTA(B4303:E4303)&lt;4,"⚠ กรอกไม่ครบ",IF(NOT(ISNUMBER(B4303)),"⚠ วันที่ไม่ถูกต้อง",IF(COUNTIFS(Setup!$L$6:$L$60,D4303,Setup!$M$6:$M$60,C4303)=0,"⚠ หมวดไม่ตรงประเภท","✓"))))</f>
        <v/>
      </c>
    </row>
    <row r="4304">
      <c r="B4304" s="113" t="n"/>
      <c r="C4304" s="114" t="n"/>
      <c r="D4304" s="115" t="n"/>
      <c r="E4304" s="116" t="n"/>
      <c r="F4304" s="115" t="n"/>
      <c r="G4304" s="117">
        <f>IF(COUNTA(B4304:E4304)=0,"",IF(COUNTA(B4304:E4304)&lt;4,"⚠ กรอกไม่ครบ",IF(NOT(ISNUMBER(B4304)),"⚠ วันที่ไม่ถูกต้อง",IF(COUNTIFS(Setup!$L$6:$L$60,D4304,Setup!$M$6:$M$60,C4304)=0,"⚠ หมวดไม่ตรงประเภท","✓"))))</f>
        <v/>
      </c>
    </row>
    <row r="4305">
      <c r="B4305" s="113" t="n"/>
      <c r="C4305" s="114" t="n"/>
      <c r="D4305" s="115" t="n"/>
      <c r="E4305" s="116" t="n"/>
      <c r="F4305" s="115" t="n"/>
      <c r="G4305" s="117">
        <f>IF(COUNTA(B4305:E4305)=0,"",IF(COUNTA(B4305:E4305)&lt;4,"⚠ กรอกไม่ครบ",IF(NOT(ISNUMBER(B4305)),"⚠ วันที่ไม่ถูกต้อง",IF(COUNTIFS(Setup!$L$6:$L$60,D4305,Setup!$M$6:$M$60,C4305)=0,"⚠ หมวดไม่ตรงประเภท","✓"))))</f>
        <v/>
      </c>
    </row>
    <row r="4306">
      <c r="B4306" s="113" t="n"/>
      <c r="C4306" s="114" t="n"/>
      <c r="D4306" s="115" t="n"/>
      <c r="E4306" s="116" t="n"/>
      <c r="F4306" s="115" t="n"/>
      <c r="G4306" s="117">
        <f>IF(COUNTA(B4306:E4306)=0,"",IF(COUNTA(B4306:E4306)&lt;4,"⚠ กรอกไม่ครบ",IF(NOT(ISNUMBER(B4306)),"⚠ วันที่ไม่ถูกต้อง",IF(COUNTIFS(Setup!$L$6:$L$60,D4306,Setup!$M$6:$M$60,C4306)=0,"⚠ หมวดไม่ตรงประเภท","✓"))))</f>
        <v/>
      </c>
    </row>
    <row r="4307">
      <c r="B4307" s="113" t="n"/>
      <c r="C4307" s="114" t="n"/>
      <c r="D4307" s="115" t="n"/>
      <c r="E4307" s="116" t="n"/>
      <c r="F4307" s="115" t="n"/>
      <c r="G4307" s="117">
        <f>IF(COUNTA(B4307:E4307)=0,"",IF(COUNTA(B4307:E4307)&lt;4,"⚠ กรอกไม่ครบ",IF(NOT(ISNUMBER(B4307)),"⚠ วันที่ไม่ถูกต้อง",IF(COUNTIFS(Setup!$L$6:$L$60,D4307,Setup!$M$6:$M$60,C4307)=0,"⚠ หมวดไม่ตรงประเภท","✓"))))</f>
        <v/>
      </c>
    </row>
    <row r="4308">
      <c r="B4308" s="113" t="n"/>
      <c r="C4308" s="114" t="n"/>
      <c r="D4308" s="115" t="n"/>
      <c r="E4308" s="116" t="n"/>
      <c r="F4308" s="115" t="n"/>
      <c r="G4308" s="117">
        <f>IF(COUNTA(B4308:E4308)=0,"",IF(COUNTA(B4308:E4308)&lt;4,"⚠ กรอกไม่ครบ",IF(NOT(ISNUMBER(B4308)),"⚠ วันที่ไม่ถูกต้อง",IF(COUNTIFS(Setup!$L$6:$L$60,D4308,Setup!$M$6:$M$60,C4308)=0,"⚠ หมวดไม่ตรงประเภท","✓"))))</f>
        <v/>
      </c>
    </row>
    <row r="4309">
      <c r="B4309" s="113" t="n"/>
      <c r="C4309" s="114" t="n"/>
      <c r="D4309" s="115" t="n"/>
      <c r="E4309" s="116" t="n"/>
      <c r="F4309" s="115" t="n"/>
      <c r="G4309" s="117">
        <f>IF(COUNTA(B4309:E4309)=0,"",IF(COUNTA(B4309:E4309)&lt;4,"⚠ กรอกไม่ครบ",IF(NOT(ISNUMBER(B4309)),"⚠ วันที่ไม่ถูกต้อง",IF(COUNTIFS(Setup!$L$6:$L$60,D4309,Setup!$M$6:$M$60,C4309)=0,"⚠ หมวดไม่ตรงประเภท","✓"))))</f>
        <v/>
      </c>
    </row>
    <row r="4310">
      <c r="B4310" s="113" t="n"/>
      <c r="C4310" s="114" t="n"/>
      <c r="D4310" s="115" t="n"/>
      <c r="E4310" s="116" t="n"/>
      <c r="F4310" s="115" t="n"/>
      <c r="G4310" s="117">
        <f>IF(COUNTA(B4310:E4310)=0,"",IF(COUNTA(B4310:E4310)&lt;4,"⚠ กรอกไม่ครบ",IF(NOT(ISNUMBER(B4310)),"⚠ วันที่ไม่ถูกต้อง",IF(COUNTIFS(Setup!$L$6:$L$60,D4310,Setup!$M$6:$M$60,C4310)=0,"⚠ หมวดไม่ตรงประเภท","✓"))))</f>
        <v/>
      </c>
    </row>
    <row r="4311">
      <c r="B4311" s="113" t="n"/>
      <c r="C4311" s="114" t="n"/>
      <c r="D4311" s="115" t="n"/>
      <c r="E4311" s="116" t="n"/>
      <c r="F4311" s="115" t="n"/>
      <c r="G4311" s="117">
        <f>IF(COUNTA(B4311:E4311)=0,"",IF(COUNTA(B4311:E4311)&lt;4,"⚠ กรอกไม่ครบ",IF(NOT(ISNUMBER(B4311)),"⚠ วันที่ไม่ถูกต้อง",IF(COUNTIFS(Setup!$L$6:$L$60,D4311,Setup!$M$6:$M$60,C4311)=0,"⚠ หมวดไม่ตรงประเภท","✓"))))</f>
        <v/>
      </c>
    </row>
    <row r="4312">
      <c r="B4312" s="113" t="n"/>
      <c r="C4312" s="114" t="n"/>
      <c r="D4312" s="115" t="n"/>
      <c r="E4312" s="116" t="n"/>
      <c r="F4312" s="115" t="n"/>
      <c r="G4312" s="117">
        <f>IF(COUNTA(B4312:E4312)=0,"",IF(COUNTA(B4312:E4312)&lt;4,"⚠ กรอกไม่ครบ",IF(NOT(ISNUMBER(B4312)),"⚠ วันที่ไม่ถูกต้อง",IF(COUNTIFS(Setup!$L$6:$L$60,D4312,Setup!$M$6:$M$60,C4312)=0,"⚠ หมวดไม่ตรงประเภท","✓"))))</f>
        <v/>
      </c>
    </row>
    <row r="4313">
      <c r="B4313" s="113" t="n"/>
      <c r="C4313" s="114" t="n"/>
      <c r="D4313" s="115" t="n"/>
      <c r="E4313" s="116" t="n"/>
      <c r="F4313" s="115" t="n"/>
      <c r="G4313" s="117">
        <f>IF(COUNTA(B4313:E4313)=0,"",IF(COUNTA(B4313:E4313)&lt;4,"⚠ กรอกไม่ครบ",IF(NOT(ISNUMBER(B4313)),"⚠ วันที่ไม่ถูกต้อง",IF(COUNTIFS(Setup!$L$6:$L$60,D4313,Setup!$M$6:$M$60,C4313)=0,"⚠ หมวดไม่ตรงประเภท","✓"))))</f>
        <v/>
      </c>
    </row>
    <row r="4314">
      <c r="B4314" s="113" t="n"/>
      <c r="C4314" s="114" t="n"/>
      <c r="D4314" s="115" t="n"/>
      <c r="E4314" s="116" t="n"/>
      <c r="F4314" s="115" t="n"/>
      <c r="G4314" s="117">
        <f>IF(COUNTA(B4314:E4314)=0,"",IF(COUNTA(B4314:E4314)&lt;4,"⚠ กรอกไม่ครบ",IF(NOT(ISNUMBER(B4314)),"⚠ วันที่ไม่ถูกต้อง",IF(COUNTIFS(Setup!$L$6:$L$60,D4314,Setup!$M$6:$M$60,C4314)=0,"⚠ หมวดไม่ตรงประเภท","✓"))))</f>
        <v/>
      </c>
    </row>
    <row r="4315">
      <c r="B4315" s="113" t="n"/>
      <c r="C4315" s="114" t="n"/>
      <c r="D4315" s="115" t="n"/>
      <c r="E4315" s="116" t="n"/>
      <c r="F4315" s="115" t="n"/>
      <c r="G4315" s="117">
        <f>IF(COUNTA(B4315:E4315)=0,"",IF(COUNTA(B4315:E4315)&lt;4,"⚠ กรอกไม่ครบ",IF(NOT(ISNUMBER(B4315)),"⚠ วันที่ไม่ถูกต้อง",IF(COUNTIFS(Setup!$L$6:$L$60,D4315,Setup!$M$6:$M$60,C4315)=0,"⚠ หมวดไม่ตรงประเภท","✓"))))</f>
        <v/>
      </c>
    </row>
    <row r="4316">
      <c r="B4316" s="113" t="n"/>
      <c r="C4316" s="114" t="n"/>
      <c r="D4316" s="115" t="n"/>
      <c r="E4316" s="116" t="n"/>
      <c r="F4316" s="115" t="n"/>
      <c r="G4316" s="117">
        <f>IF(COUNTA(B4316:E4316)=0,"",IF(COUNTA(B4316:E4316)&lt;4,"⚠ กรอกไม่ครบ",IF(NOT(ISNUMBER(B4316)),"⚠ วันที่ไม่ถูกต้อง",IF(COUNTIFS(Setup!$L$6:$L$60,D4316,Setup!$M$6:$M$60,C4316)=0,"⚠ หมวดไม่ตรงประเภท","✓"))))</f>
        <v/>
      </c>
    </row>
    <row r="4317">
      <c r="B4317" s="113" t="n"/>
      <c r="C4317" s="114" t="n"/>
      <c r="D4317" s="115" t="n"/>
      <c r="E4317" s="116" t="n"/>
      <c r="F4317" s="115" t="n"/>
      <c r="G4317" s="117">
        <f>IF(COUNTA(B4317:E4317)=0,"",IF(COUNTA(B4317:E4317)&lt;4,"⚠ กรอกไม่ครบ",IF(NOT(ISNUMBER(B4317)),"⚠ วันที่ไม่ถูกต้อง",IF(COUNTIFS(Setup!$L$6:$L$60,D4317,Setup!$M$6:$M$60,C4317)=0,"⚠ หมวดไม่ตรงประเภท","✓"))))</f>
        <v/>
      </c>
    </row>
    <row r="4318">
      <c r="B4318" s="113" t="n"/>
      <c r="C4318" s="114" t="n"/>
      <c r="D4318" s="115" t="n"/>
      <c r="E4318" s="116" t="n"/>
      <c r="F4318" s="115" t="n"/>
      <c r="G4318" s="117">
        <f>IF(COUNTA(B4318:E4318)=0,"",IF(COUNTA(B4318:E4318)&lt;4,"⚠ กรอกไม่ครบ",IF(NOT(ISNUMBER(B4318)),"⚠ วันที่ไม่ถูกต้อง",IF(COUNTIFS(Setup!$L$6:$L$60,D4318,Setup!$M$6:$M$60,C4318)=0,"⚠ หมวดไม่ตรงประเภท","✓"))))</f>
        <v/>
      </c>
    </row>
    <row r="4319">
      <c r="B4319" s="113" t="n"/>
      <c r="C4319" s="114" t="n"/>
      <c r="D4319" s="115" t="n"/>
      <c r="E4319" s="116" t="n"/>
      <c r="F4319" s="115" t="n"/>
      <c r="G4319" s="117">
        <f>IF(COUNTA(B4319:E4319)=0,"",IF(COUNTA(B4319:E4319)&lt;4,"⚠ กรอกไม่ครบ",IF(NOT(ISNUMBER(B4319)),"⚠ วันที่ไม่ถูกต้อง",IF(COUNTIFS(Setup!$L$6:$L$60,D4319,Setup!$M$6:$M$60,C4319)=0,"⚠ หมวดไม่ตรงประเภท","✓"))))</f>
        <v/>
      </c>
    </row>
    <row r="4320">
      <c r="B4320" s="113" t="n"/>
      <c r="C4320" s="114" t="n"/>
      <c r="D4320" s="115" t="n"/>
      <c r="E4320" s="116" t="n"/>
      <c r="F4320" s="115" t="n"/>
      <c r="G4320" s="117">
        <f>IF(COUNTA(B4320:E4320)=0,"",IF(COUNTA(B4320:E4320)&lt;4,"⚠ กรอกไม่ครบ",IF(NOT(ISNUMBER(B4320)),"⚠ วันที่ไม่ถูกต้อง",IF(COUNTIFS(Setup!$L$6:$L$60,D4320,Setup!$M$6:$M$60,C4320)=0,"⚠ หมวดไม่ตรงประเภท","✓"))))</f>
        <v/>
      </c>
    </row>
    <row r="4321">
      <c r="B4321" s="113" t="n"/>
      <c r="C4321" s="114" t="n"/>
      <c r="D4321" s="115" t="n"/>
      <c r="E4321" s="116" t="n"/>
      <c r="F4321" s="115" t="n"/>
      <c r="G4321" s="117">
        <f>IF(COUNTA(B4321:E4321)=0,"",IF(COUNTA(B4321:E4321)&lt;4,"⚠ กรอกไม่ครบ",IF(NOT(ISNUMBER(B4321)),"⚠ วันที่ไม่ถูกต้อง",IF(COUNTIFS(Setup!$L$6:$L$60,D4321,Setup!$M$6:$M$60,C4321)=0,"⚠ หมวดไม่ตรงประเภท","✓"))))</f>
        <v/>
      </c>
    </row>
    <row r="4322">
      <c r="B4322" s="113" t="n"/>
      <c r="C4322" s="114" t="n"/>
      <c r="D4322" s="115" t="n"/>
      <c r="E4322" s="116" t="n"/>
      <c r="F4322" s="115" t="n"/>
      <c r="G4322" s="117">
        <f>IF(COUNTA(B4322:E4322)=0,"",IF(COUNTA(B4322:E4322)&lt;4,"⚠ กรอกไม่ครบ",IF(NOT(ISNUMBER(B4322)),"⚠ วันที่ไม่ถูกต้อง",IF(COUNTIFS(Setup!$L$6:$L$60,D4322,Setup!$M$6:$M$60,C4322)=0,"⚠ หมวดไม่ตรงประเภท","✓"))))</f>
        <v/>
      </c>
    </row>
    <row r="4323">
      <c r="B4323" s="113" t="n"/>
      <c r="C4323" s="114" t="n"/>
      <c r="D4323" s="115" t="n"/>
      <c r="E4323" s="116" t="n"/>
      <c r="F4323" s="115" t="n"/>
      <c r="G4323" s="117">
        <f>IF(COUNTA(B4323:E4323)=0,"",IF(COUNTA(B4323:E4323)&lt;4,"⚠ กรอกไม่ครบ",IF(NOT(ISNUMBER(B4323)),"⚠ วันที่ไม่ถูกต้อง",IF(COUNTIFS(Setup!$L$6:$L$60,D4323,Setup!$M$6:$M$60,C4323)=0,"⚠ หมวดไม่ตรงประเภท","✓"))))</f>
        <v/>
      </c>
    </row>
    <row r="4324">
      <c r="B4324" s="113" t="n"/>
      <c r="C4324" s="114" t="n"/>
      <c r="D4324" s="115" t="n"/>
      <c r="E4324" s="116" t="n"/>
      <c r="F4324" s="115" t="n"/>
      <c r="G4324" s="117">
        <f>IF(COUNTA(B4324:E4324)=0,"",IF(COUNTA(B4324:E4324)&lt;4,"⚠ กรอกไม่ครบ",IF(NOT(ISNUMBER(B4324)),"⚠ วันที่ไม่ถูกต้อง",IF(COUNTIFS(Setup!$L$6:$L$60,D4324,Setup!$M$6:$M$60,C4324)=0,"⚠ หมวดไม่ตรงประเภท","✓"))))</f>
        <v/>
      </c>
    </row>
    <row r="4325">
      <c r="B4325" s="113" t="n"/>
      <c r="C4325" s="114" t="n"/>
      <c r="D4325" s="115" t="n"/>
      <c r="E4325" s="116" t="n"/>
      <c r="F4325" s="115" t="n"/>
      <c r="G4325" s="117">
        <f>IF(COUNTA(B4325:E4325)=0,"",IF(COUNTA(B4325:E4325)&lt;4,"⚠ กรอกไม่ครบ",IF(NOT(ISNUMBER(B4325)),"⚠ วันที่ไม่ถูกต้อง",IF(COUNTIFS(Setup!$L$6:$L$60,D4325,Setup!$M$6:$M$60,C4325)=0,"⚠ หมวดไม่ตรงประเภท","✓"))))</f>
        <v/>
      </c>
    </row>
    <row r="4326">
      <c r="B4326" s="113" t="n"/>
      <c r="C4326" s="114" t="n"/>
      <c r="D4326" s="115" t="n"/>
      <c r="E4326" s="116" t="n"/>
      <c r="F4326" s="115" t="n"/>
      <c r="G4326" s="117">
        <f>IF(COUNTA(B4326:E4326)=0,"",IF(COUNTA(B4326:E4326)&lt;4,"⚠ กรอกไม่ครบ",IF(NOT(ISNUMBER(B4326)),"⚠ วันที่ไม่ถูกต้อง",IF(COUNTIFS(Setup!$L$6:$L$60,D4326,Setup!$M$6:$M$60,C4326)=0,"⚠ หมวดไม่ตรงประเภท","✓"))))</f>
        <v/>
      </c>
    </row>
    <row r="4327">
      <c r="B4327" s="113" t="n"/>
      <c r="C4327" s="114" t="n"/>
      <c r="D4327" s="115" t="n"/>
      <c r="E4327" s="116" t="n"/>
      <c r="F4327" s="115" t="n"/>
      <c r="G4327" s="117">
        <f>IF(COUNTA(B4327:E4327)=0,"",IF(COUNTA(B4327:E4327)&lt;4,"⚠ กรอกไม่ครบ",IF(NOT(ISNUMBER(B4327)),"⚠ วันที่ไม่ถูกต้อง",IF(COUNTIFS(Setup!$L$6:$L$60,D4327,Setup!$M$6:$M$60,C4327)=0,"⚠ หมวดไม่ตรงประเภท","✓"))))</f>
        <v/>
      </c>
    </row>
    <row r="4328">
      <c r="B4328" s="113" t="n"/>
      <c r="C4328" s="114" t="n"/>
      <c r="D4328" s="115" t="n"/>
      <c r="E4328" s="116" t="n"/>
      <c r="F4328" s="115" t="n"/>
      <c r="G4328" s="117">
        <f>IF(COUNTA(B4328:E4328)=0,"",IF(COUNTA(B4328:E4328)&lt;4,"⚠ กรอกไม่ครบ",IF(NOT(ISNUMBER(B4328)),"⚠ วันที่ไม่ถูกต้อง",IF(COUNTIFS(Setup!$L$6:$L$60,D4328,Setup!$M$6:$M$60,C4328)=0,"⚠ หมวดไม่ตรงประเภท","✓"))))</f>
        <v/>
      </c>
    </row>
    <row r="4329">
      <c r="B4329" s="113" t="n"/>
      <c r="C4329" s="114" t="n"/>
      <c r="D4329" s="115" t="n"/>
      <c r="E4329" s="116" t="n"/>
      <c r="F4329" s="115" t="n"/>
      <c r="G4329" s="117">
        <f>IF(COUNTA(B4329:E4329)=0,"",IF(COUNTA(B4329:E4329)&lt;4,"⚠ กรอกไม่ครบ",IF(NOT(ISNUMBER(B4329)),"⚠ วันที่ไม่ถูกต้อง",IF(COUNTIFS(Setup!$L$6:$L$60,D4329,Setup!$M$6:$M$60,C4329)=0,"⚠ หมวดไม่ตรงประเภท","✓"))))</f>
        <v/>
      </c>
    </row>
    <row r="4330">
      <c r="B4330" s="113" t="n"/>
      <c r="C4330" s="114" t="n"/>
      <c r="D4330" s="115" t="n"/>
      <c r="E4330" s="116" t="n"/>
      <c r="F4330" s="115" t="n"/>
      <c r="G4330" s="117">
        <f>IF(COUNTA(B4330:E4330)=0,"",IF(COUNTA(B4330:E4330)&lt;4,"⚠ กรอกไม่ครบ",IF(NOT(ISNUMBER(B4330)),"⚠ วันที่ไม่ถูกต้อง",IF(COUNTIFS(Setup!$L$6:$L$60,D4330,Setup!$M$6:$M$60,C4330)=0,"⚠ หมวดไม่ตรงประเภท","✓"))))</f>
        <v/>
      </c>
    </row>
    <row r="4331">
      <c r="B4331" s="113" t="n"/>
      <c r="C4331" s="114" t="n"/>
      <c r="D4331" s="115" t="n"/>
      <c r="E4331" s="116" t="n"/>
      <c r="F4331" s="115" t="n"/>
      <c r="G4331" s="117">
        <f>IF(COUNTA(B4331:E4331)=0,"",IF(COUNTA(B4331:E4331)&lt;4,"⚠ กรอกไม่ครบ",IF(NOT(ISNUMBER(B4331)),"⚠ วันที่ไม่ถูกต้อง",IF(COUNTIFS(Setup!$L$6:$L$60,D4331,Setup!$M$6:$M$60,C4331)=0,"⚠ หมวดไม่ตรงประเภท","✓"))))</f>
        <v/>
      </c>
    </row>
    <row r="4332">
      <c r="B4332" s="113" t="n"/>
      <c r="C4332" s="114" t="n"/>
      <c r="D4332" s="115" t="n"/>
      <c r="E4332" s="116" t="n"/>
      <c r="F4332" s="115" t="n"/>
      <c r="G4332" s="117">
        <f>IF(COUNTA(B4332:E4332)=0,"",IF(COUNTA(B4332:E4332)&lt;4,"⚠ กรอกไม่ครบ",IF(NOT(ISNUMBER(B4332)),"⚠ วันที่ไม่ถูกต้อง",IF(COUNTIFS(Setup!$L$6:$L$60,D4332,Setup!$M$6:$M$60,C4332)=0,"⚠ หมวดไม่ตรงประเภท","✓"))))</f>
        <v/>
      </c>
    </row>
    <row r="4333">
      <c r="B4333" s="113" t="n"/>
      <c r="C4333" s="114" t="n"/>
      <c r="D4333" s="115" t="n"/>
      <c r="E4333" s="116" t="n"/>
      <c r="F4333" s="115" t="n"/>
      <c r="G4333" s="117">
        <f>IF(COUNTA(B4333:E4333)=0,"",IF(COUNTA(B4333:E4333)&lt;4,"⚠ กรอกไม่ครบ",IF(NOT(ISNUMBER(B4333)),"⚠ วันที่ไม่ถูกต้อง",IF(COUNTIFS(Setup!$L$6:$L$60,D4333,Setup!$M$6:$M$60,C4333)=0,"⚠ หมวดไม่ตรงประเภท","✓"))))</f>
        <v/>
      </c>
    </row>
    <row r="4334">
      <c r="B4334" s="113" t="n"/>
      <c r="C4334" s="114" t="n"/>
      <c r="D4334" s="115" t="n"/>
      <c r="E4334" s="116" t="n"/>
      <c r="F4334" s="115" t="n"/>
      <c r="G4334" s="117">
        <f>IF(COUNTA(B4334:E4334)=0,"",IF(COUNTA(B4334:E4334)&lt;4,"⚠ กรอกไม่ครบ",IF(NOT(ISNUMBER(B4334)),"⚠ วันที่ไม่ถูกต้อง",IF(COUNTIFS(Setup!$L$6:$L$60,D4334,Setup!$M$6:$M$60,C4334)=0,"⚠ หมวดไม่ตรงประเภท","✓"))))</f>
        <v/>
      </c>
    </row>
    <row r="4335">
      <c r="B4335" s="113" t="n"/>
      <c r="C4335" s="114" t="n"/>
      <c r="D4335" s="115" t="n"/>
      <c r="E4335" s="116" t="n"/>
      <c r="F4335" s="115" t="n"/>
      <c r="G4335" s="117">
        <f>IF(COUNTA(B4335:E4335)=0,"",IF(COUNTA(B4335:E4335)&lt;4,"⚠ กรอกไม่ครบ",IF(NOT(ISNUMBER(B4335)),"⚠ วันที่ไม่ถูกต้อง",IF(COUNTIFS(Setup!$L$6:$L$60,D4335,Setup!$M$6:$M$60,C4335)=0,"⚠ หมวดไม่ตรงประเภท","✓"))))</f>
        <v/>
      </c>
    </row>
    <row r="4336">
      <c r="B4336" s="113" t="n"/>
      <c r="C4336" s="114" t="n"/>
      <c r="D4336" s="115" t="n"/>
      <c r="E4336" s="116" t="n"/>
      <c r="F4336" s="115" t="n"/>
      <c r="G4336" s="117">
        <f>IF(COUNTA(B4336:E4336)=0,"",IF(COUNTA(B4336:E4336)&lt;4,"⚠ กรอกไม่ครบ",IF(NOT(ISNUMBER(B4336)),"⚠ วันที่ไม่ถูกต้อง",IF(COUNTIFS(Setup!$L$6:$L$60,D4336,Setup!$M$6:$M$60,C4336)=0,"⚠ หมวดไม่ตรงประเภท","✓"))))</f>
        <v/>
      </c>
    </row>
    <row r="4337">
      <c r="B4337" s="113" t="n"/>
      <c r="C4337" s="114" t="n"/>
      <c r="D4337" s="115" t="n"/>
      <c r="E4337" s="116" t="n"/>
      <c r="F4337" s="115" t="n"/>
      <c r="G4337" s="117">
        <f>IF(COUNTA(B4337:E4337)=0,"",IF(COUNTA(B4337:E4337)&lt;4,"⚠ กรอกไม่ครบ",IF(NOT(ISNUMBER(B4337)),"⚠ วันที่ไม่ถูกต้อง",IF(COUNTIFS(Setup!$L$6:$L$60,D4337,Setup!$M$6:$M$60,C4337)=0,"⚠ หมวดไม่ตรงประเภท","✓"))))</f>
        <v/>
      </c>
    </row>
    <row r="4338">
      <c r="B4338" s="113" t="n"/>
      <c r="C4338" s="114" t="n"/>
      <c r="D4338" s="115" t="n"/>
      <c r="E4338" s="116" t="n"/>
      <c r="F4338" s="115" t="n"/>
      <c r="G4338" s="117">
        <f>IF(COUNTA(B4338:E4338)=0,"",IF(COUNTA(B4338:E4338)&lt;4,"⚠ กรอกไม่ครบ",IF(NOT(ISNUMBER(B4338)),"⚠ วันที่ไม่ถูกต้อง",IF(COUNTIFS(Setup!$L$6:$L$60,D4338,Setup!$M$6:$M$60,C4338)=0,"⚠ หมวดไม่ตรงประเภท","✓"))))</f>
        <v/>
      </c>
    </row>
    <row r="4339">
      <c r="B4339" s="113" t="n"/>
      <c r="C4339" s="114" t="n"/>
      <c r="D4339" s="115" t="n"/>
      <c r="E4339" s="116" t="n"/>
      <c r="F4339" s="115" t="n"/>
      <c r="G4339" s="117">
        <f>IF(COUNTA(B4339:E4339)=0,"",IF(COUNTA(B4339:E4339)&lt;4,"⚠ กรอกไม่ครบ",IF(NOT(ISNUMBER(B4339)),"⚠ วันที่ไม่ถูกต้อง",IF(COUNTIFS(Setup!$L$6:$L$60,D4339,Setup!$M$6:$M$60,C4339)=0,"⚠ หมวดไม่ตรงประเภท","✓"))))</f>
        <v/>
      </c>
    </row>
    <row r="4340">
      <c r="B4340" s="113" t="n"/>
      <c r="C4340" s="114" t="n"/>
      <c r="D4340" s="115" t="n"/>
      <c r="E4340" s="116" t="n"/>
      <c r="F4340" s="115" t="n"/>
      <c r="G4340" s="117">
        <f>IF(COUNTA(B4340:E4340)=0,"",IF(COUNTA(B4340:E4340)&lt;4,"⚠ กรอกไม่ครบ",IF(NOT(ISNUMBER(B4340)),"⚠ วันที่ไม่ถูกต้อง",IF(COUNTIFS(Setup!$L$6:$L$60,D4340,Setup!$M$6:$M$60,C4340)=0,"⚠ หมวดไม่ตรงประเภท","✓"))))</f>
        <v/>
      </c>
    </row>
    <row r="4341">
      <c r="B4341" s="113" t="n"/>
      <c r="C4341" s="114" t="n"/>
      <c r="D4341" s="115" t="n"/>
      <c r="E4341" s="116" t="n"/>
      <c r="F4341" s="115" t="n"/>
      <c r="G4341" s="117">
        <f>IF(COUNTA(B4341:E4341)=0,"",IF(COUNTA(B4341:E4341)&lt;4,"⚠ กรอกไม่ครบ",IF(NOT(ISNUMBER(B4341)),"⚠ วันที่ไม่ถูกต้อง",IF(COUNTIFS(Setup!$L$6:$L$60,D4341,Setup!$M$6:$M$60,C4341)=0,"⚠ หมวดไม่ตรงประเภท","✓"))))</f>
        <v/>
      </c>
    </row>
    <row r="4342">
      <c r="B4342" s="113" t="n"/>
      <c r="C4342" s="114" t="n"/>
      <c r="D4342" s="115" t="n"/>
      <c r="E4342" s="116" t="n"/>
      <c r="F4342" s="115" t="n"/>
      <c r="G4342" s="117">
        <f>IF(COUNTA(B4342:E4342)=0,"",IF(COUNTA(B4342:E4342)&lt;4,"⚠ กรอกไม่ครบ",IF(NOT(ISNUMBER(B4342)),"⚠ วันที่ไม่ถูกต้อง",IF(COUNTIFS(Setup!$L$6:$L$60,D4342,Setup!$M$6:$M$60,C4342)=0,"⚠ หมวดไม่ตรงประเภท","✓"))))</f>
        <v/>
      </c>
    </row>
    <row r="4343">
      <c r="B4343" s="113" t="n"/>
      <c r="C4343" s="114" t="n"/>
      <c r="D4343" s="115" t="n"/>
      <c r="E4343" s="116" t="n"/>
      <c r="F4343" s="115" t="n"/>
      <c r="G4343" s="117">
        <f>IF(COUNTA(B4343:E4343)=0,"",IF(COUNTA(B4343:E4343)&lt;4,"⚠ กรอกไม่ครบ",IF(NOT(ISNUMBER(B4343)),"⚠ วันที่ไม่ถูกต้อง",IF(COUNTIFS(Setup!$L$6:$L$60,D4343,Setup!$M$6:$M$60,C4343)=0,"⚠ หมวดไม่ตรงประเภท","✓"))))</f>
        <v/>
      </c>
    </row>
    <row r="4344">
      <c r="B4344" s="113" t="n"/>
      <c r="C4344" s="114" t="n"/>
      <c r="D4344" s="115" t="n"/>
      <c r="E4344" s="116" t="n"/>
      <c r="F4344" s="115" t="n"/>
      <c r="G4344" s="117">
        <f>IF(COUNTA(B4344:E4344)=0,"",IF(COUNTA(B4344:E4344)&lt;4,"⚠ กรอกไม่ครบ",IF(NOT(ISNUMBER(B4344)),"⚠ วันที่ไม่ถูกต้อง",IF(COUNTIFS(Setup!$L$6:$L$60,D4344,Setup!$M$6:$M$60,C4344)=0,"⚠ หมวดไม่ตรงประเภท","✓"))))</f>
        <v/>
      </c>
    </row>
    <row r="4345">
      <c r="B4345" s="113" t="n"/>
      <c r="C4345" s="114" t="n"/>
      <c r="D4345" s="115" t="n"/>
      <c r="E4345" s="116" t="n"/>
      <c r="F4345" s="115" t="n"/>
      <c r="G4345" s="117">
        <f>IF(COUNTA(B4345:E4345)=0,"",IF(COUNTA(B4345:E4345)&lt;4,"⚠ กรอกไม่ครบ",IF(NOT(ISNUMBER(B4345)),"⚠ วันที่ไม่ถูกต้อง",IF(COUNTIFS(Setup!$L$6:$L$60,D4345,Setup!$M$6:$M$60,C4345)=0,"⚠ หมวดไม่ตรงประเภท","✓"))))</f>
        <v/>
      </c>
    </row>
    <row r="4346">
      <c r="B4346" s="113" t="n"/>
      <c r="C4346" s="114" t="n"/>
      <c r="D4346" s="115" t="n"/>
      <c r="E4346" s="116" t="n"/>
      <c r="F4346" s="115" t="n"/>
      <c r="G4346" s="117">
        <f>IF(COUNTA(B4346:E4346)=0,"",IF(COUNTA(B4346:E4346)&lt;4,"⚠ กรอกไม่ครบ",IF(NOT(ISNUMBER(B4346)),"⚠ วันที่ไม่ถูกต้อง",IF(COUNTIFS(Setup!$L$6:$L$60,D4346,Setup!$M$6:$M$60,C4346)=0,"⚠ หมวดไม่ตรงประเภท","✓"))))</f>
        <v/>
      </c>
    </row>
    <row r="4347">
      <c r="B4347" s="113" t="n"/>
      <c r="C4347" s="114" t="n"/>
      <c r="D4347" s="115" t="n"/>
      <c r="E4347" s="116" t="n"/>
      <c r="F4347" s="115" t="n"/>
      <c r="G4347" s="117">
        <f>IF(COUNTA(B4347:E4347)=0,"",IF(COUNTA(B4347:E4347)&lt;4,"⚠ กรอกไม่ครบ",IF(NOT(ISNUMBER(B4347)),"⚠ วันที่ไม่ถูกต้อง",IF(COUNTIFS(Setup!$L$6:$L$60,D4347,Setup!$M$6:$M$60,C4347)=0,"⚠ หมวดไม่ตรงประเภท","✓"))))</f>
        <v/>
      </c>
    </row>
    <row r="4348">
      <c r="B4348" s="113" t="n"/>
      <c r="C4348" s="114" t="n"/>
      <c r="D4348" s="115" t="n"/>
      <c r="E4348" s="116" t="n"/>
      <c r="F4348" s="115" t="n"/>
      <c r="G4348" s="117">
        <f>IF(COUNTA(B4348:E4348)=0,"",IF(COUNTA(B4348:E4348)&lt;4,"⚠ กรอกไม่ครบ",IF(NOT(ISNUMBER(B4348)),"⚠ วันที่ไม่ถูกต้อง",IF(COUNTIFS(Setup!$L$6:$L$60,D4348,Setup!$M$6:$M$60,C4348)=0,"⚠ หมวดไม่ตรงประเภท","✓"))))</f>
        <v/>
      </c>
    </row>
    <row r="4349">
      <c r="B4349" s="113" t="n"/>
      <c r="C4349" s="114" t="n"/>
      <c r="D4349" s="115" t="n"/>
      <c r="E4349" s="116" t="n"/>
      <c r="F4349" s="115" t="n"/>
      <c r="G4349" s="117">
        <f>IF(COUNTA(B4349:E4349)=0,"",IF(COUNTA(B4349:E4349)&lt;4,"⚠ กรอกไม่ครบ",IF(NOT(ISNUMBER(B4349)),"⚠ วันที่ไม่ถูกต้อง",IF(COUNTIFS(Setup!$L$6:$L$60,D4349,Setup!$M$6:$M$60,C4349)=0,"⚠ หมวดไม่ตรงประเภท","✓"))))</f>
        <v/>
      </c>
    </row>
    <row r="4350">
      <c r="B4350" s="113" t="n"/>
      <c r="C4350" s="114" t="n"/>
      <c r="D4350" s="115" t="n"/>
      <c r="E4350" s="116" t="n"/>
      <c r="F4350" s="115" t="n"/>
      <c r="G4350" s="117">
        <f>IF(COUNTA(B4350:E4350)=0,"",IF(COUNTA(B4350:E4350)&lt;4,"⚠ กรอกไม่ครบ",IF(NOT(ISNUMBER(B4350)),"⚠ วันที่ไม่ถูกต้อง",IF(COUNTIFS(Setup!$L$6:$L$60,D4350,Setup!$M$6:$M$60,C4350)=0,"⚠ หมวดไม่ตรงประเภท","✓"))))</f>
        <v/>
      </c>
    </row>
    <row r="4351">
      <c r="B4351" s="113" t="n"/>
      <c r="C4351" s="114" t="n"/>
      <c r="D4351" s="115" t="n"/>
      <c r="E4351" s="116" t="n"/>
      <c r="F4351" s="115" t="n"/>
      <c r="G4351" s="117">
        <f>IF(COUNTA(B4351:E4351)=0,"",IF(COUNTA(B4351:E4351)&lt;4,"⚠ กรอกไม่ครบ",IF(NOT(ISNUMBER(B4351)),"⚠ วันที่ไม่ถูกต้อง",IF(COUNTIFS(Setup!$L$6:$L$60,D4351,Setup!$M$6:$M$60,C4351)=0,"⚠ หมวดไม่ตรงประเภท","✓"))))</f>
        <v/>
      </c>
    </row>
    <row r="4352">
      <c r="B4352" s="113" t="n"/>
      <c r="C4352" s="114" t="n"/>
      <c r="D4352" s="115" t="n"/>
      <c r="E4352" s="116" t="n"/>
      <c r="F4352" s="115" t="n"/>
      <c r="G4352" s="117">
        <f>IF(COUNTA(B4352:E4352)=0,"",IF(COUNTA(B4352:E4352)&lt;4,"⚠ กรอกไม่ครบ",IF(NOT(ISNUMBER(B4352)),"⚠ วันที่ไม่ถูกต้อง",IF(COUNTIFS(Setup!$L$6:$L$60,D4352,Setup!$M$6:$M$60,C4352)=0,"⚠ หมวดไม่ตรงประเภท","✓"))))</f>
        <v/>
      </c>
    </row>
    <row r="4353">
      <c r="B4353" s="113" t="n"/>
      <c r="C4353" s="114" t="n"/>
      <c r="D4353" s="115" t="n"/>
      <c r="E4353" s="116" t="n"/>
      <c r="F4353" s="115" t="n"/>
      <c r="G4353" s="117">
        <f>IF(COUNTA(B4353:E4353)=0,"",IF(COUNTA(B4353:E4353)&lt;4,"⚠ กรอกไม่ครบ",IF(NOT(ISNUMBER(B4353)),"⚠ วันที่ไม่ถูกต้อง",IF(COUNTIFS(Setup!$L$6:$L$60,D4353,Setup!$M$6:$M$60,C4353)=0,"⚠ หมวดไม่ตรงประเภท","✓"))))</f>
        <v/>
      </c>
    </row>
    <row r="4354">
      <c r="B4354" s="113" t="n"/>
      <c r="C4354" s="114" t="n"/>
      <c r="D4354" s="115" t="n"/>
      <c r="E4354" s="116" t="n"/>
      <c r="F4354" s="115" t="n"/>
      <c r="G4354" s="117">
        <f>IF(COUNTA(B4354:E4354)=0,"",IF(COUNTA(B4354:E4354)&lt;4,"⚠ กรอกไม่ครบ",IF(NOT(ISNUMBER(B4354)),"⚠ วันที่ไม่ถูกต้อง",IF(COUNTIFS(Setup!$L$6:$L$60,D4354,Setup!$M$6:$M$60,C4354)=0,"⚠ หมวดไม่ตรงประเภท","✓"))))</f>
        <v/>
      </c>
    </row>
    <row r="4355">
      <c r="B4355" s="113" t="n"/>
      <c r="C4355" s="114" t="n"/>
      <c r="D4355" s="115" t="n"/>
      <c r="E4355" s="116" t="n"/>
      <c r="F4355" s="115" t="n"/>
      <c r="G4355" s="117">
        <f>IF(COUNTA(B4355:E4355)=0,"",IF(COUNTA(B4355:E4355)&lt;4,"⚠ กรอกไม่ครบ",IF(NOT(ISNUMBER(B4355)),"⚠ วันที่ไม่ถูกต้อง",IF(COUNTIFS(Setup!$L$6:$L$60,D4355,Setup!$M$6:$M$60,C4355)=0,"⚠ หมวดไม่ตรงประเภท","✓"))))</f>
        <v/>
      </c>
    </row>
    <row r="4356">
      <c r="B4356" s="113" t="n"/>
      <c r="C4356" s="114" t="n"/>
      <c r="D4356" s="115" t="n"/>
      <c r="E4356" s="116" t="n"/>
      <c r="F4356" s="115" t="n"/>
      <c r="G4356" s="117">
        <f>IF(COUNTA(B4356:E4356)=0,"",IF(COUNTA(B4356:E4356)&lt;4,"⚠ กรอกไม่ครบ",IF(NOT(ISNUMBER(B4356)),"⚠ วันที่ไม่ถูกต้อง",IF(COUNTIFS(Setup!$L$6:$L$60,D4356,Setup!$M$6:$M$60,C4356)=0,"⚠ หมวดไม่ตรงประเภท","✓"))))</f>
        <v/>
      </c>
    </row>
    <row r="4357">
      <c r="B4357" s="113" t="n"/>
      <c r="C4357" s="114" t="n"/>
      <c r="D4357" s="115" t="n"/>
      <c r="E4357" s="116" t="n"/>
      <c r="F4357" s="115" t="n"/>
      <c r="G4357" s="117">
        <f>IF(COUNTA(B4357:E4357)=0,"",IF(COUNTA(B4357:E4357)&lt;4,"⚠ กรอกไม่ครบ",IF(NOT(ISNUMBER(B4357)),"⚠ วันที่ไม่ถูกต้อง",IF(COUNTIFS(Setup!$L$6:$L$60,D4357,Setup!$M$6:$M$60,C4357)=0,"⚠ หมวดไม่ตรงประเภท","✓"))))</f>
        <v/>
      </c>
    </row>
    <row r="4358">
      <c r="B4358" s="113" t="n"/>
      <c r="C4358" s="114" t="n"/>
      <c r="D4358" s="115" t="n"/>
      <c r="E4358" s="116" t="n"/>
      <c r="F4358" s="115" t="n"/>
      <c r="G4358" s="117">
        <f>IF(COUNTA(B4358:E4358)=0,"",IF(COUNTA(B4358:E4358)&lt;4,"⚠ กรอกไม่ครบ",IF(NOT(ISNUMBER(B4358)),"⚠ วันที่ไม่ถูกต้อง",IF(COUNTIFS(Setup!$L$6:$L$60,D4358,Setup!$M$6:$M$60,C4358)=0,"⚠ หมวดไม่ตรงประเภท","✓"))))</f>
        <v/>
      </c>
    </row>
    <row r="4359">
      <c r="B4359" s="113" t="n"/>
      <c r="C4359" s="114" t="n"/>
      <c r="D4359" s="115" t="n"/>
      <c r="E4359" s="116" t="n"/>
      <c r="F4359" s="115" t="n"/>
      <c r="G4359" s="117">
        <f>IF(COUNTA(B4359:E4359)=0,"",IF(COUNTA(B4359:E4359)&lt;4,"⚠ กรอกไม่ครบ",IF(NOT(ISNUMBER(B4359)),"⚠ วันที่ไม่ถูกต้อง",IF(COUNTIFS(Setup!$L$6:$L$60,D4359,Setup!$M$6:$M$60,C4359)=0,"⚠ หมวดไม่ตรงประเภท","✓"))))</f>
        <v/>
      </c>
    </row>
    <row r="4360">
      <c r="B4360" s="113" t="n"/>
      <c r="C4360" s="114" t="n"/>
      <c r="D4360" s="115" t="n"/>
      <c r="E4360" s="116" t="n"/>
      <c r="F4360" s="115" t="n"/>
      <c r="G4360" s="117">
        <f>IF(COUNTA(B4360:E4360)=0,"",IF(COUNTA(B4360:E4360)&lt;4,"⚠ กรอกไม่ครบ",IF(NOT(ISNUMBER(B4360)),"⚠ วันที่ไม่ถูกต้อง",IF(COUNTIFS(Setup!$L$6:$L$60,D4360,Setup!$M$6:$M$60,C4360)=0,"⚠ หมวดไม่ตรงประเภท","✓"))))</f>
        <v/>
      </c>
    </row>
    <row r="4361">
      <c r="B4361" s="113" t="n"/>
      <c r="C4361" s="114" t="n"/>
      <c r="D4361" s="115" t="n"/>
      <c r="E4361" s="116" t="n"/>
      <c r="F4361" s="115" t="n"/>
      <c r="G4361" s="117">
        <f>IF(COUNTA(B4361:E4361)=0,"",IF(COUNTA(B4361:E4361)&lt;4,"⚠ กรอกไม่ครบ",IF(NOT(ISNUMBER(B4361)),"⚠ วันที่ไม่ถูกต้อง",IF(COUNTIFS(Setup!$L$6:$L$60,D4361,Setup!$M$6:$M$60,C4361)=0,"⚠ หมวดไม่ตรงประเภท","✓"))))</f>
        <v/>
      </c>
    </row>
    <row r="4362">
      <c r="B4362" s="113" t="n"/>
      <c r="C4362" s="114" t="n"/>
      <c r="D4362" s="115" t="n"/>
      <c r="E4362" s="116" t="n"/>
      <c r="F4362" s="115" t="n"/>
      <c r="G4362" s="117">
        <f>IF(COUNTA(B4362:E4362)=0,"",IF(COUNTA(B4362:E4362)&lt;4,"⚠ กรอกไม่ครบ",IF(NOT(ISNUMBER(B4362)),"⚠ วันที่ไม่ถูกต้อง",IF(COUNTIFS(Setup!$L$6:$L$60,D4362,Setup!$M$6:$M$60,C4362)=0,"⚠ หมวดไม่ตรงประเภท","✓"))))</f>
        <v/>
      </c>
    </row>
    <row r="4363">
      <c r="B4363" s="113" t="n"/>
      <c r="C4363" s="114" t="n"/>
      <c r="D4363" s="115" t="n"/>
      <c r="E4363" s="116" t="n"/>
      <c r="F4363" s="115" t="n"/>
      <c r="G4363" s="117">
        <f>IF(COUNTA(B4363:E4363)=0,"",IF(COUNTA(B4363:E4363)&lt;4,"⚠ กรอกไม่ครบ",IF(NOT(ISNUMBER(B4363)),"⚠ วันที่ไม่ถูกต้อง",IF(COUNTIFS(Setup!$L$6:$L$60,D4363,Setup!$M$6:$M$60,C4363)=0,"⚠ หมวดไม่ตรงประเภท","✓"))))</f>
        <v/>
      </c>
    </row>
    <row r="4364">
      <c r="B4364" s="113" t="n"/>
      <c r="C4364" s="114" t="n"/>
      <c r="D4364" s="115" t="n"/>
      <c r="E4364" s="116" t="n"/>
      <c r="F4364" s="115" t="n"/>
      <c r="G4364" s="117">
        <f>IF(COUNTA(B4364:E4364)=0,"",IF(COUNTA(B4364:E4364)&lt;4,"⚠ กรอกไม่ครบ",IF(NOT(ISNUMBER(B4364)),"⚠ วันที่ไม่ถูกต้อง",IF(COUNTIFS(Setup!$L$6:$L$60,D4364,Setup!$M$6:$M$60,C4364)=0,"⚠ หมวดไม่ตรงประเภท","✓"))))</f>
        <v/>
      </c>
    </row>
    <row r="4365">
      <c r="B4365" s="113" t="n"/>
      <c r="C4365" s="114" t="n"/>
      <c r="D4365" s="115" t="n"/>
      <c r="E4365" s="116" t="n"/>
      <c r="F4365" s="115" t="n"/>
      <c r="G4365" s="117">
        <f>IF(COUNTA(B4365:E4365)=0,"",IF(COUNTA(B4365:E4365)&lt;4,"⚠ กรอกไม่ครบ",IF(NOT(ISNUMBER(B4365)),"⚠ วันที่ไม่ถูกต้อง",IF(COUNTIFS(Setup!$L$6:$L$60,D4365,Setup!$M$6:$M$60,C4365)=0,"⚠ หมวดไม่ตรงประเภท","✓"))))</f>
        <v/>
      </c>
    </row>
    <row r="4366">
      <c r="B4366" s="113" t="n"/>
      <c r="C4366" s="114" t="n"/>
      <c r="D4366" s="115" t="n"/>
      <c r="E4366" s="116" t="n"/>
      <c r="F4366" s="115" t="n"/>
      <c r="G4366" s="117">
        <f>IF(COUNTA(B4366:E4366)=0,"",IF(COUNTA(B4366:E4366)&lt;4,"⚠ กรอกไม่ครบ",IF(NOT(ISNUMBER(B4366)),"⚠ วันที่ไม่ถูกต้อง",IF(COUNTIFS(Setup!$L$6:$L$60,D4366,Setup!$M$6:$M$60,C4366)=0,"⚠ หมวดไม่ตรงประเภท","✓"))))</f>
        <v/>
      </c>
    </row>
    <row r="4367">
      <c r="B4367" s="113" t="n"/>
      <c r="C4367" s="114" t="n"/>
      <c r="D4367" s="115" t="n"/>
      <c r="E4367" s="116" t="n"/>
      <c r="F4367" s="115" t="n"/>
      <c r="G4367" s="117">
        <f>IF(COUNTA(B4367:E4367)=0,"",IF(COUNTA(B4367:E4367)&lt;4,"⚠ กรอกไม่ครบ",IF(NOT(ISNUMBER(B4367)),"⚠ วันที่ไม่ถูกต้อง",IF(COUNTIFS(Setup!$L$6:$L$60,D4367,Setup!$M$6:$M$60,C4367)=0,"⚠ หมวดไม่ตรงประเภท","✓"))))</f>
        <v/>
      </c>
    </row>
    <row r="4368">
      <c r="B4368" s="113" t="n"/>
      <c r="C4368" s="114" t="n"/>
      <c r="D4368" s="115" t="n"/>
      <c r="E4368" s="116" t="n"/>
      <c r="F4368" s="115" t="n"/>
      <c r="G4368" s="117">
        <f>IF(COUNTA(B4368:E4368)=0,"",IF(COUNTA(B4368:E4368)&lt;4,"⚠ กรอกไม่ครบ",IF(NOT(ISNUMBER(B4368)),"⚠ วันที่ไม่ถูกต้อง",IF(COUNTIFS(Setup!$L$6:$L$60,D4368,Setup!$M$6:$M$60,C4368)=0,"⚠ หมวดไม่ตรงประเภท","✓"))))</f>
        <v/>
      </c>
    </row>
    <row r="4369">
      <c r="B4369" s="113" t="n"/>
      <c r="C4369" s="114" t="n"/>
      <c r="D4369" s="115" t="n"/>
      <c r="E4369" s="116" t="n"/>
      <c r="F4369" s="115" t="n"/>
      <c r="G4369" s="117">
        <f>IF(COUNTA(B4369:E4369)=0,"",IF(COUNTA(B4369:E4369)&lt;4,"⚠ กรอกไม่ครบ",IF(NOT(ISNUMBER(B4369)),"⚠ วันที่ไม่ถูกต้อง",IF(COUNTIFS(Setup!$L$6:$L$60,D4369,Setup!$M$6:$M$60,C4369)=0,"⚠ หมวดไม่ตรงประเภท","✓"))))</f>
        <v/>
      </c>
    </row>
    <row r="4370">
      <c r="B4370" s="113" t="n"/>
      <c r="C4370" s="114" t="n"/>
      <c r="D4370" s="115" t="n"/>
      <c r="E4370" s="116" t="n"/>
      <c r="F4370" s="115" t="n"/>
      <c r="G4370" s="117">
        <f>IF(COUNTA(B4370:E4370)=0,"",IF(COUNTA(B4370:E4370)&lt;4,"⚠ กรอกไม่ครบ",IF(NOT(ISNUMBER(B4370)),"⚠ วันที่ไม่ถูกต้อง",IF(COUNTIFS(Setup!$L$6:$L$60,D4370,Setup!$M$6:$M$60,C4370)=0,"⚠ หมวดไม่ตรงประเภท","✓"))))</f>
        <v/>
      </c>
    </row>
    <row r="4371">
      <c r="B4371" s="113" t="n"/>
      <c r="C4371" s="114" t="n"/>
      <c r="D4371" s="115" t="n"/>
      <c r="E4371" s="116" t="n"/>
      <c r="F4371" s="115" t="n"/>
      <c r="G4371" s="117">
        <f>IF(COUNTA(B4371:E4371)=0,"",IF(COUNTA(B4371:E4371)&lt;4,"⚠ กรอกไม่ครบ",IF(NOT(ISNUMBER(B4371)),"⚠ วันที่ไม่ถูกต้อง",IF(COUNTIFS(Setup!$L$6:$L$60,D4371,Setup!$M$6:$M$60,C4371)=0,"⚠ หมวดไม่ตรงประเภท","✓"))))</f>
        <v/>
      </c>
    </row>
    <row r="4372">
      <c r="B4372" s="113" t="n"/>
      <c r="C4372" s="114" t="n"/>
      <c r="D4372" s="115" t="n"/>
      <c r="E4372" s="116" t="n"/>
      <c r="F4372" s="115" t="n"/>
      <c r="G4372" s="117">
        <f>IF(COUNTA(B4372:E4372)=0,"",IF(COUNTA(B4372:E4372)&lt;4,"⚠ กรอกไม่ครบ",IF(NOT(ISNUMBER(B4372)),"⚠ วันที่ไม่ถูกต้อง",IF(COUNTIFS(Setup!$L$6:$L$60,D4372,Setup!$M$6:$M$60,C4372)=0,"⚠ หมวดไม่ตรงประเภท","✓"))))</f>
        <v/>
      </c>
    </row>
    <row r="4373">
      <c r="B4373" s="113" t="n"/>
      <c r="C4373" s="114" t="n"/>
      <c r="D4373" s="115" t="n"/>
      <c r="E4373" s="116" t="n"/>
      <c r="F4373" s="115" t="n"/>
      <c r="G4373" s="117">
        <f>IF(COUNTA(B4373:E4373)=0,"",IF(COUNTA(B4373:E4373)&lt;4,"⚠ กรอกไม่ครบ",IF(NOT(ISNUMBER(B4373)),"⚠ วันที่ไม่ถูกต้อง",IF(COUNTIFS(Setup!$L$6:$L$60,D4373,Setup!$M$6:$M$60,C4373)=0,"⚠ หมวดไม่ตรงประเภท","✓"))))</f>
        <v/>
      </c>
    </row>
    <row r="4374">
      <c r="B4374" s="113" t="n"/>
      <c r="C4374" s="114" t="n"/>
      <c r="D4374" s="115" t="n"/>
      <c r="E4374" s="116" t="n"/>
      <c r="F4374" s="115" t="n"/>
      <c r="G4374" s="117">
        <f>IF(COUNTA(B4374:E4374)=0,"",IF(COUNTA(B4374:E4374)&lt;4,"⚠ กรอกไม่ครบ",IF(NOT(ISNUMBER(B4374)),"⚠ วันที่ไม่ถูกต้อง",IF(COUNTIFS(Setup!$L$6:$L$60,D4374,Setup!$M$6:$M$60,C4374)=0,"⚠ หมวดไม่ตรงประเภท","✓"))))</f>
        <v/>
      </c>
    </row>
    <row r="4375">
      <c r="B4375" s="113" t="n"/>
      <c r="C4375" s="114" t="n"/>
      <c r="D4375" s="115" t="n"/>
      <c r="E4375" s="116" t="n"/>
      <c r="F4375" s="115" t="n"/>
      <c r="G4375" s="117">
        <f>IF(COUNTA(B4375:E4375)=0,"",IF(COUNTA(B4375:E4375)&lt;4,"⚠ กรอกไม่ครบ",IF(NOT(ISNUMBER(B4375)),"⚠ วันที่ไม่ถูกต้อง",IF(COUNTIFS(Setup!$L$6:$L$60,D4375,Setup!$M$6:$M$60,C4375)=0,"⚠ หมวดไม่ตรงประเภท","✓"))))</f>
        <v/>
      </c>
    </row>
    <row r="4376">
      <c r="B4376" s="113" t="n"/>
      <c r="C4376" s="114" t="n"/>
      <c r="D4376" s="115" t="n"/>
      <c r="E4376" s="116" t="n"/>
      <c r="F4376" s="115" t="n"/>
      <c r="G4376" s="117">
        <f>IF(COUNTA(B4376:E4376)=0,"",IF(COUNTA(B4376:E4376)&lt;4,"⚠ กรอกไม่ครบ",IF(NOT(ISNUMBER(B4376)),"⚠ วันที่ไม่ถูกต้อง",IF(COUNTIFS(Setup!$L$6:$L$60,D4376,Setup!$M$6:$M$60,C4376)=0,"⚠ หมวดไม่ตรงประเภท","✓"))))</f>
        <v/>
      </c>
    </row>
    <row r="4377">
      <c r="B4377" s="113" t="n"/>
      <c r="C4377" s="114" t="n"/>
      <c r="D4377" s="115" t="n"/>
      <c r="E4377" s="116" t="n"/>
      <c r="F4377" s="115" t="n"/>
      <c r="G4377" s="117">
        <f>IF(COUNTA(B4377:E4377)=0,"",IF(COUNTA(B4377:E4377)&lt;4,"⚠ กรอกไม่ครบ",IF(NOT(ISNUMBER(B4377)),"⚠ วันที่ไม่ถูกต้อง",IF(COUNTIFS(Setup!$L$6:$L$60,D4377,Setup!$M$6:$M$60,C4377)=0,"⚠ หมวดไม่ตรงประเภท","✓"))))</f>
        <v/>
      </c>
    </row>
    <row r="4378">
      <c r="B4378" s="113" t="n"/>
      <c r="C4378" s="114" t="n"/>
      <c r="D4378" s="115" t="n"/>
      <c r="E4378" s="116" t="n"/>
      <c r="F4378" s="115" t="n"/>
      <c r="G4378" s="117">
        <f>IF(COUNTA(B4378:E4378)=0,"",IF(COUNTA(B4378:E4378)&lt;4,"⚠ กรอกไม่ครบ",IF(NOT(ISNUMBER(B4378)),"⚠ วันที่ไม่ถูกต้อง",IF(COUNTIFS(Setup!$L$6:$L$60,D4378,Setup!$M$6:$M$60,C4378)=0,"⚠ หมวดไม่ตรงประเภท","✓"))))</f>
        <v/>
      </c>
    </row>
    <row r="4379">
      <c r="B4379" s="113" t="n"/>
      <c r="C4379" s="114" t="n"/>
      <c r="D4379" s="115" t="n"/>
      <c r="E4379" s="116" t="n"/>
      <c r="F4379" s="115" t="n"/>
      <c r="G4379" s="117">
        <f>IF(COUNTA(B4379:E4379)=0,"",IF(COUNTA(B4379:E4379)&lt;4,"⚠ กรอกไม่ครบ",IF(NOT(ISNUMBER(B4379)),"⚠ วันที่ไม่ถูกต้อง",IF(COUNTIFS(Setup!$L$6:$L$60,D4379,Setup!$M$6:$M$60,C4379)=0,"⚠ หมวดไม่ตรงประเภท","✓"))))</f>
        <v/>
      </c>
    </row>
    <row r="4380">
      <c r="B4380" s="113" t="n"/>
      <c r="C4380" s="114" t="n"/>
      <c r="D4380" s="115" t="n"/>
      <c r="E4380" s="116" t="n"/>
      <c r="F4380" s="115" t="n"/>
      <c r="G4380" s="117">
        <f>IF(COUNTA(B4380:E4380)=0,"",IF(COUNTA(B4380:E4380)&lt;4,"⚠ กรอกไม่ครบ",IF(NOT(ISNUMBER(B4380)),"⚠ วันที่ไม่ถูกต้อง",IF(COUNTIFS(Setup!$L$6:$L$60,D4380,Setup!$M$6:$M$60,C4380)=0,"⚠ หมวดไม่ตรงประเภท","✓"))))</f>
        <v/>
      </c>
    </row>
    <row r="4381">
      <c r="B4381" s="113" t="n"/>
      <c r="C4381" s="114" t="n"/>
      <c r="D4381" s="115" t="n"/>
      <c r="E4381" s="116" t="n"/>
      <c r="F4381" s="115" t="n"/>
      <c r="G4381" s="117">
        <f>IF(COUNTA(B4381:E4381)=0,"",IF(COUNTA(B4381:E4381)&lt;4,"⚠ กรอกไม่ครบ",IF(NOT(ISNUMBER(B4381)),"⚠ วันที่ไม่ถูกต้อง",IF(COUNTIFS(Setup!$L$6:$L$60,D4381,Setup!$M$6:$M$60,C4381)=0,"⚠ หมวดไม่ตรงประเภท","✓"))))</f>
        <v/>
      </c>
    </row>
    <row r="4382">
      <c r="B4382" s="113" t="n"/>
      <c r="C4382" s="114" t="n"/>
      <c r="D4382" s="115" t="n"/>
      <c r="E4382" s="116" t="n"/>
      <c r="F4382" s="115" t="n"/>
      <c r="G4382" s="117">
        <f>IF(COUNTA(B4382:E4382)=0,"",IF(COUNTA(B4382:E4382)&lt;4,"⚠ กรอกไม่ครบ",IF(NOT(ISNUMBER(B4382)),"⚠ วันที่ไม่ถูกต้อง",IF(COUNTIFS(Setup!$L$6:$L$60,D4382,Setup!$M$6:$M$60,C4382)=0,"⚠ หมวดไม่ตรงประเภท","✓"))))</f>
        <v/>
      </c>
    </row>
    <row r="4383">
      <c r="B4383" s="113" t="n"/>
      <c r="C4383" s="114" t="n"/>
      <c r="D4383" s="115" t="n"/>
      <c r="E4383" s="116" t="n"/>
      <c r="F4383" s="115" t="n"/>
      <c r="G4383" s="117">
        <f>IF(COUNTA(B4383:E4383)=0,"",IF(COUNTA(B4383:E4383)&lt;4,"⚠ กรอกไม่ครบ",IF(NOT(ISNUMBER(B4383)),"⚠ วันที่ไม่ถูกต้อง",IF(COUNTIFS(Setup!$L$6:$L$60,D4383,Setup!$M$6:$M$60,C4383)=0,"⚠ หมวดไม่ตรงประเภท","✓"))))</f>
        <v/>
      </c>
    </row>
    <row r="4384">
      <c r="B4384" s="113" t="n"/>
      <c r="C4384" s="114" t="n"/>
      <c r="D4384" s="115" t="n"/>
      <c r="E4384" s="116" t="n"/>
      <c r="F4384" s="115" t="n"/>
      <c r="G4384" s="117">
        <f>IF(COUNTA(B4384:E4384)=0,"",IF(COUNTA(B4384:E4384)&lt;4,"⚠ กรอกไม่ครบ",IF(NOT(ISNUMBER(B4384)),"⚠ วันที่ไม่ถูกต้อง",IF(COUNTIFS(Setup!$L$6:$L$60,D4384,Setup!$M$6:$M$60,C4384)=0,"⚠ หมวดไม่ตรงประเภท","✓"))))</f>
        <v/>
      </c>
    </row>
    <row r="4385">
      <c r="B4385" s="113" t="n"/>
      <c r="C4385" s="114" t="n"/>
      <c r="D4385" s="115" t="n"/>
      <c r="E4385" s="116" t="n"/>
      <c r="F4385" s="115" t="n"/>
      <c r="G4385" s="117">
        <f>IF(COUNTA(B4385:E4385)=0,"",IF(COUNTA(B4385:E4385)&lt;4,"⚠ กรอกไม่ครบ",IF(NOT(ISNUMBER(B4385)),"⚠ วันที่ไม่ถูกต้อง",IF(COUNTIFS(Setup!$L$6:$L$60,D4385,Setup!$M$6:$M$60,C4385)=0,"⚠ หมวดไม่ตรงประเภท","✓"))))</f>
        <v/>
      </c>
    </row>
    <row r="4386">
      <c r="B4386" s="113" t="n"/>
      <c r="C4386" s="114" t="n"/>
      <c r="D4386" s="115" t="n"/>
      <c r="E4386" s="116" t="n"/>
      <c r="F4386" s="115" t="n"/>
      <c r="G4386" s="117">
        <f>IF(COUNTA(B4386:E4386)=0,"",IF(COUNTA(B4386:E4386)&lt;4,"⚠ กรอกไม่ครบ",IF(NOT(ISNUMBER(B4386)),"⚠ วันที่ไม่ถูกต้อง",IF(COUNTIFS(Setup!$L$6:$L$60,D4386,Setup!$M$6:$M$60,C4386)=0,"⚠ หมวดไม่ตรงประเภท","✓"))))</f>
        <v/>
      </c>
    </row>
    <row r="4387">
      <c r="B4387" s="113" t="n"/>
      <c r="C4387" s="114" t="n"/>
      <c r="D4387" s="115" t="n"/>
      <c r="E4387" s="116" t="n"/>
      <c r="F4387" s="115" t="n"/>
      <c r="G4387" s="117">
        <f>IF(COUNTA(B4387:E4387)=0,"",IF(COUNTA(B4387:E4387)&lt;4,"⚠ กรอกไม่ครบ",IF(NOT(ISNUMBER(B4387)),"⚠ วันที่ไม่ถูกต้อง",IF(COUNTIFS(Setup!$L$6:$L$60,D4387,Setup!$M$6:$M$60,C4387)=0,"⚠ หมวดไม่ตรงประเภท","✓"))))</f>
        <v/>
      </c>
    </row>
    <row r="4388">
      <c r="B4388" s="113" t="n"/>
      <c r="C4388" s="114" t="n"/>
      <c r="D4388" s="115" t="n"/>
      <c r="E4388" s="116" t="n"/>
      <c r="F4388" s="115" t="n"/>
      <c r="G4388" s="117">
        <f>IF(COUNTA(B4388:E4388)=0,"",IF(COUNTA(B4388:E4388)&lt;4,"⚠ กรอกไม่ครบ",IF(NOT(ISNUMBER(B4388)),"⚠ วันที่ไม่ถูกต้อง",IF(COUNTIFS(Setup!$L$6:$L$60,D4388,Setup!$M$6:$M$60,C4388)=0,"⚠ หมวดไม่ตรงประเภท","✓"))))</f>
        <v/>
      </c>
    </row>
    <row r="4389">
      <c r="B4389" s="113" t="n"/>
      <c r="C4389" s="114" t="n"/>
      <c r="D4389" s="115" t="n"/>
      <c r="E4389" s="116" t="n"/>
      <c r="F4389" s="115" t="n"/>
      <c r="G4389" s="117">
        <f>IF(COUNTA(B4389:E4389)=0,"",IF(COUNTA(B4389:E4389)&lt;4,"⚠ กรอกไม่ครบ",IF(NOT(ISNUMBER(B4389)),"⚠ วันที่ไม่ถูกต้อง",IF(COUNTIFS(Setup!$L$6:$L$60,D4389,Setup!$M$6:$M$60,C4389)=0,"⚠ หมวดไม่ตรงประเภท","✓"))))</f>
        <v/>
      </c>
    </row>
    <row r="4390">
      <c r="B4390" s="113" t="n"/>
      <c r="C4390" s="114" t="n"/>
      <c r="D4390" s="115" t="n"/>
      <c r="E4390" s="116" t="n"/>
      <c r="F4390" s="115" t="n"/>
      <c r="G4390" s="117">
        <f>IF(COUNTA(B4390:E4390)=0,"",IF(COUNTA(B4390:E4390)&lt;4,"⚠ กรอกไม่ครบ",IF(NOT(ISNUMBER(B4390)),"⚠ วันที่ไม่ถูกต้อง",IF(COUNTIFS(Setup!$L$6:$L$60,D4390,Setup!$M$6:$M$60,C4390)=0,"⚠ หมวดไม่ตรงประเภท","✓"))))</f>
        <v/>
      </c>
    </row>
    <row r="4391">
      <c r="B4391" s="113" t="n"/>
      <c r="C4391" s="114" t="n"/>
      <c r="D4391" s="115" t="n"/>
      <c r="E4391" s="116" t="n"/>
      <c r="F4391" s="115" t="n"/>
      <c r="G4391" s="117">
        <f>IF(COUNTA(B4391:E4391)=0,"",IF(COUNTA(B4391:E4391)&lt;4,"⚠ กรอกไม่ครบ",IF(NOT(ISNUMBER(B4391)),"⚠ วันที่ไม่ถูกต้อง",IF(COUNTIFS(Setup!$L$6:$L$60,D4391,Setup!$M$6:$M$60,C4391)=0,"⚠ หมวดไม่ตรงประเภท","✓"))))</f>
        <v/>
      </c>
    </row>
    <row r="4392">
      <c r="B4392" s="113" t="n"/>
      <c r="C4392" s="114" t="n"/>
      <c r="D4392" s="115" t="n"/>
      <c r="E4392" s="116" t="n"/>
      <c r="F4392" s="115" t="n"/>
      <c r="G4392" s="117">
        <f>IF(COUNTA(B4392:E4392)=0,"",IF(COUNTA(B4392:E4392)&lt;4,"⚠ กรอกไม่ครบ",IF(NOT(ISNUMBER(B4392)),"⚠ วันที่ไม่ถูกต้อง",IF(COUNTIFS(Setup!$L$6:$L$60,D4392,Setup!$M$6:$M$60,C4392)=0,"⚠ หมวดไม่ตรงประเภท","✓"))))</f>
        <v/>
      </c>
    </row>
    <row r="4393">
      <c r="B4393" s="113" t="n"/>
      <c r="C4393" s="114" t="n"/>
      <c r="D4393" s="115" t="n"/>
      <c r="E4393" s="116" t="n"/>
      <c r="F4393" s="115" t="n"/>
      <c r="G4393" s="117">
        <f>IF(COUNTA(B4393:E4393)=0,"",IF(COUNTA(B4393:E4393)&lt;4,"⚠ กรอกไม่ครบ",IF(NOT(ISNUMBER(B4393)),"⚠ วันที่ไม่ถูกต้อง",IF(COUNTIFS(Setup!$L$6:$L$60,D4393,Setup!$M$6:$M$60,C4393)=0,"⚠ หมวดไม่ตรงประเภท","✓"))))</f>
        <v/>
      </c>
    </row>
    <row r="4394">
      <c r="B4394" s="113" t="n"/>
      <c r="C4394" s="114" t="n"/>
      <c r="D4394" s="115" t="n"/>
      <c r="E4394" s="116" t="n"/>
      <c r="F4394" s="115" t="n"/>
      <c r="G4394" s="117">
        <f>IF(COUNTA(B4394:E4394)=0,"",IF(COUNTA(B4394:E4394)&lt;4,"⚠ กรอกไม่ครบ",IF(NOT(ISNUMBER(B4394)),"⚠ วันที่ไม่ถูกต้อง",IF(COUNTIFS(Setup!$L$6:$L$60,D4394,Setup!$M$6:$M$60,C4394)=0,"⚠ หมวดไม่ตรงประเภท","✓"))))</f>
        <v/>
      </c>
    </row>
    <row r="4395">
      <c r="B4395" s="113" t="n"/>
      <c r="C4395" s="114" t="n"/>
      <c r="D4395" s="115" t="n"/>
      <c r="E4395" s="116" t="n"/>
      <c r="F4395" s="115" t="n"/>
      <c r="G4395" s="117">
        <f>IF(COUNTA(B4395:E4395)=0,"",IF(COUNTA(B4395:E4395)&lt;4,"⚠ กรอกไม่ครบ",IF(NOT(ISNUMBER(B4395)),"⚠ วันที่ไม่ถูกต้อง",IF(COUNTIFS(Setup!$L$6:$L$60,D4395,Setup!$M$6:$M$60,C4395)=0,"⚠ หมวดไม่ตรงประเภท","✓"))))</f>
        <v/>
      </c>
    </row>
    <row r="4396">
      <c r="B4396" s="113" t="n"/>
      <c r="C4396" s="114" t="n"/>
      <c r="D4396" s="115" t="n"/>
      <c r="E4396" s="116" t="n"/>
      <c r="F4396" s="115" t="n"/>
      <c r="G4396" s="117">
        <f>IF(COUNTA(B4396:E4396)=0,"",IF(COUNTA(B4396:E4396)&lt;4,"⚠ กรอกไม่ครบ",IF(NOT(ISNUMBER(B4396)),"⚠ วันที่ไม่ถูกต้อง",IF(COUNTIFS(Setup!$L$6:$L$60,D4396,Setup!$M$6:$M$60,C4396)=0,"⚠ หมวดไม่ตรงประเภท","✓"))))</f>
        <v/>
      </c>
    </row>
    <row r="4397">
      <c r="B4397" s="113" t="n"/>
      <c r="C4397" s="114" t="n"/>
      <c r="D4397" s="115" t="n"/>
      <c r="E4397" s="116" t="n"/>
      <c r="F4397" s="115" t="n"/>
      <c r="G4397" s="117">
        <f>IF(COUNTA(B4397:E4397)=0,"",IF(COUNTA(B4397:E4397)&lt;4,"⚠ กรอกไม่ครบ",IF(NOT(ISNUMBER(B4397)),"⚠ วันที่ไม่ถูกต้อง",IF(COUNTIFS(Setup!$L$6:$L$60,D4397,Setup!$M$6:$M$60,C4397)=0,"⚠ หมวดไม่ตรงประเภท","✓"))))</f>
        <v/>
      </c>
    </row>
    <row r="4398">
      <c r="B4398" s="113" t="n"/>
      <c r="C4398" s="114" t="n"/>
      <c r="D4398" s="115" t="n"/>
      <c r="E4398" s="116" t="n"/>
      <c r="F4398" s="115" t="n"/>
      <c r="G4398" s="117">
        <f>IF(COUNTA(B4398:E4398)=0,"",IF(COUNTA(B4398:E4398)&lt;4,"⚠ กรอกไม่ครบ",IF(NOT(ISNUMBER(B4398)),"⚠ วันที่ไม่ถูกต้อง",IF(COUNTIFS(Setup!$L$6:$L$60,D4398,Setup!$M$6:$M$60,C4398)=0,"⚠ หมวดไม่ตรงประเภท","✓"))))</f>
        <v/>
      </c>
    </row>
    <row r="4399">
      <c r="B4399" s="113" t="n"/>
      <c r="C4399" s="114" t="n"/>
      <c r="D4399" s="115" t="n"/>
      <c r="E4399" s="116" t="n"/>
      <c r="F4399" s="115" t="n"/>
      <c r="G4399" s="117">
        <f>IF(COUNTA(B4399:E4399)=0,"",IF(COUNTA(B4399:E4399)&lt;4,"⚠ กรอกไม่ครบ",IF(NOT(ISNUMBER(B4399)),"⚠ วันที่ไม่ถูกต้อง",IF(COUNTIFS(Setup!$L$6:$L$60,D4399,Setup!$M$6:$M$60,C4399)=0,"⚠ หมวดไม่ตรงประเภท","✓"))))</f>
        <v/>
      </c>
    </row>
    <row r="4400">
      <c r="B4400" s="113" t="n"/>
      <c r="C4400" s="114" t="n"/>
      <c r="D4400" s="115" t="n"/>
      <c r="E4400" s="116" t="n"/>
      <c r="F4400" s="115" t="n"/>
      <c r="G4400" s="117">
        <f>IF(COUNTA(B4400:E4400)=0,"",IF(COUNTA(B4400:E4400)&lt;4,"⚠ กรอกไม่ครบ",IF(NOT(ISNUMBER(B4400)),"⚠ วันที่ไม่ถูกต้อง",IF(COUNTIFS(Setup!$L$6:$L$60,D4400,Setup!$M$6:$M$60,C4400)=0,"⚠ หมวดไม่ตรงประเภท","✓"))))</f>
        <v/>
      </c>
    </row>
    <row r="4401">
      <c r="B4401" s="113" t="n"/>
      <c r="C4401" s="114" t="n"/>
      <c r="D4401" s="115" t="n"/>
      <c r="E4401" s="116" t="n"/>
      <c r="F4401" s="115" t="n"/>
      <c r="G4401" s="117">
        <f>IF(COUNTA(B4401:E4401)=0,"",IF(COUNTA(B4401:E4401)&lt;4,"⚠ กรอกไม่ครบ",IF(NOT(ISNUMBER(B4401)),"⚠ วันที่ไม่ถูกต้อง",IF(COUNTIFS(Setup!$L$6:$L$60,D4401,Setup!$M$6:$M$60,C4401)=0,"⚠ หมวดไม่ตรงประเภท","✓"))))</f>
        <v/>
      </c>
    </row>
    <row r="4402">
      <c r="B4402" s="113" t="n"/>
      <c r="C4402" s="114" t="n"/>
      <c r="D4402" s="115" t="n"/>
      <c r="E4402" s="116" t="n"/>
      <c r="F4402" s="115" t="n"/>
      <c r="G4402" s="117">
        <f>IF(COUNTA(B4402:E4402)=0,"",IF(COUNTA(B4402:E4402)&lt;4,"⚠ กรอกไม่ครบ",IF(NOT(ISNUMBER(B4402)),"⚠ วันที่ไม่ถูกต้อง",IF(COUNTIFS(Setup!$L$6:$L$60,D4402,Setup!$M$6:$M$60,C4402)=0,"⚠ หมวดไม่ตรงประเภท","✓"))))</f>
        <v/>
      </c>
    </row>
    <row r="4403">
      <c r="B4403" s="113" t="n"/>
      <c r="C4403" s="114" t="n"/>
      <c r="D4403" s="115" t="n"/>
      <c r="E4403" s="116" t="n"/>
      <c r="F4403" s="115" t="n"/>
      <c r="G4403" s="117">
        <f>IF(COUNTA(B4403:E4403)=0,"",IF(COUNTA(B4403:E4403)&lt;4,"⚠ กรอกไม่ครบ",IF(NOT(ISNUMBER(B4403)),"⚠ วันที่ไม่ถูกต้อง",IF(COUNTIFS(Setup!$L$6:$L$60,D4403,Setup!$M$6:$M$60,C4403)=0,"⚠ หมวดไม่ตรงประเภท","✓"))))</f>
        <v/>
      </c>
    </row>
    <row r="4404">
      <c r="B4404" s="113" t="n"/>
      <c r="C4404" s="114" t="n"/>
      <c r="D4404" s="115" t="n"/>
      <c r="E4404" s="116" t="n"/>
      <c r="F4404" s="115" t="n"/>
      <c r="G4404" s="117">
        <f>IF(COUNTA(B4404:E4404)=0,"",IF(COUNTA(B4404:E4404)&lt;4,"⚠ กรอกไม่ครบ",IF(NOT(ISNUMBER(B4404)),"⚠ วันที่ไม่ถูกต้อง",IF(COUNTIFS(Setup!$L$6:$L$60,D4404,Setup!$M$6:$M$60,C4404)=0,"⚠ หมวดไม่ตรงประเภท","✓"))))</f>
        <v/>
      </c>
    </row>
    <row r="4405">
      <c r="B4405" s="113" t="n"/>
      <c r="C4405" s="114" t="n"/>
      <c r="D4405" s="115" t="n"/>
      <c r="E4405" s="116" t="n"/>
      <c r="F4405" s="115" t="n"/>
      <c r="G4405" s="117">
        <f>IF(COUNTA(B4405:E4405)=0,"",IF(COUNTA(B4405:E4405)&lt;4,"⚠ กรอกไม่ครบ",IF(NOT(ISNUMBER(B4405)),"⚠ วันที่ไม่ถูกต้อง",IF(COUNTIFS(Setup!$L$6:$L$60,D4405,Setup!$M$6:$M$60,C4405)=0,"⚠ หมวดไม่ตรงประเภท","✓"))))</f>
        <v/>
      </c>
    </row>
    <row r="4406">
      <c r="B4406" s="113" t="n"/>
      <c r="C4406" s="114" t="n"/>
      <c r="D4406" s="115" t="n"/>
      <c r="E4406" s="116" t="n"/>
      <c r="F4406" s="115" t="n"/>
      <c r="G4406" s="117">
        <f>IF(COUNTA(B4406:E4406)=0,"",IF(COUNTA(B4406:E4406)&lt;4,"⚠ กรอกไม่ครบ",IF(NOT(ISNUMBER(B4406)),"⚠ วันที่ไม่ถูกต้อง",IF(COUNTIFS(Setup!$L$6:$L$60,D4406,Setup!$M$6:$M$60,C4406)=0,"⚠ หมวดไม่ตรงประเภท","✓"))))</f>
        <v/>
      </c>
    </row>
    <row r="4407">
      <c r="B4407" s="113" t="n"/>
      <c r="C4407" s="114" t="n"/>
      <c r="D4407" s="115" t="n"/>
      <c r="E4407" s="116" t="n"/>
      <c r="F4407" s="115" t="n"/>
      <c r="G4407" s="117">
        <f>IF(COUNTA(B4407:E4407)=0,"",IF(COUNTA(B4407:E4407)&lt;4,"⚠ กรอกไม่ครบ",IF(NOT(ISNUMBER(B4407)),"⚠ วันที่ไม่ถูกต้อง",IF(COUNTIFS(Setup!$L$6:$L$60,D4407,Setup!$M$6:$M$60,C4407)=0,"⚠ หมวดไม่ตรงประเภท","✓"))))</f>
        <v/>
      </c>
    </row>
    <row r="4408">
      <c r="B4408" s="113" t="n"/>
      <c r="C4408" s="114" t="n"/>
      <c r="D4408" s="115" t="n"/>
      <c r="E4408" s="116" t="n"/>
      <c r="F4408" s="115" t="n"/>
      <c r="G4408" s="117">
        <f>IF(COUNTA(B4408:E4408)=0,"",IF(COUNTA(B4408:E4408)&lt;4,"⚠ กรอกไม่ครบ",IF(NOT(ISNUMBER(B4408)),"⚠ วันที่ไม่ถูกต้อง",IF(COUNTIFS(Setup!$L$6:$L$60,D4408,Setup!$M$6:$M$60,C4408)=0,"⚠ หมวดไม่ตรงประเภท","✓"))))</f>
        <v/>
      </c>
    </row>
    <row r="4409">
      <c r="B4409" s="113" t="n"/>
      <c r="C4409" s="114" t="n"/>
      <c r="D4409" s="115" t="n"/>
      <c r="E4409" s="116" t="n"/>
      <c r="F4409" s="115" t="n"/>
      <c r="G4409" s="117">
        <f>IF(COUNTA(B4409:E4409)=0,"",IF(COUNTA(B4409:E4409)&lt;4,"⚠ กรอกไม่ครบ",IF(NOT(ISNUMBER(B4409)),"⚠ วันที่ไม่ถูกต้อง",IF(COUNTIFS(Setup!$L$6:$L$60,D4409,Setup!$M$6:$M$60,C4409)=0,"⚠ หมวดไม่ตรงประเภท","✓"))))</f>
        <v/>
      </c>
    </row>
    <row r="4410">
      <c r="B4410" s="113" t="n"/>
      <c r="C4410" s="114" t="n"/>
      <c r="D4410" s="115" t="n"/>
      <c r="E4410" s="116" t="n"/>
      <c r="F4410" s="115" t="n"/>
      <c r="G4410" s="117">
        <f>IF(COUNTA(B4410:E4410)=0,"",IF(COUNTA(B4410:E4410)&lt;4,"⚠ กรอกไม่ครบ",IF(NOT(ISNUMBER(B4410)),"⚠ วันที่ไม่ถูกต้อง",IF(COUNTIFS(Setup!$L$6:$L$60,D4410,Setup!$M$6:$M$60,C4410)=0,"⚠ หมวดไม่ตรงประเภท","✓"))))</f>
        <v/>
      </c>
    </row>
    <row r="4411">
      <c r="B4411" s="113" t="n"/>
      <c r="C4411" s="114" t="n"/>
      <c r="D4411" s="115" t="n"/>
      <c r="E4411" s="116" t="n"/>
      <c r="F4411" s="115" t="n"/>
      <c r="G4411" s="117">
        <f>IF(COUNTA(B4411:E4411)=0,"",IF(COUNTA(B4411:E4411)&lt;4,"⚠ กรอกไม่ครบ",IF(NOT(ISNUMBER(B4411)),"⚠ วันที่ไม่ถูกต้อง",IF(COUNTIFS(Setup!$L$6:$L$60,D4411,Setup!$M$6:$M$60,C4411)=0,"⚠ หมวดไม่ตรงประเภท","✓"))))</f>
        <v/>
      </c>
    </row>
    <row r="4412">
      <c r="B4412" s="113" t="n"/>
      <c r="C4412" s="114" t="n"/>
      <c r="D4412" s="115" t="n"/>
      <c r="E4412" s="116" t="n"/>
      <c r="F4412" s="115" t="n"/>
      <c r="G4412" s="117">
        <f>IF(COUNTA(B4412:E4412)=0,"",IF(COUNTA(B4412:E4412)&lt;4,"⚠ กรอกไม่ครบ",IF(NOT(ISNUMBER(B4412)),"⚠ วันที่ไม่ถูกต้อง",IF(COUNTIFS(Setup!$L$6:$L$60,D4412,Setup!$M$6:$M$60,C4412)=0,"⚠ หมวดไม่ตรงประเภท","✓"))))</f>
        <v/>
      </c>
    </row>
    <row r="4413">
      <c r="B4413" s="113" t="n"/>
      <c r="C4413" s="114" t="n"/>
      <c r="D4413" s="115" t="n"/>
      <c r="E4413" s="116" t="n"/>
      <c r="F4413" s="115" t="n"/>
      <c r="G4413" s="117">
        <f>IF(COUNTA(B4413:E4413)=0,"",IF(COUNTA(B4413:E4413)&lt;4,"⚠ กรอกไม่ครบ",IF(NOT(ISNUMBER(B4413)),"⚠ วันที่ไม่ถูกต้อง",IF(COUNTIFS(Setup!$L$6:$L$60,D4413,Setup!$M$6:$M$60,C4413)=0,"⚠ หมวดไม่ตรงประเภท","✓"))))</f>
        <v/>
      </c>
    </row>
    <row r="4414">
      <c r="B4414" s="113" t="n"/>
      <c r="C4414" s="114" t="n"/>
      <c r="D4414" s="115" t="n"/>
      <c r="E4414" s="116" t="n"/>
      <c r="F4414" s="115" t="n"/>
      <c r="G4414" s="117">
        <f>IF(COUNTA(B4414:E4414)=0,"",IF(COUNTA(B4414:E4414)&lt;4,"⚠ กรอกไม่ครบ",IF(NOT(ISNUMBER(B4414)),"⚠ วันที่ไม่ถูกต้อง",IF(COUNTIFS(Setup!$L$6:$L$60,D4414,Setup!$M$6:$M$60,C4414)=0,"⚠ หมวดไม่ตรงประเภท","✓"))))</f>
        <v/>
      </c>
    </row>
    <row r="4415">
      <c r="B4415" s="113" t="n"/>
      <c r="C4415" s="114" t="n"/>
      <c r="D4415" s="115" t="n"/>
      <c r="E4415" s="116" t="n"/>
      <c r="F4415" s="115" t="n"/>
      <c r="G4415" s="117">
        <f>IF(COUNTA(B4415:E4415)=0,"",IF(COUNTA(B4415:E4415)&lt;4,"⚠ กรอกไม่ครบ",IF(NOT(ISNUMBER(B4415)),"⚠ วันที่ไม่ถูกต้อง",IF(COUNTIFS(Setup!$L$6:$L$60,D4415,Setup!$M$6:$M$60,C4415)=0,"⚠ หมวดไม่ตรงประเภท","✓"))))</f>
        <v/>
      </c>
    </row>
    <row r="4416">
      <c r="B4416" s="113" t="n"/>
      <c r="C4416" s="114" t="n"/>
      <c r="D4416" s="115" t="n"/>
      <c r="E4416" s="116" t="n"/>
      <c r="F4416" s="115" t="n"/>
      <c r="G4416" s="117">
        <f>IF(COUNTA(B4416:E4416)=0,"",IF(COUNTA(B4416:E4416)&lt;4,"⚠ กรอกไม่ครบ",IF(NOT(ISNUMBER(B4416)),"⚠ วันที่ไม่ถูกต้อง",IF(COUNTIFS(Setup!$L$6:$L$60,D4416,Setup!$M$6:$M$60,C4416)=0,"⚠ หมวดไม่ตรงประเภท","✓"))))</f>
        <v/>
      </c>
    </row>
    <row r="4417">
      <c r="B4417" s="113" t="n"/>
      <c r="C4417" s="114" t="n"/>
      <c r="D4417" s="115" t="n"/>
      <c r="E4417" s="116" t="n"/>
      <c r="F4417" s="115" t="n"/>
      <c r="G4417" s="117">
        <f>IF(COUNTA(B4417:E4417)=0,"",IF(COUNTA(B4417:E4417)&lt;4,"⚠ กรอกไม่ครบ",IF(NOT(ISNUMBER(B4417)),"⚠ วันที่ไม่ถูกต้อง",IF(COUNTIFS(Setup!$L$6:$L$60,D4417,Setup!$M$6:$M$60,C4417)=0,"⚠ หมวดไม่ตรงประเภท","✓"))))</f>
        <v/>
      </c>
    </row>
    <row r="4418">
      <c r="B4418" s="113" t="n"/>
      <c r="C4418" s="114" t="n"/>
      <c r="D4418" s="115" t="n"/>
      <c r="E4418" s="116" t="n"/>
      <c r="F4418" s="115" t="n"/>
      <c r="G4418" s="117">
        <f>IF(COUNTA(B4418:E4418)=0,"",IF(COUNTA(B4418:E4418)&lt;4,"⚠ กรอกไม่ครบ",IF(NOT(ISNUMBER(B4418)),"⚠ วันที่ไม่ถูกต้อง",IF(COUNTIFS(Setup!$L$6:$L$60,D4418,Setup!$M$6:$M$60,C4418)=0,"⚠ หมวดไม่ตรงประเภท","✓"))))</f>
        <v/>
      </c>
    </row>
    <row r="4419">
      <c r="B4419" s="113" t="n"/>
      <c r="C4419" s="114" t="n"/>
      <c r="D4419" s="115" t="n"/>
      <c r="E4419" s="116" t="n"/>
      <c r="F4419" s="115" t="n"/>
      <c r="G4419" s="117">
        <f>IF(COUNTA(B4419:E4419)=0,"",IF(COUNTA(B4419:E4419)&lt;4,"⚠ กรอกไม่ครบ",IF(NOT(ISNUMBER(B4419)),"⚠ วันที่ไม่ถูกต้อง",IF(COUNTIFS(Setup!$L$6:$L$60,D4419,Setup!$M$6:$M$60,C4419)=0,"⚠ หมวดไม่ตรงประเภท","✓"))))</f>
        <v/>
      </c>
    </row>
    <row r="4420">
      <c r="B4420" s="113" t="n"/>
      <c r="C4420" s="114" t="n"/>
      <c r="D4420" s="115" t="n"/>
      <c r="E4420" s="116" t="n"/>
      <c r="F4420" s="115" t="n"/>
      <c r="G4420" s="117">
        <f>IF(COUNTA(B4420:E4420)=0,"",IF(COUNTA(B4420:E4420)&lt;4,"⚠ กรอกไม่ครบ",IF(NOT(ISNUMBER(B4420)),"⚠ วันที่ไม่ถูกต้อง",IF(COUNTIFS(Setup!$L$6:$L$60,D4420,Setup!$M$6:$M$60,C4420)=0,"⚠ หมวดไม่ตรงประเภท","✓"))))</f>
        <v/>
      </c>
    </row>
    <row r="4421">
      <c r="B4421" s="113" t="n"/>
      <c r="C4421" s="114" t="n"/>
      <c r="D4421" s="115" t="n"/>
      <c r="E4421" s="116" t="n"/>
      <c r="F4421" s="115" t="n"/>
      <c r="G4421" s="117">
        <f>IF(COUNTA(B4421:E4421)=0,"",IF(COUNTA(B4421:E4421)&lt;4,"⚠ กรอกไม่ครบ",IF(NOT(ISNUMBER(B4421)),"⚠ วันที่ไม่ถูกต้อง",IF(COUNTIFS(Setup!$L$6:$L$60,D4421,Setup!$M$6:$M$60,C4421)=0,"⚠ หมวดไม่ตรงประเภท","✓"))))</f>
        <v/>
      </c>
    </row>
    <row r="4422">
      <c r="B4422" s="113" t="n"/>
      <c r="C4422" s="114" t="n"/>
      <c r="D4422" s="115" t="n"/>
      <c r="E4422" s="116" t="n"/>
      <c r="F4422" s="115" t="n"/>
      <c r="G4422" s="117">
        <f>IF(COUNTA(B4422:E4422)=0,"",IF(COUNTA(B4422:E4422)&lt;4,"⚠ กรอกไม่ครบ",IF(NOT(ISNUMBER(B4422)),"⚠ วันที่ไม่ถูกต้อง",IF(COUNTIFS(Setup!$L$6:$L$60,D4422,Setup!$M$6:$M$60,C4422)=0,"⚠ หมวดไม่ตรงประเภท","✓"))))</f>
        <v/>
      </c>
    </row>
    <row r="4423">
      <c r="B4423" s="113" t="n"/>
      <c r="C4423" s="114" t="n"/>
      <c r="D4423" s="115" t="n"/>
      <c r="E4423" s="116" t="n"/>
      <c r="F4423" s="115" t="n"/>
      <c r="G4423" s="117">
        <f>IF(COUNTA(B4423:E4423)=0,"",IF(COUNTA(B4423:E4423)&lt;4,"⚠ กรอกไม่ครบ",IF(NOT(ISNUMBER(B4423)),"⚠ วันที่ไม่ถูกต้อง",IF(COUNTIFS(Setup!$L$6:$L$60,D4423,Setup!$M$6:$M$60,C4423)=0,"⚠ หมวดไม่ตรงประเภท","✓"))))</f>
        <v/>
      </c>
    </row>
    <row r="4424">
      <c r="B4424" s="113" t="n"/>
      <c r="C4424" s="114" t="n"/>
      <c r="D4424" s="115" t="n"/>
      <c r="E4424" s="116" t="n"/>
      <c r="F4424" s="115" t="n"/>
      <c r="G4424" s="117">
        <f>IF(COUNTA(B4424:E4424)=0,"",IF(COUNTA(B4424:E4424)&lt;4,"⚠ กรอกไม่ครบ",IF(NOT(ISNUMBER(B4424)),"⚠ วันที่ไม่ถูกต้อง",IF(COUNTIFS(Setup!$L$6:$L$60,D4424,Setup!$M$6:$M$60,C4424)=0,"⚠ หมวดไม่ตรงประเภท","✓"))))</f>
        <v/>
      </c>
    </row>
    <row r="4425">
      <c r="B4425" s="113" t="n"/>
      <c r="C4425" s="114" t="n"/>
      <c r="D4425" s="115" t="n"/>
      <c r="E4425" s="116" t="n"/>
      <c r="F4425" s="115" t="n"/>
      <c r="G4425" s="117">
        <f>IF(COUNTA(B4425:E4425)=0,"",IF(COUNTA(B4425:E4425)&lt;4,"⚠ กรอกไม่ครบ",IF(NOT(ISNUMBER(B4425)),"⚠ วันที่ไม่ถูกต้อง",IF(COUNTIFS(Setup!$L$6:$L$60,D4425,Setup!$M$6:$M$60,C4425)=0,"⚠ หมวดไม่ตรงประเภท","✓"))))</f>
        <v/>
      </c>
    </row>
    <row r="4426">
      <c r="B4426" s="113" t="n"/>
      <c r="C4426" s="114" t="n"/>
      <c r="D4426" s="115" t="n"/>
      <c r="E4426" s="116" t="n"/>
      <c r="F4426" s="115" t="n"/>
      <c r="G4426" s="117">
        <f>IF(COUNTA(B4426:E4426)=0,"",IF(COUNTA(B4426:E4426)&lt;4,"⚠ กรอกไม่ครบ",IF(NOT(ISNUMBER(B4426)),"⚠ วันที่ไม่ถูกต้อง",IF(COUNTIFS(Setup!$L$6:$L$60,D4426,Setup!$M$6:$M$60,C4426)=0,"⚠ หมวดไม่ตรงประเภท","✓"))))</f>
        <v/>
      </c>
    </row>
    <row r="4427">
      <c r="B4427" s="113" t="n"/>
      <c r="C4427" s="114" t="n"/>
      <c r="D4427" s="115" t="n"/>
      <c r="E4427" s="116" t="n"/>
      <c r="F4427" s="115" t="n"/>
      <c r="G4427" s="117">
        <f>IF(COUNTA(B4427:E4427)=0,"",IF(COUNTA(B4427:E4427)&lt;4,"⚠ กรอกไม่ครบ",IF(NOT(ISNUMBER(B4427)),"⚠ วันที่ไม่ถูกต้อง",IF(COUNTIFS(Setup!$L$6:$L$60,D4427,Setup!$M$6:$M$60,C4427)=0,"⚠ หมวดไม่ตรงประเภท","✓"))))</f>
        <v/>
      </c>
    </row>
    <row r="4428">
      <c r="B4428" s="113" t="n"/>
      <c r="C4428" s="114" t="n"/>
      <c r="D4428" s="115" t="n"/>
      <c r="E4428" s="116" t="n"/>
      <c r="F4428" s="115" t="n"/>
      <c r="G4428" s="117">
        <f>IF(COUNTA(B4428:E4428)=0,"",IF(COUNTA(B4428:E4428)&lt;4,"⚠ กรอกไม่ครบ",IF(NOT(ISNUMBER(B4428)),"⚠ วันที่ไม่ถูกต้อง",IF(COUNTIFS(Setup!$L$6:$L$60,D4428,Setup!$M$6:$M$60,C4428)=0,"⚠ หมวดไม่ตรงประเภท","✓"))))</f>
        <v/>
      </c>
    </row>
    <row r="4429">
      <c r="B4429" s="113" t="n"/>
      <c r="C4429" s="114" t="n"/>
      <c r="D4429" s="115" t="n"/>
      <c r="E4429" s="116" t="n"/>
      <c r="F4429" s="115" t="n"/>
      <c r="G4429" s="117">
        <f>IF(COUNTA(B4429:E4429)=0,"",IF(COUNTA(B4429:E4429)&lt;4,"⚠ กรอกไม่ครบ",IF(NOT(ISNUMBER(B4429)),"⚠ วันที่ไม่ถูกต้อง",IF(COUNTIFS(Setup!$L$6:$L$60,D4429,Setup!$M$6:$M$60,C4429)=0,"⚠ หมวดไม่ตรงประเภท","✓"))))</f>
        <v/>
      </c>
    </row>
    <row r="4430">
      <c r="B4430" s="113" t="n"/>
      <c r="C4430" s="114" t="n"/>
      <c r="D4430" s="115" t="n"/>
      <c r="E4430" s="116" t="n"/>
      <c r="F4430" s="115" t="n"/>
      <c r="G4430" s="117">
        <f>IF(COUNTA(B4430:E4430)=0,"",IF(COUNTA(B4430:E4430)&lt;4,"⚠ กรอกไม่ครบ",IF(NOT(ISNUMBER(B4430)),"⚠ วันที่ไม่ถูกต้อง",IF(COUNTIFS(Setup!$L$6:$L$60,D4430,Setup!$M$6:$M$60,C4430)=0,"⚠ หมวดไม่ตรงประเภท","✓"))))</f>
        <v/>
      </c>
    </row>
    <row r="4431">
      <c r="B4431" s="113" t="n"/>
      <c r="C4431" s="114" t="n"/>
      <c r="D4431" s="115" t="n"/>
      <c r="E4431" s="116" t="n"/>
      <c r="F4431" s="115" t="n"/>
      <c r="G4431" s="117">
        <f>IF(COUNTA(B4431:E4431)=0,"",IF(COUNTA(B4431:E4431)&lt;4,"⚠ กรอกไม่ครบ",IF(NOT(ISNUMBER(B4431)),"⚠ วันที่ไม่ถูกต้อง",IF(COUNTIFS(Setup!$L$6:$L$60,D4431,Setup!$M$6:$M$60,C4431)=0,"⚠ หมวดไม่ตรงประเภท","✓"))))</f>
        <v/>
      </c>
    </row>
    <row r="4432">
      <c r="B4432" s="113" t="n"/>
      <c r="C4432" s="114" t="n"/>
      <c r="D4432" s="115" t="n"/>
      <c r="E4432" s="116" t="n"/>
      <c r="F4432" s="115" t="n"/>
      <c r="G4432" s="117">
        <f>IF(COUNTA(B4432:E4432)=0,"",IF(COUNTA(B4432:E4432)&lt;4,"⚠ กรอกไม่ครบ",IF(NOT(ISNUMBER(B4432)),"⚠ วันที่ไม่ถูกต้อง",IF(COUNTIFS(Setup!$L$6:$L$60,D4432,Setup!$M$6:$M$60,C4432)=0,"⚠ หมวดไม่ตรงประเภท","✓"))))</f>
        <v/>
      </c>
    </row>
    <row r="4433">
      <c r="B4433" s="113" t="n"/>
      <c r="C4433" s="114" t="n"/>
      <c r="D4433" s="115" t="n"/>
      <c r="E4433" s="116" t="n"/>
      <c r="F4433" s="115" t="n"/>
      <c r="G4433" s="117">
        <f>IF(COUNTA(B4433:E4433)=0,"",IF(COUNTA(B4433:E4433)&lt;4,"⚠ กรอกไม่ครบ",IF(NOT(ISNUMBER(B4433)),"⚠ วันที่ไม่ถูกต้อง",IF(COUNTIFS(Setup!$L$6:$L$60,D4433,Setup!$M$6:$M$60,C4433)=0,"⚠ หมวดไม่ตรงประเภท","✓"))))</f>
        <v/>
      </c>
    </row>
    <row r="4434">
      <c r="B4434" s="113" t="n"/>
      <c r="C4434" s="114" t="n"/>
      <c r="D4434" s="115" t="n"/>
      <c r="E4434" s="116" t="n"/>
      <c r="F4434" s="115" t="n"/>
      <c r="G4434" s="117">
        <f>IF(COUNTA(B4434:E4434)=0,"",IF(COUNTA(B4434:E4434)&lt;4,"⚠ กรอกไม่ครบ",IF(NOT(ISNUMBER(B4434)),"⚠ วันที่ไม่ถูกต้อง",IF(COUNTIFS(Setup!$L$6:$L$60,D4434,Setup!$M$6:$M$60,C4434)=0,"⚠ หมวดไม่ตรงประเภท","✓"))))</f>
        <v/>
      </c>
    </row>
    <row r="4435">
      <c r="B4435" s="113" t="n"/>
      <c r="C4435" s="114" t="n"/>
      <c r="D4435" s="115" t="n"/>
      <c r="E4435" s="116" t="n"/>
      <c r="F4435" s="115" t="n"/>
      <c r="G4435" s="117">
        <f>IF(COUNTA(B4435:E4435)=0,"",IF(COUNTA(B4435:E4435)&lt;4,"⚠ กรอกไม่ครบ",IF(NOT(ISNUMBER(B4435)),"⚠ วันที่ไม่ถูกต้อง",IF(COUNTIFS(Setup!$L$6:$L$60,D4435,Setup!$M$6:$M$60,C4435)=0,"⚠ หมวดไม่ตรงประเภท","✓"))))</f>
        <v/>
      </c>
    </row>
    <row r="4436">
      <c r="B4436" s="113" t="n"/>
      <c r="C4436" s="114" t="n"/>
      <c r="D4436" s="115" t="n"/>
      <c r="E4436" s="116" t="n"/>
      <c r="F4436" s="115" t="n"/>
      <c r="G4436" s="117">
        <f>IF(COUNTA(B4436:E4436)=0,"",IF(COUNTA(B4436:E4436)&lt;4,"⚠ กรอกไม่ครบ",IF(NOT(ISNUMBER(B4436)),"⚠ วันที่ไม่ถูกต้อง",IF(COUNTIFS(Setup!$L$6:$L$60,D4436,Setup!$M$6:$M$60,C4436)=0,"⚠ หมวดไม่ตรงประเภท","✓"))))</f>
        <v/>
      </c>
    </row>
    <row r="4437">
      <c r="B4437" s="113" t="n"/>
      <c r="C4437" s="114" t="n"/>
      <c r="D4437" s="115" t="n"/>
      <c r="E4437" s="116" t="n"/>
      <c r="F4437" s="115" t="n"/>
      <c r="G4437" s="117">
        <f>IF(COUNTA(B4437:E4437)=0,"",IF(COUNTA(B4437:E4437)&lt;4,"⚠ กรอกไม่ครบ",IF(NOT(ISNUMBER(B4437)),"⚠ วันที่ไม่ถูกต้อง",IF(COUNTIFS(Setup!$L$6:$L$60,D4437,Setup!$M$6:$M$60,C4437)=0,"⚠ หมวดไม่ตรงประเภท","✓"))))</f>
        <v/>
      </c>
    </row>
    <row r="4438">
      <c r="B4438" s="113" t="n"/>
      <c r="C4438" s="114" t="n"/>
      <c r="D4438" s="115" t="n"/>
      <c r="E4438" s="116" t="n"/>
      <c r="F4438" s="115" t="n"/>
      <c r="G4438" s="117">
        <f>IF(COUNTA(B4438:E4438)=0,"",IF(COUNTA(B4438:E4438)&lt;4,"⚠ กรอกไม่ครบ",IF(NOT(ISNUMBER(B4438)),"⚠ วันที่ไม่ถูกต้อง",IF(COUNTIFS(Setup!$L$6:$L$60,D4438,Setup!$M$6:$M$60,C4438)=0,"⚠ หมวดไม่ตรงประเภท","✓"))))</f>
        <v/>
      </c>
    </row>
    <row r="4439">
      <c r="B4439" s="113" t="n"/>
      <c r="C4439" s="114" t="n"/>
      <c r="D4439" s="115" t="n"/>
      <c r="E4439" s="116" t="n"/>
      <c r="F4439" s="115" t="n"/>
      <c r="G4439" s="117">
        <f>IF(COUNTA(B4439:E4439)=0,"",IF(COUNTA(B4439:E4439)&lt;4,"⚠ กรอกไม่ครบ",IF(NOT(ISNUMBER(B4439)),"⚠ วันที่ไม่ถูกต้อง",IF(COUNTIFS(Setup!$L$6:$L$60,D4439,Setup!$M$6:$M$60,C4439)=0,"⚠ หมวดไม่ตรงประเภท","✓"))))</f>
        <v/>
      </c>
    </row>
    <row r="4440">
      <c r="B4440" s="113" t="n"/>
      <c r="C4440" s="114" t="n"/>
      <c r="D4440" s="115" t="n"/>
      <c r="E4440" s="116" t="n"/>
      <c r="F4440" s="115" t="n"/>
      <c r="G4440" s="117">
        <f>IF(COUNTA(B4440:E4440)=0,"",IF(COUNTA(B4440:E4440)&lt;4,"⚠ กรอกไม่ครบ",IF(NOT(ISNUMBER(B4440)),"⚠ วันที่ไม่ถูกต้อง",IF(COUNTIFS(Setup!$L$6:$L$60,D4440,Setup!$M$6:$M$60,C4440)=0,"⚠ หมวดไม่ตรงประเภท","✓"))))</f>
        <v/>
      </c>
    </row>
    <row r="4441">
      <c r="B4441" s="113" t="n"/>
      <c r="C4441" s="114" t="n"/>
      <c r="D4441" s="115" t="n"/>
      <c r="E4441" s="116" t="n"/>
      <c r="F4441" s="115" t="n"/>
      <c r="G4441" s="117">
        <f>IF(COUNTA(B4441:E4441)=0,"",IF(COUNTA(B4441:E4441)&lt;4,"⚠ กรอกไม่ครบ",IF(NOT(ISNUMBER(B4441)),"⚠ วันที่ไม่ถูกต้อง",IF(COUNTIFS(Setup!$L$6:$L$60,D4441,Setup!$M$6:$M$60,C4441)=0,"⚠ หมวดไม่ตรงประเภท","✓"))))</f>
        <v/>
      </c>
    </row>
    <row r="4442">
      <c r="B4442" s="113" t="n"/>
      <c r="C4442" s="114" t="n"/>
      <c r="D4442" s="115" t="n"/>
      <c r="E4442" s="116" t="n"/>
      <c r="F4442" s="115" t="n"/>
      <c r="G4442" s="117">
        <f>IF(COUNTA(B4442:E4442)=0,"",IF(COUNTA(B4442:E4442)&lt;4,"⚠ กรอกไม่ครบ",IF(NOT(ISNUMBER(B4442)),"⚠ วันที่ไม่ถูกต้อง",IF(COUNTIFS(Setup!$L$6:$L$60,D4442,Setup!$M$6:$M$60,C4442)=0,"⚠ หมวดไม่ตรงประเภท","✓"))))</f>
        <v/>
      </c>
    </row>
    <row r="4443">
      <c r="B4443" s="113" t="n"/>
      <c r="C4443" s="114" t="n"/>
      <c r="D4443" s="115" t="n"/>
      <c r="E4443" s="116" t="n"/>
      <c r="F4443" s="115" t="n"/>
      <c r="G4443" s="117">
        <f>IF(COUNTA(B4443:E4443)=0,"",IF(COUNTA(B4443:E4443)&lt;4,"⚠ กรอกไม่ครบ",IF(NOT(ISNUMBER(B4443)),"⚠ วันที่ไม่ถูกต้อง",IF(COUNTIFS(Setup!$L$6:$L$60,D4443,Setup!$M$6:$M$60,C4443)=0,"⚠ หมวดไม่ตรงประเภท","✓"))))</f>
        <v/>
      </c>
    </row>
    <row r="4444">
      <c r="B4444" s="113" t="n"/>
      <c r="C4444" s="114" t="n"/>
      <c r="D4444" s="115" t="n"/>
      <c r="E4444" s="116" t="n"/>
      <c r="F4444" s="115" t="n"/>
      <c r="G4444" s="117">
        <f>IF(COUNTA(B4444:E4444)=0,"",IF(COUNTA(B4444:E4444)&lt;4,"⚠ กรอกไม่ครบ",IF(NOT(ISNUMBER(B4444)),"⚠ วันที่ไม่ถูกต้อง",IF(COUNTIFS(Setup!$L$6:$L$60,D4444,Setup!$M$6:$M$60,C4444)=0,"⚠ หมวดไม่ตรงประเภท","✓"))))</f>
        <v/>
      </c>
    </row>
    <row r="4445">
      <c r="B4445" s="113" t="n"/>
      <c r="C4445" s="114" t="n"/>
      <c r="D4445" s="115" t="n"/>
      <c r="E4445" s="116" t="n"/>
      <c r="F4445" s="115" t="n"/>
      <c r="G4445" s="117">
        <f>IF(COUNTA(B4445:E4445)=0,"",IF(COUNTA(B4445:E4445)&lt;4,"⚠ กรอกไม่ครบ",IF(NOT(ISNUMBER(B4445)),"⚠ วันที่ไม่ถูกต้อง",IF(COUNTIFS(Setup!$L$6:$L$60,D4445,Setup!$M$6:$M$60,C4445)=0,"⚠ หมวดไม่ตรงประเภท","✓"))))</f>
        <v/>
      </c>
    </row>
    <row r="4446">
      <c r="B4446" s="113" t="n"/>
      <c r="C4446" s="114" t="n"/>
      <c r="D4446" s="115" t="n"/>
      <c r="E4446" s="116" t="n"/>
      <c r="F4446" s="115" t="n"/>
      <c r="G4446" s="117">
        <f>IF(COUNTA(B4446:E4446)=0,"",IF(COUNTA(B4446:E4446)&lt;4,"⚠ กรอกไม่ครบ",IF(NOT(ISNUMBER(B4446)),"⚠ วันที่ไม่ถูกต้อง",IF(COUNTIFS(Setup!$L$6:$L$60,D4446,Setup!$M$6:$M$60,C4446)=0,"⚠ หมวดไม่ตรงประเภท","✓"))))</f>
        <v/>
      </c>
    </row>
    <row r="4447">
      <c r="B4447" s="113" t="n"/>
      <c r="C4447" s="114" t="n"/>
      <c r="D4447" s="115" t="n"/>
      <c r="E4447" s="116" t="n"/>
      <c r="F4447" s="115" t="n"/>
      <c r="G4447" s="117">
        <f>IF(COUNTA(B4447:E4447)=0,"",IF(COUNTA(B4447:E4447)&lt;4,"⚠ กรอกไม่ครบ",IF(NOT(ISNUMBER(B4447)),"⚠ วันที่ไม่ถูกต้อง",IF(COUNTIFS(Setup!$L$6:$L$60,D4447,Setup!$M$6:$M$60,C4447)=0,"⚠ หมวดไม่ตรงประเภท","✓"))))</f>
        <v/>
      </c>
    </row>
    <row r="4448">
      <c r="B4448" s="113" t="n"/>
      <c r="C4448" s="114" t="n"/>
      <c r="D4448" s="115" t="n"/>
      <c r="E4448" s="116" t="n"/>
      <c r="F4448" s="115" t="n"/>
      <c r="G4448" s="117">
        <f>IF(COUNTA(B4448:E4448)=0,"",IF(COUNTA(B4448:E4448)&lt;4,"⚠ กรอกไม่ครบ",IF(NOT(ISNUMBER(B4448)),"⚠ วันที่ไม่ถูกต้อง",IF(COUNTIFS(Setup!$L$6:$L$60,D4448,Setup!$M$6:$M$60,C4448)=0,"⚠ หมวดไม่ตรงประเภท","✓"))))</f>
        <v/>
      </c>
    </row>
    <row r="4449">
      <c r="B4449" s="113" t="n"/>
      <c r="C4449" s="114" t="n"/>
      <c r="D4449" s="115" t="n"/>
      <c r="E4449" s="116" t="n"/>
      <c r="F4449" s="115" t="n"/>
      <c r="G4449" s="117">
        <f>IF(COUNTA(B4449:E4449)=0,"",IF(COUNTA(B4449:E4449)&lt;4,"⚠ กรอกไม่ครบ",IF(NOT(ISNUMBER(B4449)),"⚠ วันที่ไม่ถูกต้อง",IF(COUNTIFS(Setup!$L$6:$L$60,D4449,Setup!$M$6:$M$60,C4449)=0,"⚠ หมวดไม่ตรงประเภท","✓"))))</f>
        <v/>
      </c>
    </row>
    <row r="4450">
      <c r="B4450" s="113" t="n"/>
      <c r="C4450" s="114" t="n"/>
      <c r="D4450" s="115" t="n"/>
      <c r="E4450" s="116" t="n"/>
      <c r="F4450" s="115" t="n"/>
      <c r="G4450" s="117">
        <f>IF(COUNTA(B4450:E4450)=0,"",IF(COUNTA(B4450:E4450)&lt;4,"⚠ กรอกไม่ครบ",IF(NOT(ISNUMBER(B4450)),"⚠ วันที่ไม่ถูกต้อง",IF(COUNTIFS(Setup!$L$6:$L$60,D4450,Setup!$M$6:$M$60,C4450)=0,"⚠ หมวดไม่ตรงประเภท","✓"))))</f>
        <v/>
      </c>
    </row>
    <row r="4451">
      <c r="B4451" s="113" t="n"/>
      <c r="C4451" s="114" t="n"/>
      <c r="D4451" s="115" t="n"/>
      <c r="E4451" s="116" t="n"/>
      <c r="F4451" s="115" t="n"/>
      <c r="G4451" s="117">
        <f>IF(COUNTA(B4451:E4451)=0,"",IF(COUNTA(B4451:E4451)&lt;4,"⚠ กรอกไม่ครบ",IF(NOT(ISNUMBER(B4451)),"⚠ วันที่ไม่ถูกต้อง",IF(COUNTIFS(Setup!$L$6:$L$60,D4451,Setup!$M$6:$M$60,C4451)=0,"⚠ หมวดไม่ตรงประเภท","✓"))))</f>
        <v/>
      </c>
    </row>
    <row r="4452">
      <c r="B4452" s="113" t="n"/>
      <c r="C4452" s="114" t="n"/>
      <c r="D4452" s="115" t="n"/>
      <c r="E4452" s="116" t="n"/>
      <c r="F4452" s="115" t="n"/>
      <c r="G4452" s="117">
        <f>IF(COUNTA(B4452:E4452)=0,"",IF(COUNTA(B4452:E4452)&lt;4,"⚠ กรอกไม่ครบ",IF(NOT(ISNUMBER(B4452)),"⚠ วันที่ไม่ถูกต้อง",IF(COUNTIFS(Setup!$L$6:$L$60,D4452,Setup!$M$6:$M$60,C4452)=0,"⚠ หมวดไม่ตรงประเภท","✓"))))</f>
        <v/>
      </c>
    </row>
    <row r="4453">
      <c r="B4453" s="113" t="n"/>
      <c r="C4453" s="114" t="n"/>
      <c r="D4453" s="115" t="n"/>
      <c r="E4453" s="116" t="n"/>
      <c r="F4453" s="115" t="n"/>
      <c r="G4453" s="117">
        <f>IF(COUNTA(B4453:E4453)=0,"",IF(COUNTA(B4453:E4453)&lt;4,"⚠ กรอกไม่ครบ",IF(NOT(ISNUMBER(B4453)),"⚠ วันที่ไม่ถูกต้อง",IF(COUNTIFS(Setup!$L$6:$L$60,D4453,Setup!$M$6:$M$60,C4453)=0,"⚠ หมวดไม่ตรงประเภท","✓"))))</f>
        <v/>
      </c>
    </row>
    <row r="4454">
      <c r="B4454" s="113" t="n"/>
      <c r="C4454" s="114" t="n"/>
      <c r="D4454" s="115" t="n"/>
      <c r="E4454" s="116" t="n"/>
      <c r="F4454" s="115" t="n"/>
      <c r="G4454" s="117">
        <f>IF(COUNTA(B4454:E4454)=0,"",IF(COUNTA(B4454:E4454)&lt;4,"⚠ กรอกไม่ครบ",IF(NOT(ISNUMBER(B4454)),"⚠ วันที่ไม่ถูกต้อง",IF(COUNTIFS(Setup!$L$6:$L$60,D4454,Setup!$M$6:$M$60,C4454)=0,"⚠ หมวดไม่ตรงประเภท","✓"))))</f>
        <v/>
      </c>
    </row>
    <row r="4455">
      <c r="B4455" s="113" t="n"/>
      <c r="C4455" s="114" t="n"/>
      <c r="D4455" s="115" t="n"/>
      <c r="E4455" s="116" t="n"/>
      <c r="F4455" s="115" t="n"/>
      <c r="G4455" s="117">
        <f>IF(COUNTA(B4455:E4455)=0,"",IF(COUNTA(B4455:E4455)&lt;4,"⚠ กรอกไม่ครบ",IF(NOT(ISNUMBER(B4455)),"⚠ วันที่ไม่ถูกต้อง",IF(COUNTIFS(Setup!$L$6:$L$60,D4455,Setup!$M$6:$M$60,C4455)=0,"⚠ หมวดไม่ตรงประเภท","✓"))))</f>
        <v/>
      </c>
    </row>
    <row r="4456">
      <c r="B4456" s="113" t="n"/>
      <c r="C4456" s="114" t="n"/>
      <c r="D4456" s="115" t="n"/>
      <c r="E4456" s="116" t="n"/>
      <c r="F4456" s="115" t="n"/>
      <c r="G4456" s="117">
        <f>IF(COUNTA(B4456:E4456)=0,"",IF(COUNTA(B4456:E4456)&lt;4,"⚠ กรอกไม่ครบ",IF(NOT(ISNUMBER(B4456)),"⚠ วันที่ไม่ถูกต้อง",IF(COUNTIFS(Setup!$L$6:$L$60,D4456,Setup!$M$6:$M$60,C4456)=0,"⚠ หมวดไม่ตรงประเภท","✓"))))</f>
        <v/>
      </c>
    </row>
    <row r="4457">
      <c r="B4457" s="113" t="n"/>
      <c r="C4457" s="114" t="n"/>
      <c r="D4457" s="115" t="n"/>
      <c r="E4457" s="116" t="n"/>
      <c r="F4457" s="115" t="n"/>
      <c r="G4457" s="117">
        <f>IF(COUNTA(B4457:E4457)=0,"",IF(COUNTA(B4457:E4457)&lt;4,"⚠ กรอกไม่ครบ",IF(NOT(ISNUMBER(B4457)),"⚠ วันที่ไม่ถูกต้อง",IF(COUNTIFS(Setup!$L$6:$L$60,D4457,Setup!$M$6:$M$60,C4457)=0,"⚠ หมวดไม่ตรงประเภท","✓"))))</f>
        <v/>
      </c>
    </row>
    <row r="4458">
      <c r="B4458" s="113" t="n"/>
      <c r="C4458" s="114" t="n"/>
      <c r="D4458" s="115" t="n"/>
      <c r="E4458" s="116" t="n"/>
      <c r="F4458" s="115" t="n"/>
      <c r="G4458" s="117">
        <f>IF(COUNTA(B4458:E4458)=0,"",IF(COUNTA(B4458:E4458)&lt;4,"⚠ กรอกไม่ครบ",IF(NOT(ISNUMBER(B4458)),"⚠ วันที่ไม่ถูกต้อง",IF(COUNTIFS(Setup!$L$6:$L$60,D4458,Setup!$M$6:$M$60,C4458)=0,"⚠ หมวดไม่ตรงประเภท","✓"))))</f>
        <v/>
      </c>
    </row>
    <row r="4459">
      <c r="B4459" s="113" t="n"/>
      <c r="C4459" s="114" t="n"/>
      <c r="D4459" s="115" t="n"/>
      <c r="E4459" s="116" t="n"/>
      <c r="F4459" s="115" t="n"/>
      <c r="G4459" s="117">
        <f>IF(COUNTA(B4459:E4459)=0,"",IF(COUNTA(B4459:E4459)&lt;4,"⚠ กรอกไม่ครบ",IF(NOT(ISNUMBER(B4459)),"⚠ วันที่ไม่ถูกต้อง",IF(COUNTIFS(Setup!$L$6:$L$60,D4459,Setup!$M$6:$M$60,C4459)=0,"⚠ หมวดไม่ตรงประเภท","✓"))))</f>
        <v/>
      </c>
    </row>
    <row r="4460">
      <c r="B4460" s="113" t="n"/>
      <c r="C4460" s="114" t="n"/>
      <c r="D4460" s="115" t="n"/>
      <c r="E4460" s="116" t="n"/>
      <c r="F4460" s="115" t="n"/>
      <c r="G4460" s="117">
        <f>IF(COUNTA(B4460:E4460)=0,"",IF(COUNTA(B4460:E4460)&lt;4,"⚠ กรอกไม่ครบ",IF(NOT(ISNUMBER(B4460)),"⚠ วันที่ไม่ถูกต้อง",IF(COUNTIFS(Setup!$L$6:$L$60,D4460,Setup!$M$6:$M$60,C4460)=0,"⚠ หมวดไม่ตรงประเภท","✓"))))</f>
        <v/>
      </c>
    </row>
    <row r="4461">
      <c r="B4461" s="113" t="n"/>
      <c r="C4461" s="114" t="n"/>
      <c r="D4461" s="115" t="n"/>
      <c r="E4461" s="116" t="n"/>
      <c r="F4461" s="115" t="n"/>
      <c r="G4461" s="117">
        <f>IF(COUNTA(B4461:E4461)=0,"",IF(COUNTA(B4461:E4461)&lt;4,"⚠ กรอกไม่ครบ",IF(NOT(ISNUMBER(B4461)),"⚠ วันที่ไม่ถูกต้อง",IF(COUNTIFS(Setup!$L$6:$L$60,D4461,Setup!$M$6:$M$60,C4461)=0,"⚠ หมวดไม่ตรงประเภท","✓"))))</f>
        <v/>
      </c>
    </row>
    <row r="4462">
      <c r="B4462" s="113" t="n"/>
      <c r="C4462" s="114" t="n"/>
      <c r="D4462" s="115" t="n"/>
      <c r="E4462" s="116" t="n"/>
      <c r="F4462" s="115" t="n"/>
      <c r="G4462" s="117">
        <f>IF(COUNTA(B4462:E4462)=0,"",IF(COUNTA(B4462:E4462)&lt;4,"⚠ กรอกไม่ครบ",IF(NOT(ISNUMBER(B4462)),"⚠ วันที่ไม่ถูกต้อง",IF(COUNTIFS(Setup!$L$6:$L$60,D4462,Setup!$M$6:$M$60,C4462)=0,"⚠ หมวดไม่ตรงประเภท","✓"))))</f>
        <v/>
      </c>
    </row>
    <row r="4463">
      <c r="B4463" s="113" t="n"/>
      <c r="C4463" s="114" t="n"/>
      <c r="D4463" s="115" t="n"/>
      <c r="E4463" s="116" t="n"/>
      <c r="F4463" s="115" t="n"/>
      <c r="G4463" s="117">
        <f>IF(COUNTA(B4463:E4463)=0,"",IF(COUNTA(B4463:E4463)&lt;4,"⚠ กรอกไม่ครบ",IF(NOT(ISNUMBER(B4463)),"⚠ วันที่ไม่ถูกต้อง",IF(COUNTIFS(Setup!$L$6:$L$60,D4463,Setup!$M$6:$M$60,C4463)=0,"⚠ หมวดไม่ตรงประเภท","✓"))))</f>
        <v/>
      </c>
    </row>
    <row r="4464">
      <c r="B4464" s="113" t="n"/>
      <c r="C4464" s="114" t="n"/>
      <c r="D4464" s="115" t="n"/>
      <c r="E4464" s="116" t="n"/>
      <c r="F4464" s="115" t="n"/>
      <c r="G4464" s="117">
        <f>IF(COUNTA(B4464:E4464)=0,"",IF(COUNTA(B4464:E4464)&lt;4,"⚠ กรอกไม่ครบ",IF(NOT(ISNUMBER(B4464)),"⚠ วันที่ไม่ถูกต้อง",IF(COUNTIFS(Setup!$L$6:$L$60,D4464,Setup!$M$6:$M$60,C4464)=0,"⚠ หมวดไม่ตรงประเภท","✓"))))</f>
        <v/>
      </c>
    </row>
    <row r="4465">
      <c r="B4465" s="113" t="n"/>
      <c r="C4465" s="114" t="n"/>
      <c r="D4465" s="115" t="n"/>
      <c r="E4465" s="116" t="n"/>
      <c r="F4465" s="115" t="n"/>
      <c r="G4465" s="117">
        <f>IF(COUNTA(B4465:E4465)=0,"",IF(COUNTA(B4465:E4465)&lt;4,"⚠ กรอกไม่ครบ",IF(NOT(ISNUMBER(B4465)),"⚠ วันที่ไม่ถูกต้อง",IF(COUNTIFS(Setup!$L$6:$L$60,D4465,Setup!$M$6:$M$60,C4465)=0,"⚠ หมวดไม่ตรงประเภท","✓"))))</f>
        <v/>
      </c>
    </row>
    <row r="4466">
      <c r="B4466" s="113" t="n"/>
      <c r="C4466" s="114" t="n"/>
      <c r="D4466" s="115" t="n"/>
      <c r="E4466" s="116" t="n"/>
      <c r="F4466" s="115" t="n"/>
      <c r="G4466" s="117">
        <f>IF(COUNTA(B4466:E4466)=0,"",IF(COUNTA(B4466:E4466)&lt;4,"⚠ กรอกไม่ครบ",IF(NOT(ISNUMBER(B4466)),"⚠ วันที่ไม่ถูกต้อง",IF(COUNTIFS(Setup!$L$6:$L$60,D4466,Setup!$M$6:$M$60,C4466)=0,"⚠ หมวดไม่ตรงประเภท","✓"))))</f>
        <v/>
      </c>
    </row>
    <row r="4467">
      <c r="B4467" s="113" t="n"/>
      <c r="C4467" s="114" t="n"/>
      <c r="D4467" s="115" t="n"/>
      <c r="E4467" s="116" t="n"/>
      <c r="F4467" s="115" t="n"/>
      <c r="G4467" s="117">
        <f>IF(COUNTA(B4467:E4467)=0,"",IF(COUNTA(B4467:E4467)&lt;4,"⚠ กรอกไม่ครบ",IF(NOT(ISNUMBER(B4467)),"⚠ วันที่ไม่ถูกต้อง",IF(COUNTIFS(Setup!$L$6:$L$60,D4467,Setup!$M$6:$M$60,C4467)=0,"⚠ หมวดไม่ตรงประเภท","✓"))))</f>
        <v/>
      </c>
    </row>
    <row r="4468">
      <c r="B4468" s="113" t="n"/>
      <c r="C4468" s="114" t="n"/>
      <c r="D4468" s="115" t="n"/>
      <c r="E4468" s="116" t="n"/>
      <c r="F4468" s="115" t="n"/>
      <c r="G4468" s="117">
        <f>IF(COUNTA(B4468:E4468)=0,"",IF(COUNTA(B4468:E4468)&lt;4,"⚠ กรอกไม่ครบ",IF(NOT(ISNUMBER(B4468)),"⚠ วันที่ไม่ถูกต้อง",IF(COUNTIFS(Setup!$L$6:$L$60,D4468,Setup!$M$6:$M$60,C4468)=0,"⚠ หมวดไม่ตรงประเภท","✓"))))</f>
        <v/>
      </c>
    </row>
    <row r="4469">
      <c r="B4469" s="113" t="n"/>
      <c r="C4469" s="114" t="n"/>
      <c r="D4469" s="115" t="n"/>
      <c r="E4469" s="116" t="n"/>
      <c r="F4469" s="115" t="n"/>
      <c r="G4469" s="117">
        <f>IF(COUNTA(B4469:E4469)=0,"",IF(COUNTA(B4469:E4469)&lt;4,"⚠ กรอกไม่ครบ",IF(NOT(ISNUMBER(B4469)),"⚠ วันที่ไม่ถูกต้อง",IF(COUNTIFS(Setup!$L$6:$L$60,D4469,Setup!$M$6:$M$60,C4469)=0,"⚠ หมวดไม่ตรงประเภท","✓"))))</f>
        <v/>
      </c>
    </row>
    <row r="4470">
      <c r="B4470" s="113" t="n"/>
      <c r="C4470" s="114" t="n"/>
      <c r="D4470" s="115" t="n"/>
      <c r="E4470" s="116" t="n"/>
      <c r="F4470" s="115" t="n"/>
      <c r="G4470" s="117">
        <f>IF(COUNTA(B4470:E4470)=0,"",IF(COUNTA(B4470:E4470)&lt;4,"⚠ กรอกไม่ครบ",IF(NOT(ISNUMBER(B4470)),"⚠ วันที่ไม่ถูกต้อง",IF(COUNTIFS(Setup!$L$6:$L$60,D4470,Setup!$M$6:$M$60,C4470)=0,"⚠ หมวดไม่ตรงประเภท","✓"))))</f>
        <v/>
      </c>
    </row>
    <row r="4471">
      <c r="B4471" s="113" t="n"/>
      <c r="C4471" s="114" t="n"/>
      <c r="D4471" s="115" t="n"/>
      <c r="E4471" s="116" t="n"/>
      <c r="F4471" s="115" t="n"/>
      <c r="G4471" s="117">
        <f>IF(COUNTA(B4471:E4471)=0,"",IF(COUNTA(B4471:E4471)&lt;4,"⚠ กรอกไม่ครบ",IF(NOT(ISNUMBER(B4471)),"⚠ วันที่ไม่ถูกต้อง",IF(COUNTIFS(Setup!$L$6:$L$60,D4471,Setup!$M$6:$M$60,C4471)=0,"⚠ หมวดไม่ตรงประเภท","✓"))))</f>
        <v/>
      </c>
    </row>
    <row r="4472">
      <c r="B4472" s="113" t="n"/>
      <c r="C4472" s="114" t="n"/>
      <c r="D4472" s="115" t="n"/>
      <c r="E4472" s="116" t="n"/>
      <c r="F4472" s="115" t="n"/>
      <c r="G4472" s="117">
        <f>IF(COUNTA(B4472:E4472)=0,"",IF(COUNTA(B4472:E4472)&lt;4,"⚠ กรอกไม่ครบ",IF(NOT(ISNUMBER(B4472)),"⚠ วันที่ไม่ถูกต้อง",IF(COUNTIFS(Setup!$L$6:$L$60,D4472,Setup!$M$6:$M$60,C4472)=0,"⚠ หมวดไม่ตรงประเภท","✓"))))</f>
        <v/>
      </c>
    </row>
    <row r="4473">
      <c r="B4473" s="113" t="n"/>
      <c r="C4473" s="114" t="n"/>
      <c r="D4473" s="115" t="n"/>
      <c r="E4473" s="116" t="n"/>
      <c r="F4473" s="115" t="n"/>
      <c r="G4473" s="117">
        <f>IF(COUNTA(B4473:E4473)=0,"",IF(COUNTA(B4473:E4473)&lt;4,"⚠ กรอกไม่ครบ",IF(NOT(ISNUMBER(B4473)),"⚠ วันที่ไม่ถูกต้อง",IF(COUNTIFS(Setup!$L$6:$L$60,D4473,Setup!$M$6:$M$60,C4473)=0,"⚠ หมวดไม่ตรงประเภท","✓"))))</f>
        <v/>
      </c>
    </row>
    <row r="4474">
      <c r="B4474" s="113" t="n"/>
      <c r="C4474" s="114" t="n"/>
      <c r="D4474" s="115" t="n"/>
      <c r="E4474" s="116" t="n"/>
      <c r="F4474" s="115" t="n"/>
      <c r="G4474" s="117">
        <f>IF(COUNTA(B4474:E4474)=0,"",IF(COUNTA(B4474:E4474)&lt;4,"⚠ กรอกไม่ครบ",IF(NOT(ISNUMBER(B4474)),"⚠ วันที่ไม่ถูกต้อง",IF(COUNTIFS(Setup!$L$6:$L$60,D4474,Setup!$M$6:$M$60,C4474)=0,"⚠ หมวดไม่ตรงประเภท","✓"))))</f>
        <v/>
      </c>
    </row>
    <row r="4475">
      <c r="B4475" s="113" t="n"/>
      <c r="C4475" s="114" t="n"/>
      <c r="D4475" s="115" t="n"/>
      <c r="E4475" s="116" t="n"/>
      <c r="F4475" s="115" t="n"/>
      <c r="G4475" s="117">
        <f>IF(COUNTA(B4475:E4475)=0,"",IF(COUNTA(B4475:E4475)&lt;4,"⚠ กรอกไม่ครบ",IF(NOT(ISNUMBER(B4475)),"⚠ วันที่ไม่ถูกต้อง",IF(COUNTIFS(Setup!$L$6:$L$60,D4475,Setup!$M$6:$M$60,C4475)=0,"⚠ หมวดไม่ตรงประเภท","✓"))))</f>
        <v/>
      </c>
    </row>
    <row r="4476">
      <c r="B4476" s="113" t="n"/>
      <c r="C4476" s="114" t="n"/>
      <c r="D4476" s="115" t="n"/>
      <c r="E4476" s="116" t="n"/>
      <c r="F4476" s="115" t="n"/>
      <c r="G4476" s="117">
        <f>IF(COUNTA(B4476:E4476)=0,"",IF(COUNTA(B4476:E4476)&lt;4,"⚠ กรอกไม่ครบ",IF(NOT(ISNUMBER(B4476)),"⚠ วันที่ไม่ถูกต้อง",IF(COUNTIFS(Setup!$L$6:$L$60,D4476,Setup!$M$6:$M$60,C4476)=0,"⚠ หมวดไม่ตรงประเภท","✓"))))</f>
        <v/>
      </c>
    </row>
    <row r="4477">
      <c r="B4477" s="113" t="n"/>
      <c r="C4477" s="114" t="n"/>
      <c r="D4477" s="115" t="n"/>
      <c r="E4477" s="116" t="n"/>
      <c r="F4477" s="115" t="n"/>
      <c r="G4477" s="117">
        <f>IF(COUNTA(B4477:E4477)=0,"",IF(COUNTA(B4477:E4477)&lt;4,"⚠ กรอกไม่ครบ",IF(NOT(ISNUMBER(B4477)),"⚠ วันที่ไม่ถูกต้อง",IF(COUNTIFS(Setup!$L$6:$L$60,D4477,Setup!$M$6:$M$60,C4477)=0,"⚠ หมวดไม่ตรงประเภท","✓"))))</f>
        <v/>
      </c>
    </row>
    <row r="4478">
      <c r="B4478" s="113" t="n"/>
      <c r="C4478" s="114" t="n"/>
      <c r="D4478" s="115" t="n"/>
      <c r="E4478" s="116" t="n"/>
      <c r="F4478" s="115" t="n"/>
      <c r="G4478" s="117">
        <f>IF(COUNTA(B4478:E4478)=0,"",IF(COUNTA(B4478:E4478)&lt;4,"⚠ กรอกไม่ครบ",IF(NOT(ISNUMBER(B4478)),"⚠ วันที่ไม่ถูกต้อง",IF(COUNTIFS(Setup!$L$6:$L$60,D4478,Setup!$M$6:$M$60,C4478)=0,"⚠ หมวดไม่ตรงประเภท","✓"))))</f>
        <v/>
      </c>
    </row>
    <row r="4479">
      <c r="B4479" s="113" t="n"/>
      <c r="C4479" s="114" t="n"/>
      <c r="D4479" s="115" t="n"/>
      <c r="E4479" s="116" t="n"/>
      <c r="F4479" s="115" t="n"/>
      <c r="G4479" s="117">
        <f>IF(COUNTA(B4479:E4479)=0,"",IF(COUNTA(B4479:E4479)&lt;4,"⚠ กรอกไม่ครบ",IF(NOT(ISNUMBER(B4479)),"⚠ วันที่ไม่ถูกต้อง",IF(COUNTIFS(Setup!$L$6:$L$60,D4479,Setup!$M$6:$M$60,C4479)=0,"⚠ หมวดไม่ตรงประเภท","✓"))))</f>
        <v/>
      </c>
    </row>
    <row r="4480">
      <c r="B4480" s="113" t="n"/>
      <c r="C4480" s="114" t="n"/>
      <c r="D4480" s="115" t="n"/>
      <c r="E4480" s="116" t="n"/>
      <c r="F4480" s="115" t="n"/>
      <c r="G4480" s="117">
        <f>IF(COUNTA(B4480:E4480)=0,"",IF(COUNTA(B4480:E4480)&lt;4,"⚠ กรอกไม่ครบ",IF(NOT(ISNUMBER(B4480)),"⚠ วันที่ไม่ถูกต้อง",IF(COUNTIFS(Setup!$L$6:$L$60,D4480,Setup!$M$6:$M$60,C4480)=0,"⚠ หมวดไม่ตรงประเภท","✓"))))</f>
        <v/>
      </c>
    </row>
    <row r="4481">
      <c r="B4481" s="113" t="n"/>
      <c r="C4481" s="114" t="n"/>
      <c r="D4481" s="115" t="n"/>
      <c r="E4481" s="116" t="n"/>
      <c r="F4481" s="115" t="n"/>
      <c r="G4481" s="117">
        <f>IF(COUNTA(B4481:E4481)=0,"",IF(COUNTA(B4481:E4481)&lt;4,"⚠ กรอกไม่ครบ",IF(NOT(ISNUMBER(B4481)),"⚠ วันที่ไม่ถูกต้อง",IF(COUNTIFS(Setup!$L$6:$L$60,D4481,Setup!$M$6:$M$60,C4481)=0,"⚠ หมวดไม่ตรงประเภท","✓"))))</f>
        <v/>
      </c>
    </row>
    <row r="4482">
      <c r="B4482" s="113" t="n"/>
      <c r="C4482" s="114" t="n"/>
      <c r="D4482" s="115" t="n"/>
      <c r="E4482" s="116" t="n"/>
      <c r="F4482" s="115" t="n"/>
      <c r="G4482" s="117">
        <f>IF(COUNTA(B4482:E4482)=0,"",IF(COUNTA(B4482:E4482)&lt;4,"⚠ กรอกไม่ครบ",IF(NOT(ISNUMBER(B4482)),"⚠ วันที่ไม่ถูกต้อง",IF(COUNTIFS(Setup!$L$6:$L$60,D4482,Setup!$M$6:$M$60,C4482)=0,"⚠ หมวดไม่ตรงประเภท","✓"))))</f>
        <v/>
      </c>
    </row>
    <row r="4483">
      <c r="B4483" s="113" t="n"/>
      <c r="C4483" s="114" t="n"/>
      <c r="D4483" s="115" t="n"/>
      <c r="E4483" s="116" t="n"/>
      <c r="F4483" s="115" t="n"/>
      <c r="G4483" s="117">
        <f>IF(COUNTA(B4483:E4483)=0,"",IF(COUNTA(B4483:E4483)&lt;4,"⚠ กรอกไม่ครบ",IF(NOT(ISNUMBER(B4483)),"⚠ วันที่ไม่ถูกต้อง",IF(COUNTIFS(Setup!$L$6:$L$60,D4483,Setup!$M$6:$M$60,C4483)=0,"⚠ หมวดไม่ตรงประเภท","✓"))))</f>
        <v/>
      </c>
    </row>
    <row r="4484">
      <c r="B4484" s="113" t="n"/>
      <c r="C4484" s="114" t="n"/>
      <c r="D4484" s="115" t="n"/>
      <c r="E4484" s="116" t="n"/>
      <c r="F4484" s="115" t="n"/>
      <c r="G4484" s="117">
        <f>IF(COUNTA(B4484:E4484)=0,"",IF(COUNTA(B4484:E4484)&lt;4,"⚠ กรอกไม่ครบ",IF(NOT(ISNUMBER(B4484)),"⚠ วันที่ไม่ถูกต้อง",IF(COUNTIFS(Setup!$L$6:$L$60,D4484,Setup!$M$6:$M$60,C4484)=0,"⚠ หมวดไม่ตรงประเภท","✓"))))</f>
        <v/>
      </c>
    </row>
    <row r="4485">
      <c r="B4485" s="113" t="n"/>
      <c r="C4485" s="114" t="n"/>
      <c r="D4485" s="115" t="n"/>
      <c r="E4485" s="116" t="n"/>
      <c r="F4485" s="115" t="n"/>
      <c r="G4485" s="117">
        <f>IF(COUNTA(B4485:E4485)=0,"",IF(COUNTA(B4485:E4485)&lt;4,"⚠ กรอกไม่ครบ",IF(NOT(ISNUMBER(B4485)),"⚠ วันที่ไม่ถูกต้อง",IF(COUNTIFS(Setup!$L$6:$L$60,D4485,Setup!$M$6:$M$60,C4485)=0,"⚠ หมวดไม่ตรงประเภท","✓"))))</f>
        <v/>
      </c>
    </row>
    <row r="4486">
      <c r="B4486" s="113" t="n"/>
      <c r="C4486" s="114" t="n"/>
      <c r="D4486" s="115" t="n"/>
      <c r="E4486" s="116" t="n"/>
      <c r="F4486" s="115" t="n"/>
      <c r="G4486" s="117">
        <f>IF(COUNTA(B4486:E4486)=0,"",IF(COUNTA(B4486:E4486)&lt;4,"⚠ กรอกไม่ครบ",IF(NOT(ISNUMBER(B4486)),"⚠ วันที่ไม่ถูกต้อง",IF(COUNTIFS(Setup!$L$6:$L$60,D4486,Setup!$M$6:$M$60,C4486)=0,"⚠ หมวดไม่ตรงประเภท","✓"))))</f>
        <v/>
      </c>
    </row>
    <row r="4487">
      <c r="B4487" s="113" t="n"/>
      <c r="C4487" s="114" t="n"/>
      <c r="D4487" s="115" t="n"/>
      <c r="E4487" s="116" t="n"/>
      <c r="F4487" s="115" t="n"/>
      <c r="G4487" s="117">
        <f>IF(COUNTA(B4487:E4487)=0,"",IF(COUNTA(B4487:E4487)&lt;4,"⚠ กรอกไม่ครบ",IF(NOT(ISNUMBER(B4487)),"⚠ วันที่ไม่ถูกต้อง",IF(COUNTIFS(Setup!$L$6:$L$60,D4487,Setup!$M$6:$M$60,C4487)=0,"⚠ หมวดไม่ตรงประเภท","✓"))))</f>
        <v/>
      </c>
    </row>
    <row r="4488">
      <c r="B4488" s="113" t="n"/>
      <c r="C4488" s="114" t="n"/>
      <c r="D4488" s="115" t="n"/>
      <c r="E4488" s="116" t="n"/>
      <c r="F4488" s="115" t="n"/>
      <c r="G4488" s="117">
        <f>IF(COUNTA(B4488:E4488)=0,"",IF(COUNTA(B4488:E4488)&lt;4,"⚠ กรอกไม่ครบ",IF(NOT(ISNUMBER(B4488)),"⚠ วันที่ไม่ถูกต้อง",IF(COUNTIFS(Setup!$L$6:$L$60,D4488,Setup!$M$6:$M$60,C4488)=0,"⚠ หมวดไม่ตรงประเภท","✓"))))</f>
        <v/>
      </c>
    </row>
    <row r="4489">
      <c r="B4489" s="113" t="n"/>
      <c r="C4489" s="114" t="n"/>
      <c r="D4489" s="115" t="n"/>
      <c r="E4489" s="116" t="n"/>
      <c r="F4489" s="115" t="n"/>
      <c r="G4489" s="117">
        <f>IF(COUNTA(B4489:E4489)=0,"",IF(COUNTA(B4489:E4489)&lt;4,"⚠ กรอกไม่ครบ",IF(NOT(ISNUMBER(B4489)),"⚠ วันที่ไม่ถูกต้อง",IF(COUNTIFS(Setup!$L$6:$L$60,D4489,Setup!$M$6:$M$60,C4489)=0,"⚠ หมวดไม่ตรงประเภท","✓"))))</f>
        <v/>
      </c>
    </row>
    <row r="4490">
      <c r="B4490" s="113" t="n"/>
      <c r="C4490" s="114" t="n"/>
      <c r="D4490" s="115" t="n"/>
      <c r="E4490" s="116" t="n"/>
      <c r="F4490" s="115" t="n"/>
      <c r="G4490" s="117">
        <f>IF(COUNTA(B4490:E4490)=0,"",IF(COUNTA(B4490:E4490)&lt;4,"⚠ กรอกไม่ครบ",IF(NOT(ISNUMBER(B4490)),"⚠ วันที่ไม่ถูกต้อง",IF(COUNTIFS(Setup!$L$6:$L$60,D4490,Setup!$M$6:$M$60,C4490)=0,"⚠ หมวดไม่ตรงประเภท","✓"))))</f>
        <v/>
      </c>
    </row>
    <row r="4491">
      <c r="B4491" s="113" t="n"/>
      <c r="C4491" s="114" t="n"/>
      <c r="D4491" s="115" t="n"/>
      <c r="E4491" s="116" t="n"/>
      <c r="F4491" s="115" t="n"/>
      <c r="G4491" s="117">
        <f>IF(COUNTA(B4491:E4491)=0,"",IF(COUNTA(B4491:E4491)&lt;4,"⚠ กรอกไม่ครบ",IF(NOT(ISNUMBER(B4491)),"⚠ วันที่ไม่ถูกต้อง",IF(COUNTIFS(Setup!$L$6:$L$60,D4491,Setup!$M$6:$M$60,C4491)=0,"⚠ หมวดไม่ตรงประเภท","✓"))))</f>
        <v/>
      </c>
    </row>
    <row r="4492">
      <c r="B4492" s="113" t="n"/>
      <c r="C4492" s="114" t="n"/>
      <c r="D4492" s="115" t="n"/>
      <c r="E4492" s="116" t="n"/>
      <c r="F4492" s="115" t="n"/>
      <c r="G4492" s="117">
        <f>IF(COUNTA(B4492:E4492)=0,"",IF(COUNTA(B4492:E4492)&lt;4,"⚠ กรอกไม่ครบ",IF(NOT(ISNUMBER(B4492)),"⚠ วันที่ไม่ถูกต้อง",IF(COUNTIFS(Setup!$L$6:$L$60,D4492,Setup!$M$6:$M$60,C4492)=0,"⚠ หมวดไม่ตรงประเภท","✓"))))</f>
        <v/>
      </c>
    </row>
    <row r="4493">
      <c r="B4493" s="113" t="n"/>
      <c r="C4493" s="114" t="n"/>
      <c r="D4493" s="115" t="n"/>
      <c r="E4493" s="116" t="n"/>
      <c r="F4493" s="115" t="n"/>
      <c r="G4493" s="117">
        <f>IF(COUNTA(B4493:E4493)=0,"",IF(COUNTA(B4493:E4493)&lt;4,"⚠ กรอกไม่ครบ",IF(NOT(ISNUMBER(B4493)),"⚠ วันที่ไม่ถูกต้อง",IF(COUNTIFS(Setup!$L$6:$L$60,D4493,Setup!$M$6:$M$60,C4493)=0,"⚠ หมวดไม่ตรงประเภท","✓"))))</f>
        <v/>
      </c>
    </row>
    <row r="4494">
      <c r="B4494" s="113" t="n"/>
      <c r="C4494" s="114" t="n"/>
      <c r="D4494" s="115" t="n"/>
      <c r="E4494" s="116" t="n"/>
      <c r="F4494" s="115" t="n"/>
      <c r="G4494" s="117">
        <f>IF(COUNTA(B4494:E4494)=0,"",IF(COUNTA(B4494:E4494)&lt;4,"⚠ กรอกไม่ครบ",IF(NOT(ISNUMBER(B4494)),"⚠ วันที่ไม่ถูกต้อง",IF(COUNTIFS(Setup!$L$6:$L$60,D4494,Setup!$M$6:$M$60,C4494)=0,"⚠ หมวดไม่ตรงประเภท","✓"))))</f>
        <v/>
      </c>
    </row>
    <row r="4495">
      <c r="B4495" s="113" t="n"/>
      <c r="C4495" s="114" t="n"/>
      <c r="D4495" s="115" t="n"/>
      <c r="E4495" s="116" t="n"/>
      <c r="F4495" s="115" t="n"/>
      <c r="G4495" s="117">
        <f>IF(COUNTA(B4495:E4495)=0,"",IF(COUNTA(B4495:E4495)&lt;4,"⚠ กรอกไม่ครบ",IF(NOT(ISNUMBER(B4495)),"⚠ วันที่ไม่ถูกต้อง",IF(COUNTIFS(Setup!$L$6:$L$60,D4495,Setup!$M$6:$M$60,C4495)=0,"⚠ หมวดไม่ตรงประเภท","✓"))))</f>
        <v/>
      </c>
    </row>
    <row r="4496">
      <c r="B4496" s="113" t="n"/>
      <c r="C4496" s="114" t="n"/>
      <c r="D4496" s="115" t="n"/>
      <c r="E4496" s="116" t="n"/>
      <c r="F4496" s="115" t="n"/>
      <c r="G4496" s="117">
        <f>IF(COUNTA(B4496:E4496)=0,"",IF(COUNTA(B4496:E4496)&lt;4,"⚠ กรอกไม่ครบ",IF(NOT(ISNUMBER(B4496)),"⚠ วันที่ไม่ถูกต้อง",IF(COUNTIFS(Setup!$L$6:$L$60,D4496,Setup!$M$6:$M$60,C4496)=0,"⚠ หมวดไม่ตรงประเภท","✓"))))</f>
        <v/>
      </c>
    </row>
    <row r="4497">
      <c r="B4497" s="113" t="n"/>
      <c r="C4497" s="114" t="n"/>
      <c r="D4497" s="115" t="n"/>
      <c r="E4497" s="116" t="n"/>
      <c r="F4497" s="115" t="n"/>
      <c r="G4497" s="117">
        <f>IF(COUNTA(B4497:E4497)=0,"",IF(COUNTA(B4497:E4497)&lt;4,"⚠ กรอกไม่ครบ",IF(NOT(ISNUMBER(B4497)),"⚠ วันที่ไม่ถูกต้อง",IF(COUNTIFS(Setup!$L$6:$L$60,D4497,Setup!$M$6:$M$60,C4497)=0,"⚠ หมวดไม่ตรงประเภท","✓"))))</f>
        <v/>
      </c>
    </row>
    <row r="4498">
      <c r="B4498" s="113" t="n"/>
      <c r="C4498" s="114" t="n"/>
      <c r="D4498" s="115" t="n"/>
      <c r="E4498" s="116" t="n"/>
      <c r="F4498" s="115" t="n"/>
      <c r="G4498" s="117">
        <f>IF(COUNTA(B4498:E4498)=0,"",IF(COUNTA(B4498:E4498)&lt;4,"⚠ กรอกไม่ครบ",IF(NOT(ISNUMBER(B4498)),"⚠ วันที่ไม่ถูกต้อง",IF(COUNTIFS(Setup!$L$6:$L$60,D4498,Setup!$M$6:$M$60,C4498)=0,"⚠ หมวดไม่ตรงประเภท","✓"))))</f>
        <v/>
      </c>
    </row>
    <row r="4499">
      <c r="B4499" s="113" t="n"/>
      <c r="C4499" s="114" t="n"/>
      <c r="D4499" s="115" t="n"/>
      <c r="E4499" s="116" t="n"/>
      <c r="F4499" s="115" t="n"/>
      <c r="G4499" s="117">
        <f>IF(COUNTA(B4499:E4499)=0,"",IF(COUNTA(B4499:E4499)&lt;4,"⚠ กรอกไม่ครบ",IF(NOT(ISNUMBER(B4499)),"⚠ วันที่ไม่ถูกต้อง",IF(COUNTIFS(Setup!$L$6:$L$60,D4499,Setup!$M$6:$M$60,C4499)=0,"⚠ หมวดไม่ตรงประเภท","✓"))))</f>
        <v/>
      </c>
    </row>
    <row r="4500">
      <c r="B4500" s="113" t="n"/>
      <c r="C4500" s="114" t="n"/>
      <c r="D4500" s="115" t="n"/>
      <c r="E4500" s="116" t="n"/>
      <c r="F4500" s="115" t="n"/>
      <c r="G4500" s="117">
        <f>IF(COUNTA(B4500:E4500)=0,"",IF(COUNTA(B4500:E4500)&lt;4,"⚠ กรอกไม่ครบ",IF(NOT(ISNUMBER(B4500)),"⚠ วันที่ไม่ถูกต้อง",IF(COUNTIFS(Setup!$L$6:$L$60,D4500,Setup!$M$6:$M$60,C4500)=0,"⚠ หมวดไม่ตรงประเภท","✓"))))</f>
        <v/>
      </c>
    </row>
    <row r="4501">
      <c r="B4501" s="113" t="n"/>
      <c r="C4501" s="114" t="n"/>
      <c r="D4501" s="115" t="n"/>
      <c r="E4501" s="116" t="n"/>
      <c r="F4501" s="115" t="n"/>
      <c r="G4501" s="117">
        <f>IF(COUNTA(B4501:E4501)=0,"",IF(COUNTA(B4501:E4501)&lt;4,"⚠ กรอกไม่ครบ",IF(NOT(ISNUMBER(B4501)),"⚠ วันที่ไม่ถูกต้อง",IF(COUNTIFS(Setup!$L$6:$L$60,D4501,Setup!$M$6:$M$60,C4501)=0,"⚠ หมวดไม่ตรงประเภท","✓"))))</f>
        <v/>
      </c>
    </row>
    <row r="4502">
      <c r="B4502" s="113" t="n"/>
      <c r="C4502" s="114" t="n"/>
      <c r="D4502" s="115" t="n"/>
      <c r="E4502" s="116" t="n"/>
      <c r="F4502" s="115" t="n"/>
      <c r="G4502" s="117">
        <f>IF(COUNTA(B4502:E4502)=0,"",IF(COUNTA(B4502:E4502)&lt;4,"⚠ กรอกไม่ครบ",IF(NOT(ISNUMBER(B4502)),"⚠ วันที่ไม่ถูกต้อง",IF(COUNTIFS(Setup!$L$6:$L$60,D4502,Setup!$M$6:$M$60,C4502)=0,"⚠ หมวดไม่ตรงประเภท","✓"))))</f>
        <v/>
      </c>
    </row>
    <row r="4503">
      <c r="B4503" s="113" t="n"/>
      <c r="C4503" s="114" t="n"/>
      <c r="D4503" s="115" t="n"/>
      <c r="E4503" s="116" t="n"/>
      <c r="F4503" s="115" t="n"/>
      <c r="G4503" s="117">
        <f>IF(COUNTA(B4503:E4503)=0,"",IF(COUNTA(B4503:E4503)&lt;4,"⚠ กรอกไม่ครบ",IF(NOT(ISNUMBER(B4503)),"⚠ วันที่ไม่ถูกต้อง",IF(COUNTIFS(Setup!$L$6:$L$60,D4503,Setup!$M$6:$M$60,C4503)=0,"⚠ หมวดไม่ตรงประเภท","✓"))))</f>
        <v/>
      </c>
    </row>
    <row r="4504">
      <c r="B4504" s="113" t="n"/>
      <c r="C4504" s="114" t="n"/>
      <c r="D4504" s="115" t="n"/>
      <c r="E4504" s="116" t="n"/>
      <c r="F4504" s="115" t="n"/>
      <c r="G4504" s="117">
        <f>IF(COUNTA(B4504:E4504)=0,"",IF(COUNTA(B4504:E4504)&lt;4,"⚠ กรอกไม่ครบ",IF(NOT(ISNUMBER(B4504)),"⚠ วันที่ไม่ถูกต้อง",IF(COUNTIFS(Setup!$L$6:$L$60,D4504,Setup!$M$6:$M$60,C4504)=0,"⚠ หมวดไม่ตรงประเภท","✓"))))</f>
        <v/>
      </c>
    </row>
    <row r="4505">
      <c r="B4505" s="113" t="n"/>
      <c r="C4505" s="114" t="n"/>
      <c r="D4505" s="115" t="n"/>
      <c r="E4505" s="116" t="n"/>
      <c r="F4505" s="115" t="n"/>
      <c r="G4505" s="117">
        <f>IF(COUNTA(B4505:E4505)=0,"",IF(COUNTA(B4505:E4505)&lt;4,"⚠ กรอกไม่ครบ",IF(NOT(ISNUMBER(B4505)),"⚠ วันที่ไม่ถูกต้อง",IF(COUNTIFS(Setup!$L$6:$L$60,D4505,Setup!$M$6:$M$60,C4505)=0,"⚠ หมวดไม่ตรงประเภท","✓"))))</f>
        <v/>
      </c>
    </row>
    <row r="4506">
      <c r="B4506" s="113" t="n"/>
      <c r="C4506" s="114" t="n"/>
      <c r="D4506" s="115" t="n"/>
      <c r="E4506" s="116" t="n"/>
      <c r="F4506" s="115" t="n"/>
      <c r="G4506" s="117">
        <f>IF(COUNTA(B4506:E4506)=0,"",IF(COUNTA(B4506:E4506)&lt;4,"⚠ กรอกไม่ครบ",IF(NOT(ISNUMBER(B4506)),"⚠ วันที่ไม่ถูกต้อง",IF(COUNTIFS(Setup!$L$6:$L$60,D4506,Setup!$M$6:$M$60,C4506)=0,"⚠ หมวดไม่ตรงประเภท","✓"))))</f>
        <v/>
      </c>
    </row>
    <row r="4507">
      <c r="B4507" s="113" t="n"/>
      <c r="C4507" s="114" t="n"/>
      <c r="D4507" s="115" t="n"/>
      <c r="E4507" s="116" t="n"/>
      <c r="F4507" s="115" t="n"/>
      <c r="G4507" s="117">
        <f>IF(COUNTA(B4507:E4507)=0,"",IF(COUNTA(B4507:E4507)&lt;4,"⚠ กรอกไม่ครบ",IF(NOT(ISNUMBER(B4507)),"⚠ วันที่ไม่ถูกต้อง",IF(COUNTIFS(Setup!$L$6:$L$60,D4507,Setup!$M$6:$M$60,C4507)=0,"⚠ หมวดไม่ตรงประเภท","✓"))))</f>
        <v/>
      </c>
    </row>
    <row r="4508">
      <c r="B4508" s="113" t="n"/>
      <c r="C4508" s="114" t="n"/>
      <c r="D4508" s="115" t="n"/>
      <c r="E4508" s="116" t="n"/>
      <c r="F4508" s="115" t="n"/>
      <c r="G4508" s="117">
        <f>IF(COUNTA(B4508:E4508)=0,"",IF(COUNTA(B4508:E4508)&lt;4,"⚠ กรอกไม่ครบ",IF(NOT(ISNUMBER(B4508)),"⚠ วันที่ไม่ถูกต้อง",IF(COUNTIFS(Setup!$L$6:$L$60,D4508,Setup!$M$6:$M$60,C4508)=0,"⚠ หมวดไม่ตรงประเภท","✓"))))</f>
        <v/>
      </c>
    </row>
    <row r="4509">
      <c r="B4509" s="113" t="n"/>
      <c r="C4509" s="114" t="n"/>
      <c r="D4509" s="115" t="n"/>
      <c r="E4509" s="116" t="n"/>
      <c r="F4509" s="115" t="n"/>
      <c r="G4509" s="117">
        <f>IF(COUNTA(B4509:E4509)=0,"",IF(COUNTA(B4509:E4509)&lt;4,"⚠ กรอกไม่ครบ",IF(NOT(ISNUMBER(B4509)),"⚠ วันที่ไม่ถูกต้อง",IF(COUNTIFS(Setup!$L$6:$L$60,D4509,Setup!$M$6:$M$60,C4509)=0,"⚠ หมวดไม่ตรงประเภท","✓"))))</f>
        <v/>
      </c>
    </row>
    <row r="4510">
      <c r="B4510" s="113" t="n"/>
      <c r="C4510" s="114" t="n"/>
      <c r="D4510" s="115" t="n"/>
      <c r="E4510" s="116" t="n"/>
      <c r="F4510" s="115" t="n"/>
      <c r="G4510" s="117">
        <f>IF(COUNTA(B4510:E4510)=0,"",IF(COUNTA(B4510:E4510)&lt;4,"⚠ กรอกไม่ครบ",IF(NOT(ISNUMBER(B4510)),"⚠ วันที่ไม่ถูกต้อง",IF(COUNTIFS(Setup!$L$6:$L$60,D4510,Setup!$M$6:$M$60,C4510)=0,"⚠ หมวดไม่ตรงประเภท","✓"))))</f>
        <v/>
      </c>
    </row>
    <row r="4511">
      <c r="B4511" s="113" t="n"/>
      <c r="C4511" s="114" t="n"/>
      <c r="D4511" s="115" t="n"/>
      <c r="E4511" s="116" t="n"/>
      <c r="F4511" s="115" t="n"/>
      <c r="G4511" s="117">
        <f>IF(COUNTA(B4511:E4511)=0,"",IF(COUNTA(B4511:E4511)&lt;4,"⚠ กรอกไม่ครบ",IF(NOT(ISNUMBER(B4511)),"⚠ วันที่ไม่ถูกต้อง",IF(COUNTIFS(Setup!$L$6:$L$60,D4511,Setup!$M$6:$M$60,C4511)=0,"⚠ หมวดไม่ตรงประเภท","✓"))))</f>
        <v/>
      </c>
    </row>
    <row r="4512">
      <c r="B4512" s="113" t="n"/>
      <c r="C4512" s="114" t="n"/>
      <c r="D4512" s="115" t="n"/>
      <c r="E4512" s="116" t="n"/>
      <c r="F4512" s="115" t="n"/>
      <c r="G4512" s="117">
        <f>IF(COUNTA(B4512:E4512)=0,"",IF(COUNTA(B4512:E4512)&lt;4,"⚠ กรอกไม่ครบ",IF(NOT(ISNUMBER(B4512)),"⚠ วันที่ไม่ถูกต้อง",IF(COUNTIFS(Setup!$L$6:$L$60,D4512,Setup!$M$6:$M$60,C4512)=0,"⚠ หมวดไม่ตรงประเภท","✓"))))</f>
        <v/>
      </c>
    </row>
    <row r="4513">
      <c r="B4513" s="113" t="n"/>
      <c r="C4513" s="114" t="n"/>
      <c r="D4513" s="115" t="n"/>
      <c r="E4513" s="116" t="n"/>
      <c r="F4513" s="115" t="n"/>
      <c r="G4513" s="117">
        <f>IF(COUNTA(B4513:E4513)=0,"",IF(COUNTA(B4513:E4513)&lt;4,"⚠ กรอกไม่ครบ",IF(NOT(ISNUMBER(B4513)),"⚠ วันที่ไม่ถูกต้อง",IF(COUNTIFS(Setup!$L$6:$L$60,D4513,Setup!$M$6:$M$60,C4513)=0,"⚠ หมวดไม่ตรงประเภท","✓"))))</f>
        <v/>
      </c>
    </row>
    <row r="4514">
      <c r="B4514" s="113" t="n"/>
      <c r="C4514" s="114" t="n"/>
      <c r="D4514" s="115" t="n"/>
      <c r="E4514" s="116" t="n"/>
      <c r="F4514" s="115" t="n"/>
      <c r="G4514" s="117">
        <f>IF(COUNTA(B4514:E4514)=0,"",IF(COUNTA(B4514:E4514)&lt;4,"⚠ กรอกไม่ครบ",IF(NOT(ISNUMBER(B4514)),"⚠ วันที่ไม่ถูกต้อง",IF(COUNTIFS(Setup!$L$6:$L$60,D4514,Setup!$M$6:$M$60,C4514)=0,"⚠ หมวดไม่ตรงประเภท","✓"))))</f>
        <v/>
      </c>
    </row>
    <row r="4515">
      <c r="B4515" s="113" t="n"/>
      <c r="C4515" s="114" t="n"/>
      <c r="D4515" s="115" t="n"/>
      <c r="E4515" s="116" t="n"/>
      <c r="F4515" s="115" t="n"/>
      <c r="G4515" s="117">
        <f>IF(COUNTA(B4515:E4515)=0,"",IF(COUNTA(B4515:E4515)&lt;4,"⚠ กรอกไม่ครบ",IF(NOT(ISNUMBER(B4515)),"⚠ วันที่ไม่ถูกต้อง",IF(COUNTIFS(Setup!$L$6:$L$60,D4515,Setup!$M$6:$M$60,C4515)=0,"⚠ หมวดไม่ตรงประเภท","✓"))))</f>
        <v/>
      </c>
    </row>
    <row r="4516">
      <c r="B4516" s="113" t="n"/>
      <c r="C4516" s="114" t="n"/>
      <c r="D4516" s="115" t="n"/>
      <c r="E4516" s="116" t="n"/>
      <c r="F4516" s="115" t="n"/>
      <c r="G4516" s="117">
        <f>IF(COUNTA(B4516:E4516)=0,"",IF(COUNTA(B4516:E4516)&lt;4,"⚠ กรอกไม่ครบ",IF(NOT(ISNUMBER(B4516)),"⚠ วันที่ไม่ถูกต้อง",IF(COUNTIFS(Setup!$L$6:$L$60,D4516,Setup!$M$6:$M$60,C4516)=0,"⚠ หมวดไม่ตรงประเภท","✓"))))</f>
        <v/>
      </c>
    </row>
    <row r="4517">
      <c r="B4517" s="113" t="n"/>
      <c r="C4517" s="114" t="n"/>
      <c r="D4517" s="115" t="n"/>
      <c r="E4517" s="116" t="n"/>
      <c r="F4517" s="115" t="n"/>
      <c r="G4517" s="117">
        <f>IF(COUNTA(B4517:E4517)=0,"",IF(COUNTA(B4517:E4517)&lt;4,"⚠ กรอกไม่ครบ",IF(NOT(ISNUMBER(B4517)),"⚠ วันที่ไม่ถูกต้อง",IF(COUNTIFS(Setup!$L$6:$L$60,D4517,Setup!$M$6:$M$60,C4517)=0,"⚠ หมวดไม่ตรงประเภท","✓"))))</f>
        <v/>
      </c>
    </row>
    <row r="4518">
      <c r="B4518" s="113" t="n"/>
      <c r="C4518" s="114" t="n"/>
      <c r="D4518" s="115" t="n"/>
      <c r="E4518" s="116" t="n"/>
      <c r="F4518" s="115" t="n"/>
      <c r="G4518" s="117">
        <f>IF(COUNTA(B4518:E4518)=0,"",IF(COUNTA(B4518:E4518)&lt;4,"⚠ กรอกไม่ครบ",IF(NOT(ISNUMBER(B4518)),"⚠ วันที่ไม่ถูกต้อง",IF(COUNTIFS(Setup!$L$6:$L$60,D4518,Setup!$M$6:$M$60,C4518)=0,"⚠ หมวดไม่ตรงประเภท","✓"))))</f>
        <v/>
      </c>
    </row>
    <row r="4519">
      <c r="B4519" s="113" t="n"/>
      <c r="C4519" s="114" t="n"/>
      <c r="D4519" s="115" t="n"/>
      <c r="E4519" s="116" t="n"/>
      <c r="F4519" s="115" t="n"/>
      <c r="G4519" s="117">
        <f>IF(COUNTA(B4519:E4519)=0,"",IF(COUNTA(B4519:E4519)&lt;4,"⚠ กรอกไม่ครบ",IF(NOT(ISNUMBER(B4519)),"⚠ วันที่ไม่ถูกต้อง",IF(COUNTIFS(Setup!$L$6:$L$60,D4519,Setup!$M$6:$M$60,C4519)=0,"⚠ หมวดไม่ตรงประเภท","✓"))))</f>
        <v/>
      </c>
    </row>
    <row r="4520">
      <c r="B4520" s="113" t="n"/>
      <c r="C4520" s="114" t="n"/>
      <c r="D4520" s="115" t="n"/>
      <c r="E4520" s="116" t="n"/>
      <c r="F4520" s="115" t="n"/>
      <c r="G4520" s="117">
        <f>IF(COUNTA(B4520:E4520)=0,"",IF(COUNTA(B4520:E4520)&lt;4,"⚠ กรอกไม่ครบ",IF(NOT(ISNUMBER(B4520)),"⚠ วันที่ไม่ถูกต้อง",IF(COUNTIFS(Setup!$L$6:$L$60,D4520,Setup!$M$6:$M$60,C4520)=0,"⚠ หมวดไม่ตรงประเภท","✓"))))</f>
        <v/>
      </c>
    </row>
    <row r="4521">
      <c r="B4521" s="113" t="n"/>
      <c r="C4521" s="114" t="n"/>
      <c r="D4521" s="115" t="n"/>
      <c r="E4521" s="116" t="n"/>
      <c r="F4521" s="115" t="n"/>
      <c r="G4521" s="117">
        <f>IF(COUNTA(B4521:E4521)=0,"",IF(COUNTA(B4521:E4521)&lt;4,"⚠ กรอกไม่ครบ",IF(NOT(ISNUMBER(B4521)),"⚠ วันที่ไม่ถูกต้อง",IF(COUNTIFS(Setup!$L$6:$L$60,D4521,Setup!$M$6:$M$60,C4521)=0,"⚠ หมวดไม่ตรงประเภท","✓"))))</f>
        <v/>
      </c>
    </row>
    <row r="4522">
      <c r="B4522" s="113" t="n"/>
      <c r="C4522" s="114" t="n"/>
      <c r="D4522" s="115" t="n"/>
      <c r="E4522" s="116" t="n"/>
      <c r="F4522" s="115" t="n"/>
      <c r="G4522" s="117">
        <f>IF(COUNTA(B4522:E4522)=0,"",IF(COUNTA(B4522:E4522)&lt;4,"⚠ กรอกไม่ครบ",IF(NOT(ISNUMBER(B4522)),"⚠ วันที่ไม่ถูกต้อง",IF(COUNTIFS(Setup!$L$6:$L$60,D4522,Setup!$M$6:$M$60,C4522)=0,"⚠ หมวดไม่ตรงประเภท","✓"))))</f>
        <v/>
      </c>
    </row>
    <row r="4523">
      <c r="B4523" s="113" t="n"/>
      <c r="C4523" s="114" t="n"/>
      <c r="D4523" s="115" t="n"/>
      <c r="E4523" s="116" t="n"/>
      <c r="F4523" s="115" t="n"/>
      <c r="G4523" s="117">
        <f>IF(COUNTA(B4523:E4523)=0,"",IF(COUNTA(B4523:E4523)&lt;4,"⚠ กรอกไม่ครบ",IF(NOT(ISNUMBER(B4523)),"⚠ วันที่ไม่ถูกต้อง",IF(COUNTIFS(Setup!$L$6:$L$60,D4523,Setup!$M$6:$M$60,C4523)=0,"⚠ หมวดไม่ตรงประเภท","✓"))))</f>
        <v/>
      </c>
    </row>
    <row r="4524">
      <c r="B4524" s="113" t="n"/>
      <c r="C4524" s="114" t="n"/>
      <c r="D4524" s="115" t="n"/>
      <c r="E4524" s="116" t="n"/>
      <c r="F4524" s="115" t="n"/>
      <c r="G4524" s="117">
        <f>IF(COUNTA(B4524:E4524)=0,"",IF(COUNTA(B4524:E4524)&lt;4,"⚠ กรอกไม่ครบ",IF(NOT(ISNUMBER(B4524)),"⚠ วันที่ไม่ถูกต้อง",IF(COUNTIFS(Setup!$L$6:$L$60,D4524,Setup!$M$6:$M$60,C4524)=0,"⚠ หมวดไม่ตรงประเภท","✓"))))</f>
        <v/>
      </c>
    </row>
    <row r="4525">
      <c r="B4525" s="113" t="n"/>
      <c r="C4525" s="114" t="n"/>
      <c r="D4525" s="115" t="n"/>
      <c r="E4525" s="116" t="n"/>
      <c r="F4525" s="115" t="n"/>
      <c r="G4525" s="117">
        <f>IF(COUNTA(B4525:E4525)=0,"",IF(COUNTA(B4525:E4525)&lt;4,"⚠ กรอกไม่ครบ",IF(NOT(ISNUMBER(B4525)),"⚠ วันที่ไม่ถูกต้อง",IF(COUNTIFS(Setup!$L$6:$L$60,D4525,Setup!$M$6:$M$60,C4525)=0,"⚠ หมวดไม่ตรงประเภท","✓"))))</f>
        <v/>
      </c>
    </row>
    <row r="4526">
      <c r="B4526" s="113" t="n"/>
      <c r="C4526" s="114" t="n"/>
      <c r="D4526" s="115" t="n"/>
      <c r="E4526" s="116" t="n"/>
      <c r="F4526" s="115" t="n"/>
      <c r="G4526" s="117">
        <f>IF(COUNTA(B4526:E4526)=0,"",IF(COUNTA(B4526:E4526)&lt;4,"⚠ กรอกไม่ครบ",IF(NOT(ISNUMBER(B4526)),"⚠ วันที่ไม่ถูกต้อง",IF(COUNTIFS(Setup!$L$6:$L$60,D4526,Setup!$M$6:$M$60,C4526)=0,"⚠ หมวดไม่ตรงประเภท","✓"))))</f>
        <v/>
      </c>
    </row>
    <row r="4527">
      <c r="B4527" s="113" t="n"/>
      <c r="C4527" s="114" t="n"/>
      <c r="D4527" s="115" t="n"/>
      <c r="E4527" s="116" t="n"/>
      <c r="F4527" s="115" t="n"/>
      <c r="G4527" s="117">
        <f>IF(COUNTA(B4527:E4527)=0,"",IF(COUNTA(B4527:E4527)&lt;4,"⚠ กรอกไม่ครบ",IF(NOT(ISNUMBER(B4527)),"⚠ วันที่ไม่ถูกต้อง",IF(COUNTIFS(Setup!$L$6:$L$60,D4527,Setup!$M$6:$M$60,C4527)=0,"⚠ หมวดไม่ตรงประเภท","✓"))))</f>
        <v/>
      </c>
    </row>
    <row r="4528">
      <c r="B4528" s="113" t="n"/>
      <c r="C4528" s="114" t="n"/>
      <c r="D4528" s="115" t="n"/>
      <c r="E4528" s="116" t="n"/>
      <c r="F4528" s="115" t="n"/>
      <c r="G4528" s="117">
        <f>IF(COUNTA(B4528:E4528)=0,"",IF(COUNTA(B4528:E4528)&lt;4,"⚠ กรอกไม่ครบ",IF(NOT(ISNUMBER(B4528)),"⚠ วันที่ไม่ถูกต้อง",IF(COUNTIFS(Setup!$L$6:$L$60,D4528,Setup!$M$6:$M$60,C4528)=0,"⚠ หมวดไม่ตรงประเภท","✓"))))</f>
        <v/>
      </c>
    </row>
    <row r="4529">
      <c r="B4529" s="113" t="n"/>
      <c r="C4529" s="114" t="n"/>
      <c r="D4529" s="115" t="n"/>
      <c r="E4529" s="116" t="n"/>
      <c r="F4529" s="115" t="n"/>
      <c r="G4529" s="117">
        <f>IF(COUNTA(B4529:E4529)=0,"",IF(COUNTA(B4529:E4529)&lt;4,"⚠ กรอกไม่ครบ",IF(NOT(ISNUMBER(B4529)),"⚠ วันที่ไม่ถูกต้อง",IF(COUNTIFS(Setup!$L$6:$L$60,D4529,Setup!$M$6:$M$60,C4529)=0,"⚠ หมวดไม่ตรงประเภท","✓"))))</f>
        <v/>
      </c>
    </row>
    <row r="4530">
      <c r="B4530" s="113" t="n"/>
      <c r="C4530" s="114" t="n"/>
      <c r="D4530" s="115" t="n"/>
      <c r="E4530" s="116" t="n"/>
      <c r="F4530" s="115" t="n"/>
      <c r="G4530" s="117">
        <f>IF(COUNTA(B4530:E4530)=0,"",IF(COUNTA(B4530:E4530)&lt;4,"⚠ กรอกไม่ครบ",IF(NOT(ISNUMBER(B4530)),"⚠ วันที่ไม่ถูกต้อง",IF(COUNTIFS(Setup!$L$6:$L$60,D4530,Setup!$M$6:$M$60,C4530)=0,"⚠ หมวดไม่ตรงประเภท","✓"))))</f>
        <v/>
      </c>
    </row>
    <row r="4531">
      <c r="B4531" s="113" t="n"/>
      <c r="C4531" s="114" t="n"/>
      <c r="D4531" s="115" t="n"/>
      <c r="E4531" s="116" t="n"/>
      <c r="F4531" s="115" t="n"/>
      <c r="G4531" s="117">
        <f>IF(COUNTA(B4531:E4531)=0,"",IF(COUNTA(B4531:E4531)&lt;4,"⚠ กรอกไม่ครบ",IF(NOT(ISNUMBER(B4531)),"⚠ วันที่ไม่ถูกต้อง",IF(COUNTIFS(Setup!$L$6:$L$60,D4531,Setup!$M$6:$M$60,C4531)=0,"⚠ หมวดไม่ตรงประเภท","✓"))))</f>
        <v/>
      </c>
    </row>
    <row r="4532">
      <c r="B4532" s="113" t="n"/>
      <c r="C4532" s="114" t="n"/>
      <c r="D4532" s="115" t="n"/>
      <c r="E4532" s="116" t="n"/>
      <c r="F4532" s="115" t="n"/>
      <c r="G4532" s="117">
        <f>IF(COUNTA(B4532:E4532)=0,"",IF(COUNTA(B4532:E4532)&lt;4,"⚠ กรอกไม่ครบ",IF(NOT(ISNUMBER(B4532)),"⚠ วันที่ไม่ถูกต้อง",IF(COUNTIFS(Setup!$L$6:$L$60,D4532,Setup!$M$6:$M$60,C4532)=0,"⚠ หมวดไม่ตรงประเภท","✓"))))</f>
        <v/>
      </c>
    </row>
    <row r="4533">
      <c r="B4533" s="113" t="n"/>
      <c r="C4533" s="114" t="n"/>
      <c r="D4533" s="115" t="n"/>
      <c r="E4533" s="116" t="n"/>
      <c r="F4533" s="115" t="n"/>
      <c r="G4533" s="117">
        <f>IF(COUNTA(B4533:E4533)=0,"",IF(COUNTA(B4533:E4533)&lt;4,"⚠ กรอกไม่ครบ",IF(NOT(ISNUMBER(B4533)),"⚠ วันที่ไม่ถูกต้อง",IF(COUNTIFS(Setup!$L$6:$L$60,D4533,Setup!$M$6:$M$60,C4533)=0,"⚠ หมวดไม่ตรงประเภท","✓"))))</f>
        <v/>
      </c>
    </row>
    <row r="4534">
      <c r="B4534" s="113" t="n"/>
      <c r="C4534" s="114" t="n"/>
      <c r="D4534" s="115" t="n"/>
      <c r="E4534" s="116" t="n"/>
      <c r="F4534" s="115" t="n"/>
      <c r="G4534" s="117">
        <f>IF(COUNTA(B4534:E4534)=0,"",IF(COUNTA(B4534:E4534)&lt;4,"⚠ กรอกไม่ครบ",IF(NOT(ISNUMBER(B4534)),"⚠ วันที่ไม่ถูกต้อง",IF(COUNTIFS(Setup!$L$6:$L$60,D4534,Setup!$M$6:$M$60,C4534)=0,"⚠ หมวดไม่ตรงประเภท","✓"))))</f>
        <v/>
      </c>
    </row>
    <row r="4535">
      <c r="B4535" s="113" t="n"/>
      <c r="C4535" s="114" t="n"/>
      <c r="D4535" s="115" t="n"/>
      <c r="E4535" s="116" t="n"/>
      <c r="F4535" s="115" t="n"/>
      <c r="G4535" s="117">
        <f>IF(COUNTA(B4535:E4535)=0,"",IF(COUNTA(B4535:E4535)&lt;4,"⚠ กรอกไม่ครบ",IF(NOT(ISNUMBER(B4535)),"⚠ วันที่ไม่ถูกต้อง",IF(COUNTIFS(Setup!$L$6:$L$60,D4535,Setup!$M$6:$M$60,C4535)=0,"⚠ หมวดไม่ตรงประเภท","✓"))))</f>
        <v/>
      </c>
    </row>
    <row r="4536">
      <c r="B4536" s="113" t="n"/>
      <c r="C4536" s="114" t="n"/>
      <c r="D4536" s="115" t="n"/>
      <c r="E4536" s="116" t="n"/>
      <c r="F4536" s="115" t="n"/>
      <c r="G4536" s="117">
        <f>IF(COUNTA(B4536:E4536)=0,"",IF(COUNTA(B4536:E4536)&lt;4,"⚠ กรอกไม่ครบ",IF(NOT(ISNUMBER(B4536)),"⚠ วันที่ไม่ถูกต้อง",IF(COUNTIFS(Setup!$L$6:$L$60,D4536,Setup!$M$6:$M$60,C4536)=0,"⚠ หมวดไม่ตรงประเภท","✓"))))</f>
        <v/>
      </c>
    </row>
    <row r="4537">
      <c r="B4537" s="113" t="n"/>
      <c r="C4537" s="114" t="n"/>
      <c r="D4537" s="115" t="n"/>
      <c r="E4537" s="116" t="n"/>
      <c r="F4537" s="115" t="n"/>
      <c r="G4537" s="117">
        <f>IF(COUNTA(B4537:E4537)=0,"",IF(COUNTA(B4537:E4537)&lt;4,"⚠ กรอกไม่ครบ",IF(NOT(ISNUMBER(B4537)),"⚠ วันที่ไม่ถูกต้อง",IF(COUNTIFS(Setup!$L$6:$L$60,D4537,Setup!$M$6:$M$60,C4537)=0,"⚠ หมวดไม่ตรงประเภท","✓"))))</f>
        <v/>
      </c>
    </row>
    <row r="4538">
      <c r="B4538" s="113" t="n"/>
      <c r="C4538" s="114" t="n"/>
      <c r="D4538" s="115" t="n"/>
      <c r="E4538" s="116" t="n"/>
      <c r="F4538" s="115" t="n"/>
      <c r="G4538" s="117">
        <f>IF(COUNTA(B4538:E4538)=0,"",IF(COUNTA(B4538:E4538)&lt;4,"⚠ กรอกไม่ครบ",IF(NOT(ISNUMBER(B4538)),"⚠ วันที่ไม่ถูกต้อง",IF(COUNTIFS(Setup!$L$6:$L$60,D4538,Setup!$M$6:$M$60,C4538)=0,"⚠ หมวดไม่ตรงประเภท","✓"))))</f>
        <v/>
      </c>
    </row>
    <row r="4539">
      <c r="B4539" s="113" t="n"/>
      <c r="C4539" s="114" t="n"/>
      <c r="D4539" s="115" t="n"/>
      <c r="E4539" s="116" t="n"/>
      <c r="F4539" s="115" t="n"/>
      <c r="G4539" s="117">
        <f>IF(COUNTA(B4539:E4539)=0,"",IF(COUNTA(B4539:E4539)&lt;4,"⚠ กรอกไม่ครบ",IF(NOT(ISNUMBER(B4539)),"⚠ วันที่ไม่ถูกต้อง",IF(COUNTIFS(Setup!$L$6:$L$60,D4539,Setup!$M$6:$M$60,C4539)=0,"⚠ หมวดไม่ตรงประเภท","✓"))))</f>
        <v/>
      </c>
    </row>
    <row r="4540">
      <c r="B4540" s="113" t="n"/>
      <c r="C4540" s="114" t="n"/>
      <c r="D4540" s="115" t="n"/>
      <c r="E4540" s="116" t="n"/>
      <c r="F4540" s="115" t="n"/>
      <c r="G4540" s="117">
        <f>IF(COUNTA(B4540:E4540)=0,"",IF(COUNTA(B4540:E4540)&lt;4,"⚠ กรอกไม่ครบ",IF(NOT(ISNUMBER(B4540)),"⚠ วันที่ไม่ถูกต้อง",IF(COUNTIFS(Setup!$L$6:$L$60,D4540,Setup!$M$6:$M$60,C4540)=0,"⚠ หมวดไม่ตรงประเภท","✓"))))</f>
        <v/>
      </c>
    </row>
    <row r="4541">
      <c r="B4541" s="113" t="n"/>
      <c r="C4541" s="114" t="n"/>
      <c r="D4541" s="115" t="n"/>
      <c r="E4541" s="116" t="n"/>
      <c r="F4541" s="115" t="n"/>
      <c r="G4541" s="117">
        <f>IF(COUNTA(B4541:E4541)=0,"",IF(COUNTA(B4541:E4541)&lt;4,"⚠ กรอกไม่ครบ",IF(NOT(ISNUMBER(B4541)),"⚠ วันที่ไม่ถูกต้อง",IF(COUNTIFS(Setup!$L$6:$L$60,D4541,Setup!$M$6:$M$60,C4541)=0,"⚠ หมวดไม่ตรงประเภท","✓"))))</f>
        <v/>
      </c>
    </row>
    <row r="4542">
      <c r="B4542" s="113" t="n"/>
      <c r="C4542" s="114" t="n"/>
      <c r="D4542" s="115" t="n"/>
      <c r="E4542" s="116" t="n"/>
      <c r="F4542" s="115" t="n"/>
      <c r="G4542" s="117">
        <f>IF(COUNTA(B4542:E4542)=0,"",IF(COUNTA(B4542:E4542)&lt;4,"⚠ กรอกไม่ครบ",IF(NOT(ISNUMBER(B4542)),"⚠ วันที่ไม่ถูกต้อง",IF(COUNTIFS(Setup!$L$6:$L$60,D4542,Setup!$M$6:$M$60,C4542)=0,"⚠ หมวดไม่ตรงประเภท","✓"))))</f>
        <v/>
      </c>
    </row>
    <row r="4543">
      <c r="B4543" s="113" t="n"/>
      <c r="C4543" s="114" t="n"/>
      <c r="D4543" s="115" t="n"/>
      <c r="E4543" s="116" t="n"/>
      <c r="F4543" s="115" t="n"/>
      <c r="G4543" s="117">
        <f>IF(COUNTA(B4543:E4543)=0,"",IF(COUNTA(B4543:E4543)&lt;4,"⚠ กรอกไม่ครบ",IF(NOT(ISNUMBER(B4543)),"⚠ วันที่ไม่ถูกต้อง",IF(COUNTIFS(Setup!$L$6:$L$60,D4543,Setup!$M$6:$M$60,C4543)=0,"⚠ หมวดไม่ตรงประเภท","✓"))))</f>
        <v/>
      </c>
    </row>
    <row r="4544">
      <c r="B4544" s="113" t="n"/>
      <c r="C4544" s="114" t="n"/>
      <c r="D4544" s="115" t="n"/>
      <c r="E4544" s="116" t="n"/>
      <c r="F4544" s="115" t="n"/>
      <c r="G4544" s="117">
        <f>IF(COUNTA(B4544:E4544)=0,"",IF(COUNTA(B4544:E4544)&lt;4,"⚠ กรอกไม่ครบ",IF(NOT(ISNUMBER(B4544)),"⚠ วันที่ไม่ถูกต้อง",IF(COUNTIFS(Setup!$L$6:$L$60,D4544,Setup!$M$6:$M$60,C4544)=0,"⚠ หมวดไม่ตรงประเภท","✓"))))</f>
        <v/>
      </c>
    </row>
    <row r="4545">
      <c r="B4545" s="113" t="n"/>
      <c r="C4545" s="114" t="n"/>
      <c r="D4545" s="115" t="n"/>
      <c r="E4545" s="116" t="n"/>
      <c r="F4545" s="115" t="n"/>
      <c r="G4545" s="117">
        <f>IF(COUNTA(B4545:E4545)=0,"",IF(COUNTA(B4545:E4545)&lt;4,"⚠ กรอกไม่ครบ",IF(NOT(ISNUMBER(B4545)),"⚠ วันที่ไม่ถูกต้อง",IF(COUNTIFS(Setup!$L$6:$L$60,D4545,Setup!$M$6:$M$60,C4545)=0,"⚠ หมวดไม่ตรงประเภท","✓"))))</f>
        <v/>
      </c>
    </row>
    <row r="4546">
      <c r="B4546" s="113" t="n"/>
      <c r="C4546" s="114" t="n"/>
      <c r="D4546" s="115" t="n"/>
      <c r="E4546" s="116" t="n"/>
      <c r="F4546" s="115" t="n"/>
      <c r="G4546" s="117">
        <f>IF(COUNTA(B4546:E4546)=0,"",IF(COUNTA(B4546:E4546)&lt;4,"⚠ กรอกไม่ครบ",IF(NOT(ISNUMBER(B4546)),"⚠ วันที่ไม่ถูกต้อง",IF(COUNTIFS(Setup!$L$6:$L$60,D4546,Setup!$M$6:$M$60,C4546)=0,"⚠ หมวดไม่ตรงประเภท","✓"))))</f>
        <v/>
      </c>
    </row>
    <row r="4547">
      <c r="B4547" s="113" t="n"/>
      <c r="C4547" s="114" t="n"/>
      <c r="D4547" s="115" t="n"/>
      <c r="E4547" s="116" t="n"/>
      <c r="F4547" s="115" t="n"/>
      <c r="G4547" s="117">
        <f>IF(COUNTA(B4547:E4547)=0,"",IF(COUNTA(B4547:E4547)&lt;4,"⚠ กรอกไม่ครบ",IF(NOT(ISNUMBER(B4547)),"⚠ วันที่ไม่ถูกต้อง",IF(COUNTIFS(Setup!$L$6:$L$60,D4547,Setup!$M$6:$M$60,C4547)=0,"⚠ หมวดไม่ตรงประเภท","✓"))))</f>
        <v/>
      </c>
    </row>
    <row r="4548">
      <c r="B4548" s="113" t="n"/>
      <c r="C4548" s="114" t="n"/>
      <c r="D4548" s="115" t="n"/>
      <c r="E4548" s="116" t="n"/>
      <c r="F4548" s="115" t="n"/>
      <c r="G4548" s="117">
        <f>IF(COUNTA(B4548:E4548)=0,"",IF(COUNTA(B4548:E4548)&lt;4,"⚠ กรอกไม่ครบ",IF(NOT(ISNUMBER(B4548)),"⚠ วันที่ไม่ถูกต้อง",IF(COUNTIFS(Setup!$L$6:$L$60,D4548,Setup!$M$6:$M$60,C4548)=0,"⚠ หมวดไม่ตรงประเภท","✓"))))</f>
        <v/>
      </c>
    </row>
    <row r="4549">
      <c r="B4549" s="113" t="n"/>
      <c r="C4549" s="114" t="n"/>
      <c r="D4549" s="115" t="n"/>
      <c r="E4549" s="116" t="n"/>
      <c r="F4549" s="115" t="n"/>
      <c r="G4549" s="117">
        <f>IF(COUNTA(B4549:E4549)=0,"",IF(COUNTA(B4549:E4549)&lt;4,"⚠ กรอกไม่ครบ",IF(NOT(ISNUMBER(B4549)),"⚠ วันที่ไม่ถูกต้อง",IF(COUNTIFS(Setup!$L$6:$L$60,D4549,Setup!$M$6:$M$60,C4549)=0,"⚠ หมวดไม่ตรงประเภท","✓"))))</f>
        <v/>
      </c>
    </row>
    <row r="4550">
      <c r="B4550" s="113" t="n"/>
      <c r="C4550" s="114" t="n"/>
      <c r="D4550" s="115" t="n"/>
      <c r="E4550" s="116" t="n"/>
      <c r="F4550" s="115" t="n"/>
      <c r="G4550" s="117">
        <f>IF(COUNTA(B4550:E4550)=0,"",IF(COUNTA(B4550:E4550)&lt;4,"⚠ กรอกไม่ครบ",IF(NOT(ISNUMBER(B4550)),"⚠ วันที่ไม่ถูกต้อง",IF(COUNTIFS(Setup!$L$6:$L$60,D4550,Setup!$M$6:$M$60,C4550)=0,"⚠ หมวดไม่ตรงประเภท","✓"))))</f>
        <v/>
      </c>
    </row>
    <row r="4551">
      <c r="B4551" s="113" t="n"/>
      <c r="C4551" s="114" t="n"/>
      <c r="D4551" s="115" t="n"/>
      <c r="E4551" s="116" t="n"/>
      <c r="F4551" s="115" t="n"/>
      <c r="G4551" s="117">
        <f>IF(COUNTA(B4551:E4551)=0,"",IF(COUNTA(B4551:E4551)&lt;4,"⚠ กรอกไม่ครบ",IF(NOT(ISNUMBER(B4551)),"⚠ วันที่ไม่ถูกต้อง",IF(COUNTIFS(Setup!$L$6:$L$60,D4551,Setup!$M$6:$M$60,C4551)=0,"⚠ หมวดไม่ตรงประเภท","✓"))))</f>
        <v/>
      </c>
    </row>
    <row r="4552">
      <c r="B4552" s="113" t="n"/>
      <c r="C4552" s="114" t="n"/>
      <c r="D4552" s="115" t="n"/>
      <c r="E4552" s="116" t="n"/>
      <c r="F4552" s="115" t="n"/>
      <c r="G4552" s="117">
        <f>IF(COUNTA(B4552:E4552)=0,"",IF(COUNTA(B4552:E4552)&lt;4,"⚠ กรอกไม่ครบ",IF(NOT(ISNUMBER(B4552)),"⚠ วันที่ไม่ถูกต้อง",IF(COUNTIFS(Setup!$L$6:$L$60,D4552,Setup!$M$6:$M$60,C4552)=0,"⚠ หมวดไม่ตรงประเภท","✓"))))</f>
        <v/>
      </c>
    </row>
    <row r="4553">
      <c r="B4553" s="113" t="n"/>
      <c r="C4553" s="114" t="n"/>
      <c r="D4553" s="115" t="n"/>
      <c r="E4553" s="116" t="n"/>
      <c r="F4553" s="115" t="n"/>
      <c r="G4553" s="117">
        <f>IF(COUNTA(B4553:E4553)=0,"",IF(COUNTA(B4553:E4553)&lt;4,"⚠ กรอกไม่ครบ",IF(NOT(ISNUMBER(B4553)),"⚠ วันที่ไม่ถูกต้อง",IF(COUNTIFS(Setup!$L$6:$L$60,D4553,Setup!$M$6:$M$60,C4553)=0,"⚠ หมวดไม่ตรงประเภท","✓"))))</f>
        <v/>
      </c>
    </row>
    <row r="4554">
      <c r="B4554" s="113" t="n"/>
      <c r="C4554" s="114" t="n"/>
      <c r="D4554" s="115" t="n"/>
      <c r="E4554" s="116" t="n"/>
      <c r="F4554" s="115" t="n"/>
      <c r="G4554" s="117">
        <f>IF(COUNTA(B4554:E4554)=0,"",IF(COUNTA(B4554:E4554)&lt;4,"⚠ กรอกไม่ครบ",IF(NOT(ISNUMBER(B4554)),"⚠ วันที่ไม่ถูกต้อง",IF(COUNTIFS(Setup!$L$6:$L$60,D4554,Setup!$M$6:$M$60,C4554)=0,"⚠ หมวดไม่ตรงประเภท","✓"))))</f>
        <v/>
      </c>
    </row>
    <row r="4555">
      <c r="B4555" s="113" t="n"/>
      <c r="C4555" s="114" t="n"/>
      <c r="D4555" s="115" t="n"/>
      <c r="E4555" s="116" t="n"/>
      <c r="F4555" s="115" t="n"/>
      <c r="G4555" s="117">
        <f>IF(COUNTA(B4555:E4555)=0,"",IF(COUNTA(B4555:E4555)&lt;4,"⚠ กรอกไม่ครบ",IF(NOT(ISNUMBER(B4555)),"⚠ วันที่ไม่ถูกต้อง",IF(COUNTIFS(Setup!$L$6:$L$60,D4555,Setup!$M$6:$M$60,C4555)=0,"⚠ หมวดไม่ตรงประเภท","✓"))))</f>
        <v/>
      </c>
    </row>
    <row r="4556">
      <c r="B4556" s="113" t="n"/>
      <c r="C4556" s="114" t="n"/>
      <c r="D4556" s="115" t="n"/>
      <c r="E4556" s="116" t="n"/>
      <c r="F4556" s="115" t="n"/>
      <c r="G4556" s="117">
        <f>IF(COUNTA(B4556:E4556)=0,"",IF(COUNTA(B4556:E4556)&lt;4,"⚠ กรอกไม่ครบ",IF(NOT(ISNUMBER(B4556)),"⚠ วันที่ไม่ถูกต้อง",IF(COUNTIFS(Setup!$L$6:$L$60,D4556,Setup!$M$6:$M$60,C4556)=0,"⚠ หมวดไม่ตรงประเภท","✓"))))</f>
        <v/>
      </c>
    </row>
    <row r="4557">
      <c r="B4557" s="113" t="n"/>
      <c r="C4557" s="114" t="n"/>
      <c r="D4557" s="115" t="n"/>
      <c r="E4557" s="116" t="n"/>
      <c r="F4557" s="115" t="n"/>
      <c r="G4557" s="117">
        <f>IF(COUNTA(B4557:E4557)=0,"",IF(COUNTA(B4557:E4557)&lt;4,"⚠ กรอกไม่ครบ",IF(NOT(ISNUMBER(B4557)),"⚠ วันที่ไม่ถูกต้อง",IF(COUNTIFS(Setup!$L$6:$L$60,D4557,Setup!$M$6:$M$60,C4557)=0,"⚠ หมวดไม่ตรงประเภท","✓"))))</f>
        <v/>
      </c>
    </row>
    <row r="4558">
      <c r="B4558" s="113" t="n"/>
      <c r="C4558" s="114" t="n"/>
      <c r="D4558" s="115" t="n"/>
      <c r="E4558" s="116" t="n"/>
      <c r="F4558" s="115" t="n"/>
      <c r="G4558" s="117">
        <f>IF(COUNTA(B4558:E4558)=0,"",IF(COUNTA(B4558:E4558)&lt;4,"⚠ กรอกไม่ครบ",IF(NOT(ISNUMBER(B4558)),"⚠ วันที่ไม่ถูกต้อง",IF(COUNTIFS(Setup!$L$6:$L$60,D4558,Setup!$M$6:$M$60,C4558)=0,"⚠ หมวดไม่ตรงประเภท","✓"))))</f>
        <v/>
      </c>
    </row>
    <row r="4559">
      <c r="B4559" s="113" t="n"/>
      <c r="C4559" s="114" t="n"/>
      <c r="D4559" s="115" t="n"/>
      <c r="E4559" s="116" t="n"/>
      <c r="F4559" s="115" t="n"/>
      <c r="G4559" s="117">
        <f>IF(COUNTA(B4559:E4559)=0,"",IF(COUNTA(B4559:E4559)&lt;4,"⚠ กรอกไม่ครบ",IF(NOT(ISNUMBER(B4559)),"⚠ วันที่ไม่ถูกต้อง",IF(COUNTIFS(Setup!$L$6:$L$60,D4559,Setup!$M$6:$M$60,C4559)=0,"⚠ หมวดไม่ตรงประเภท","✓"))))</f>
        <v/>
      </c>
    </row>
    <row r="4560">
      <c r="B4560" s="113" t="n"/>
      <c r="C4560" s="114" t="n"/>
      <c r="D4560" s="115" t="n"/>
      <c r="E4560" s="116" t="n"/>
      <c r="F4560" s="115" t="n"/>
      <c r="G4560" s="117">
        <f>IF(COUNTA(B4560:E4560)=0,"",IF(COUNTA(B4560:E4560)&lt;4,"⚠ กรอกไม่ครบ",IF(NOT(ISNUMBER(B4560)),"⚠ วันที่ไม่ถูกต้อง",IF(COUNTIFS(Setup!$L$6:$L$60,D4560,Setup!$M$6:$M$60,C4560)=0,"⚠ หมวดไม่ตรงประเภท","✓"))))</f>
        <v/>
      </c>
    </row>
    <row r="4561">
      <c r="B4561" s="113" t="n"/>
      <c r="C4561" s="114" t="n"/>
      <c r="D4561" s="115" t="n"/>
      <c r="E4561" s="116" t="n"/>
      <c r="F4561" s="115" t="n"/>
      <c r="G4561" s="117">
        <f>IF(COUNTA(B4561:E4561)=0,"",IF(COUNTA(B4561:E4561)&lt;4,"⚠ กรอกไม่ครบ",IF(NOT(ISNUMBER(B4561)),"⚠ วันที่ไม่ถูกต้อง",IF(COUNTIFS(Setup!$L$6:$L$60,D4561,Setup!$M$6:$M$60,C4561)=0,"⚠ หมวดไม่ตรงประเภท","✓"))))</f>
        <v/>
      </c>
    </row>
    <row r="4562">
      <c r="B4562" s="113" t="n"/>
      <c r="C4562" s="114" t="n"/>
      <c r="D4562" s="115" t="n"/>
      <c r="E4562" s="116" t="n"/>
      <c r="F4562" s="115" t="n"/>
      <c r="G4562" s="117">
        <f>IF(COUNTA(B4562:E4562)=0,"",IF(COUNTA(B4562:E4562)&lt;4,"⚠ กรอกไม่ครบ",IF(NOT(ISNUMBER(B4562)),"⚠ วันที่ไม่ถูกต้อง",IF(COUNTIFS(Setup!$L$6:$L$60,D4562,Setup!$M$6:$M$60,C4562)=0,"⚠ หมวดไม่ตรงประเภท","✓"))))</f>
        <v/>
      </c>
    </row>
    <row r="4563">
      <c r="B4563" s="113" t="n"/>
      <c r="C4563" s="114" t="n"/>
      <c r="D4563" s="115" t="n"/>
      <c r="E4563" s="116" t="n"/>
      <c r="F4563" s="115" t="n"/>
      <c r="G4563" s="117">
        <f>IF(COUNTA(B4563:E4563)=0,"",IF(COUNTA(B4563:E4563)&lt;4,"⚠ กรอกไม่ครบ",IF(NOT(ISNUMBER(B4563)),"⚠ วันที่ไม่ถูกต้อง",IF(COUNTIFS(Setup!$L$6:$L$60,D4563,Setup!$M$6:$M$60,C4563)=0,"⚠ หมวดไม่ตรงประเภท","✓"))))</f>
        <v/>
      </c>
    </row>
    <row r="4564">
      <c r="B4564" s="113" t="n"/>
      <c r="C4564" s="114" t="n"/>
      <c r="D4564" s="115" t="n"/>
      <c r="E4564" s="116" t="n"/>
      <c r="F4564" s="115" t="n"/>
      <c r="G4564" s="117">
        <f>IF(COUNTA(B4564:E4564)=0,"",IF(COUNTA(B4564:E4564)&lt;4,"⚠ กรอกไม่ครบ",IF(NOT(ISNUMBER(B4564)),"⚠ วันที่ไม่ถูกต้อง",IF(COUNTIFS(Setup!$L$6:$L$60,D4564,Setup!$M$6:$M$60,C4564)=0,"⚠ หมวดไม่ตรงประเภท","✓"))))</f>
        <v/>
      </c>
    </row>
    <row r="4565">
      <c r="B4565" s="113" t="n"/>
      <c r="C4565" s="114" t="n"/>
      <c r="D4565" s="115" t="n"/>
      <c r="E4565" s="116" t="n"/>
      <c r="F4565" s="115" t="n"/>
      <c r="G4565" s="117">
        <f>IF(COUNTA(B4565:E4565)=0,"",IF(COUNTA(B4565:E4565)&lt;4,"⚠ กรอกไม่ครบ",IF(NOT(ISNUMBER(B4565)),"⚠ วันที่ไม่ถูกต้อง",IF(COUNTIFS(Setup!$L$6:$L$60,D4565,Setup!$M$6:$M$60,C4565)=0,"⚠ หมวดไม่ตรงประเภท","✓"))))</f>
        <v/>
      </c>
    </row>
    <row r="4566">
      <c r="B4566" s="113" t="n"/>
      <c r="C4566" s="114" t="n"/>
      <c r="D4566" s="115" t="n"/>
      <c r="E4566" s="116" t="n"/>
      <c r="F4566" s="115" t="n"/>
      <c r="G4566" s="117">
        <f>IF(COUNTA(B4566:E4566)=0,"",IF(COUNTA(B4566:E4566)&lt;4,"⚠ กรอกไม่ครบ",IF(NOT(ISNUMBER(B4566)),"⚠ วันที่ไม่ถูกต้อง",IF(COUNTIFS(Setup!$L$6:$L$60,D4566,Setup!$M$6:$M$60,C4566)=0,"⚠ หมวดไม่ตรงประเภท","✓"))))</f>
        <v/>
      </c>
    </row>
    <row r="4567">
      <c r="B4567" s="113" t="n"/>
      <c r="C4567" s="114" t="n"/>
      <c r="D4567" s="115" t="n"/>
      <c r="E4567" s="116" t="n"/>
      <c r="F4567" s="115" t="n"/>
      <c r="G4567" s="117">
        <f>IF(COUNTA(B4567:E4567)=0,"",IF(COUNTA(B4567:E4567)&lt;4,"⚠ กรอกไม่ครบ",IF(NOT(ISNUMBER(B4567)),"⚠ วันที่ไม่ถูกต้อง",IF(COUNTIFS(Setup!$L$6:$L$60,D4567,Setup!$M$6:$M$60,C4567)=0,"⚠ หมวดไม่ตรงประเภท","✓"))))</f>
        <v/>
      </c>
    </row>
    <row r="4568">
      <c r="B4568" s="113" t="n"/>
      <c r="C4568" s="114" t="n"/>
      <c r="D4568" s="115" t="n"/>
      <c r="E4568" s="116" t="n"/>
      <c r="F4568" s="115" t="n"/>
      <c r="G4568" s="117">
        <f>IF(COUNTA(B4568:E4568)=0,"",IF(COUNTA(B4568:E4568)&lt;4,"⚠ กรอกไม่ครบ",IF(NOT(ISNUMBER(B4568)),"⚠ วันที่ไม่ถูกต้อง",IF(COUNTIFS(Setup!$L$6:$L$60,D4568,Setup!$M$6:$M$60,C4568)=0,"⚠ หมวดไม่ตรงประเภท","✓"))))</f>
        <v/>
      </c>
    </row>
    <row r="4569">
      <c r="B4569" s="113" t="n"/>
      <c r="C4569" s="114" t="n"/>
      <c r="D4569" s="115" t="n"/>
      <c r="E4569" s="116" t="n"/>
      <c r="F4569" s="115" t="n"/>
      <c r="G4569" s="117">
        <f>IF(COUNTA(B4569:E4569)=0,"",IF(COUNTA(B4569:E4569)&lt;4,"⚠ กรอกไม่ครบ",IF(NOT(ISNUMBER(B4569)),"⚠ วันที่ไม่ถูกต้อง",IF(COUNTIFS(Setup!$L$6:$L$60,D4569,Setup!$M$6:$M$60,C4569)=0,"⚠ หมวดไม่ตรงประเภท","✓"))))</f>
        <v/>
      </c>
    </row>
    <row r="4570">
      <c r="B4570" s="113" t="n"/>
      <c r="C4570" s="114" t="n"/>
      <c r="D4570" s="115" t="n"/>
      <c r="E4570" s="116" t="n"/>
      <c r="F4570" s="115" t="n"/>
      <c r="G4570" s="117">
        <f>IF(COUNTA(B4570:E4570)=0,"",IF(COUNTA(B4570:E4570)&lt;4,"⚠ กรอกไม่ครบ",IF(NOT(ISNUMBER(B4570)),"⚠ วันที่ไม่ถูกต้อง",IF(COUNTIFS(Setup!$L$6:$L$60,D4570,Setup!$M$6:$M$60,C4570)=0,"⚠ หมวดไม่ตรงประเภท","✓"))))</f>
        <v/>
      </c>
    </row>
    <row r="4571">
      <c r="B4571" s="113" t="n"/>
      <c r="C4571" s="114" t="n"/>
      <c r="D4571" s="115" t="n"/>
      <c r="E4571" s="116" t="n"/>
      <c r="F4571" s="115" t="n"/>
      <c r="G4571" s="117">
        <f>IF(COUNTA(B4571:E4571)=0,"",IF(COUNTA(B4571:E4571)&lt;4,"⚠ กรอกไม่ครบ",IF(NOT(ISNUMBER(B4571)),"⚠ วันที่ไม่ถูกต้อง",IF(COUNTIFS(Setup!$L$6:$L$60,D4571,Setup!$M$6:$M$60,C4571)=0,"⚠ หมวดไม่ตรงประเภท","✓"))))</f>
        <v/>
      </c>
    </row>
    <row r="4572">
      <c r="B4572" s="113" t="n"/>
      <c r="C4572" s="114" t="n"/>
      <c r="D4572" s="115" t="n"/>
      <c r="E4572" s="116" t="n"/>
      <c r="F4572" s="115" t="n"/>
      <c r="G4572" s="117">
        <f>IF(COUNTA(B4572:E4572)=0,"",IF(COUNTA(B4572:E4572)&lt;4,"⚠ กรอกไม่ครบ",IF(NOT(ISNUMBER(B4572)),"⚠ วันที่ไม่ถูกต้อง",IF(COUNTIFS(Setup!$L$6:$L$60,D4572,Setup!$M$6:$M$60,C4572)=0,"⚠ หมวดไม่ตรงประเภท","✓"))))</f>
        <v/>
      </c>
    </row>
    <row r="4573">
      <c r="B4573" s="113" t="n"/>
      <c r="C4573" s="114" t="n"/>
      <c r="D4573" s="115" t="n"/>
      <c r="E4573" s="116" t="n"/>
      <c r="F4573" s="115" t="n"/>
      <c r="G4573" s="117">
        <f>IF(COUNTA(B4573:E4573)=0,"",IF(COUNTA(B4573:E4573)&lt;4,"⚠ กรอกไม่ครบ",IF(NOT(ISNUMBER(B4573)),"⚠ วันที่ไม่ถูกต้อง",IF(COUNTIFS(Setup!$L$6:$L$60,D4573,Setup!$M$6:$M$60,C4573)=0,"⚠ หมวดไม่ตรงประเภท","✓"))))</f>
        <v/>
      </c>
    </row>
    <row r="4574">
      <c r="B4574" s="113" t="n"/>
      <c r="C4574" s="114" t="n"/>
      <c r="D4574" s="115" t="n"/>
      <c r="E4574" s="116" t="n"/>
      <c r="F4574" s="115" t="n"/>
      <c r="G4574" s="117">
        <f>IF(COUNTA(B4574:E4574)=0,"",IF(COUNTA(B4574:E4574)&lt;4,"⚠ กรอกไม่ครบ",IF(NOT(ISNUMBER(B4574)),"⚠ วันที่ไม่ถูกต้อง",IF(COUNTIFS(Setup!$L$6:$L$60,D4574,Setup!$M$6:$M$60,C4574)=0,"⚠ หมวดไม่ตรงประเภท","✓"))))</f>
        <v/>
      </c>
    </row>
    <row r="4575">
      <c r="B4575" s="113" t="n"/>
      <c r="C4575" s="114" t="n"/>
      <c r="D4575" s="115" t="n"/>
      <c r="E4575" s="116" t="n"/>
      <c r="F4575" s="115" t="n"/>
      <c r="G4575" s="117">
        <f>IF(COUNTA(B4575:E4575)=0,"",IF(COUNTA(B4575:E4575)&lt;4,"⚠ กรอกไม่ครบ",IF(NOT(ISNUMBER(B4575)),"⚠ วันที่ไม่ถูกต้อง",IF(COUNTIFS(Setup!$L$6:$L$60,D4575,Setup!$M$6:$M$60,C4575)=0,"⚠ หมวดไม่ตรงประเภท","✓"))))</f>
        <v/>
      </c>
    </row>
    <row r="4576">
      <c r="B4576" s="113" t="n"/>
      <c r="C4576" s="114" t="n"/>
      <c r="D4576" s="115" t="n"/>
      <c r="E4576" s="116" t="n"/>
      <c r="F4576" s="115" t="n"/>
      <c r="G4576" s="117">
        <f>IF(COUNTA(B4576:E4576)=0,"",IF(COUNTA(B4576:E4576)&lt;4,"⚠ กรอกไม่ครบ",IF(NOT(ISNUMBER(B4576)),"⚠ วันที่ไม่ถูกต้อง",IF(COUNTIFS(Setup!$L$6:$L$60,D4576,Setup!$M$6:$M$60,C4576)=0,"⚠ หมวดไม่ตรงประเภท","✓"))))</f>
        <v/>
      </c>
    </row>
    <row r="4577">
      <c r="B4577" s="113" t="n"/>
      <c r="C4577" s="114" t="n"/>
      <c r="D4577" s="115" t="n"/>
      <c r="E4577" s="116" t="n"/>
      <c r="F4577" s="115" t="n"/>
      <c r="G4577" s="117">
        <f>IF(COUNTA(B4577:E4577)=0,"",IF(COUNTA(B4577:E4577)&lt;4,"⚠ กรอกไม่ครบ",IF(NOT(ISNUMBER(B4577)),"⚠ วันที่ไม่ถูกต้อง",IF(COUNTIFS(Setup!$L$6:$L$60,D4577,Setup!$M$6:$M$60,C4577)=0,"⚠ หมวดไม่ตรงประเภท","✓"))))</f>
        <v/>
      </c>
    </row>
    <row r="4578">
      <c r="B4578" s="113" t="n"/>
      <c r="C4578" s="114" t="n"/>
      <c r="D4578" s="115" t="n"/>
      <c r="E4578" s="116" t="n"/>
      <c r="F4578" s="115" t="n"/>
      <c r="G4578" s="117">
        <f>IF(COUNTA(B4578:E4578)=0,"",IF(COUNTA(B4578:E4578)&lt;4,"⚠ กรอกไม่ครบ",IF(NOT(ISNUMBER(B4578)),"⚠ วันที่ไม่ถูกต้อง",IF(COUNTIFS(Setup!$L$6:$L$60,D4578,Setup!$M$6:$M$60,C4578)=0,"⚠ หมวดไม่ตรงประเภท","✓"))))</f>
        <v/>
      </c>
    </row>
    <row r="4579">
      <c r="B4579" s="113" t="n"/>
      <c r="C4579" s="114" t="n"/>
      <c r="D4579" s="115" t="n"/>
      <c r="E4579" s="116" t="n"/>
      <c r="F4579" s="115" t="n"/>
      <c r="G4579" s="117">
        <f>IF(COUNTA(B4579:E4579)=0,"",IF(COUNTA(B4579:E4579)&lt;4,"⚠ กรอกไม่ครบ",IF(NOT(ISNUMBER(B4579)),"⚠ วันที่ไม่ถูกต้อง",IF(COUNTIFS(Setup!$L$6:$L$60,D4579,Setup!$M$6:$M$60,C4579)=0,"⚠ หมวดไม่ตรงประเภท","✓"))))</f>
        <v/>
      </c>
    </row>
    <row r="4580">
      <c r="B4580" s="113" t="n"/>
      <c r="C4580" s="114" t="n"/>
      <c r="D4580" s="115" t="n"/>
      <c r="E4580" s="116" t="n"/>
      <c r="F4580" s="115" t="n"/>
      <c r="G4580" s="117">
        <f>IF(COUNTA(B4580:E4580)=0,"",IF(COUNTA(B4580:E4580)&lt;4,"⚠ กรอกไม่ครบ",IF(NOT(ISNUMBER(B4580)),"⚠ วันที่ไม่ถูกต้อง",IF(COUNTIFS(Setup!$L$6:$L$60,D4580,Setup!$M$6:$M$60,C4580)=0,"⚠ หมวดไม่ตรงประเภท","✓"))))</f>
        <v/>
      </c>
    </row>
    <row r="4581">
      <c r="B4581" s="113" t="n"/>
      <c r="C4581" s="114" t="n"/>
      <c r="D4581" s="115" t="n"/>
      <c r="E4581" s="116" t="n"/>
      <c r="F4581" s="115" t="n"/>
      <c r="G4581" s="117">
        <f>IF(COUNTA(B4581:E4581)=0,"",IF(COUNTA(B4581:E4581)&lt;4,"⚠ กรอกไม่ครบ",IF(NOT(ISNUMBER(B4581)),"⚠ วันที่ไม่ถูกต้อง",IF(COUNTIFS(Setup!$L$6:$L$60,D4581,Setup!$M$6:$M$60,C4581)=0,"⚠ หมวดไม่ตรงประเภท","✓"))))</f>
        <v/>
      </c>
    </row>
    <row r="4582">
      <c r="B4582" s="113" t="n"/>
      <c r="C4582" s="114" t="n"/>
      <c r="D4582" s="115" t="n"/>
      <c r="E4582" s="116" t="n"/>
      <c r="F4582" s="115" t="n"/>
      <c r="G4582" s="117">
        <f>IF(COUNTA(B4582:E4582)=0,"",IF(COUNTA(B4582:E4582)&lt;4,"⚠ กรอกไม่ครบ",IF(NOT(ISNUMBER(B4582)),"⚠ วันที่ไม่ถูกต้อง",IF(COUNTIFS(Setup!$L$6:$L$60,D4582,Setup!$M$6:$M$60,C4582)=0,"⚠ หมวดไม่ตรงประเภท","✓"))))</f>
        <v/>
      </c>
    </row>
    <row r="4583">
      <c r="B4583" s="113" t="n"/>
      <c r="C4583" s="114" t="n"/>
      <c r="D4583" s="115" t="n"/>
      <c r="E4583" s="116" t="n"/>
      <c r="F4583" s="115" t="n"/>
      <c r="G4583" s="117">
        <f>IF(COUNTA(B4583:E4583)=0,"",IF(COUNTA(B4583:E4583)&lt;4,"⚠ กรอกไม่ครบ",IF(NOT(ISNUMBER(B4583)),"⚠ วันที่ไม่ถูกต้อง",IF(COUNTIFS(Setup!$L$6:$L$60,D4583,Setup!$M$6:$M$60,C4583)=0,"⚠ หมวดไม่ตรงประเภท","✓"))))</f>
        <v/>
      </c>
    </row>
    <row r="4584">
      <c r="B4584" s="113" t="n"/>
      <c r="C4584" s="114" t="n"/>
      <c r="D4584" s="115" t="n"/>
      <c r="E4584" s="116" t="n"/>
      <c r="F4584" s="115" t="n"/>
      <c r="G4584" s="117">
        <f>IF(COUNTA(B4584:E4584)=0,"",IF(COUNTA(B4584:E4584)&lt;4,"⚠ กรอกไม่ครบ",IF(NOT(ISNUMBER(B4584)),"⚠ วันที่ไม่ถูกต้อง",IF(COUNTIFS(Setup!$L$6:$L$60,D4584,Setup!$M$6:$M$60,C4584)=0,"⚠ หมวดไม่ตรงประเภท","✓"))))</f>
        <v/>
      </c>
    </row>
    <row r="4585">
      <c r="B4585" s="113" t="n"/>
      <c r="C4585" s="114" t="n"/>
      <c r="D4585" s="115" t="n"/>
      <c r="E4585" s="116" t="n"/>
      <c r="F4585" s="115" t="n"/>
      <c r="G4585" s="117">
        <f>IF(COUNTA(B4585:E4585)=0,"",IF(COUNTA(B4585:E4585)&lt;4,"⚠ กรอกไม่ครบ",IF(NOT(ISNUMBER(B4585)),"⚠ วันที่ไม่ถูกต้อง",IF(COUNTIFS(Setup!$L$6:$L$60,D4585,Setup!$M$6:$M$60,C4585)=0,"⚠ หมวดไม่ตรงประเภท","✓"))))</f>
        <v/>
      </c>
    </row>
    <row r="4586">
      <c r="B4586" s="113" t="n"/>
      <c r="C4586" s="114" t="n"/>
      <c r="D4586" s="115" t="n"/>
      <c r="E4586" s="116" t="n"/>
      <c r="F4586" s="115" t="n"/>
      <c r="G4586" s="117">
        <f>IF(COUNTA(B4586:E4586)=0,"",IF(COUNTA(B4586:E4586)&lt;4,"⚠ กรอกไม่ครบ",IF(NOT(ISNUMBER(B4586)),"⚠ วันที่ไม่ถูกต้อง",IF(COUNTIFS(Setup!$L$6:$L$60,D4586,Setup!$M$6:$M$60,C4586)=0,"⚠ หมวดไม่ตรงประเภท","✓"))))</f>
        <v/>
      </c>
    </row>
    <row r="4587">
      <c r="B4587" s="113" t="n"/>
      <c r="C4587" s="114" t="n"/>
      <c r="D4587" s="115" t="n"/>
      <c r="E4587" s="116" t="n"/>
      <c r="F4587" s="115" t="n"/>
      <c r="G4587" s="117">
        <f>IF(COUNTA(B4587:E4587)=0,"",IF(COUNTA(B4587:E4587)&lt;4,"⚠ กรอกไม่ครบ",IF(NOT(ISNUMBER(B4587)),"⚠ วันที่ไม่ถูกต้อง",IF(COUNTIFS(Setup!$L$6:$L$60,D4587,Setup!$M$6:$M$60,C4587)=0,"⚠ หมวดไม่ตรงประเภท","✓"))))</f>
        <v/>
      </c>
    </row>
    <row r="4588">
      <c r="B4588" s="113" t="n"/>
      <c r="C4588" s="114" t="n"/>
      <c r="D4588" s="115" t="n"/>
      <c r="E4588" s="116" t="n"/>
      <c r="F4588" s="115" t="n"/>
      <c r="G4588" s="117">
        <f>IF(COUNTA(B4588:E4588)=0,"",IF(COUNTA(B4588:E4588)&lt;4,"⚠ กรอกไม่ครบ",IF(NOT(ISNUMBER(B4588)),"⚠ วันที่ไม่ถูกต้อง",IF(COUNTIFS(Setup!$L$6:$L$60,D4588,Setup!$M$6:$M$60,C4588)=0,"⚠ หมวดไม่ตรงประเภท","✓"))))</f>
        <v/>
      </c>
    </row>
    <row r="4589">
      <c r="B4589" s="113" t="n"/>
      <c r="C4589" s="114" t="n"/>
      <c r="D4589" s="115" t="n"/>
      <c r="E4589" s="116" t="n"/>
      <c r="F4589" s="115" t="n"/>
      <c r="G4589" s="117">
        <f>IF(COUNTA(B4589:E4589)=0,"",IF(COUNTA(B4589:E4589)&lt;4,"⚠ กรอกไม่ครบ",IF(NOT(ISNUMBER(B4589)),"⚠ วันที่ไม่ถูกต้อง",IF(COUNTIFS(Setup!$L$6:$L$60,D4589,Setup!$M$6:$M$60,C4589)=0,"⚠ หมวดไม่ตรงประเภท","✓"))))</f>
        <v/>
      </c>
    </row>
    <row r="4590">
      <c r="B4590" s="113" t="n"/>
      <c r="C4590" s="114" t="n"/>
      <c r="D4590" s="115" t="n"/>
      <c r="E4590" s="116" t="n"/>
      <c r="F4590" s="115" t="n"/>
      <c r="G4590" s="117">
        <f>IF(COUNTA(B4590:E4590)=0,"",IF(COUNTA(B4590:E4590)&lt;4,"⚠ กรอกไม่ครบ",IF(NOT(ISNUMBER(B4590)),"⚠ วันที่ไม่ถูกต้อง",IF(COUNTIFS(Setup!$L$6:$L$60,D4590,Setup!$M$6:$M$60,C4590)=0,"⚠ หมวดไม่ตรงประเภท","✓"))))</f>
        <v/>
      </c>
    </row>
    <row r="4591">
      <c r="B4591" s="113" t="n"/>
      <c r="C4591" s="114" t="n"/>
      <c r="D4591" s="115" t="n"/>
      <c r="E4591" s="116" t="n"/>
      <c r="F4591" s="115" t="n"/>
      <c r="G4591" s="117">
        <f>IF(COUNTA(B4591:E4591)=0,"",IF(COUNTA(B4591:E4591)&lt;4,"⚠ กรอกไม่ครบ",IF(NOT(ISNUMBER(B4591)),"⚠ วันที่ไม่ถูกต้อง",IF(COUNTIFS(Setup!$L$6:$L$60,D4591,Setup!$M$6:$M$60,C4591)=0,"⚠ หมวดไม่ตรงประเภท","✓"))))</f>
        <v/>
      </c>
    </row>
    <row r="4592">
      <c r="B4592" s="113" t="n"/>
      <c r="C4592" s="114" t="n"/>
      <c r="D4592" s="115" t="n"/>
      <c r="E4592" s="116" t="n"/>
      <c r="F4592" s="115" t="n"/>
      <c r="G4592" s="117">
        <f>IF(COUNTA(B4592:E4592)=0,"",IF(COUNTA(B4592:E4592)&lt;4,"⚠ กรอกไม่ครบ",IF(NOT(ISNUMBER(B4592)),"⚠ วันที่ไม่ถูกต้อง",IF(COUNTIFS(Setup!$L$6:$L$60,D4592,Setup!$M$6:$M$60,C4592)=0,"⚠ หมวดไม่ตรงประเภท","✓"))))</f>
        <v/>
      </c>
    </row>
    <row r="4593">
      <c r="B4593" s="113" t="n"/>
      <c r="C4593" s="114" t="n"/>
      <c r="D4593" s="115" t="n"/>
      <c r="E4593" s="116" t="n"/>
      <c r="F4593" s="115" t="n"/>
      <c r="G4593" s="117">
        <f>IF(COUNTA(B4593:E4593)=0,"",IF(COUNTA(B4593:E4593)&lt;4,"⚠ กรอกไม่ครบ",IF(NOT(ISNUMBER(B4593)),"⚠ วันที่ไม่ถูกต้อง",IF(COUNTIFS(Setup!$L$6:$L$60,D4593,Setup!$M$6:$M$60,C4593)=0,"⚠ หมวดไม่ตรงประเภท","✓"))))</f>
        <v/>
      </c>
    </row>
    <row r="4594">
      <c r="B4594" s="113" t="n"/>
      <c r="C4594" s="114" t="n"/>
      <c r="D4594" s="115" t="n"/>
      <c r="E4594" s="116" t="n"/>
      <c r="F4594" s="115" t="n"/>
      <c r="G4594" s="117">
        <f>IF(COUNTA(B4594:E4594)=0,"",IF(COUNTA(B4594:E4594)&lt;4,"⚠ กรอกไม่ครบ",IF(NOT(ISNUMBER(B4594)),"⚠ วันที่ไม่ถูกต้อง",IF(COUNTIFS(Setup!$L$6:$L$60,D4594,Setup!$M$6:$M$60,C4594)=0,"⚠ หมวดไม่ตรงประเภท","✓"))))</f>
        <v/>
      </c>
    </row>
    <row r="4595">
      <c r="B4595" s="113" t="n"/>
      <c r="C4595" s="114" t="n"/>
      <c r="D4595" s="115" t="n"/>
      <c r="E4595" s="116" t="n"/>
      <c r="F4595" s="115" t="n"/>
      <c r="G4595" s="117">
        <f>IF(COUNTA(B4595:E4595)=0,"",IF(COUNTA(B4595:E4595)&lt;4,"⚠ กรอกไม่ครบ",IF(NOT(ISNUMBER(B4595)),"⚠ วันที่ไม่ถูกต้อง",IF(COUNTIFS(Setup!$L$6:$L$60,D4595,Setup!$M$6:$M$60,C4595)=0,"⚠ หมวดไม่ตรงประเภท","✓"))))</f>
        <v/>
      </c>
    </row>
    <row r="4596">
      <c r="B4596" s="113" t="n"/>
      <c r="C4596" s="114" t="n"/>
      <c r="D4596" s="115" t="n"/>
      <c r="E4596" s="116" t="n"/>
      <c r="F4596" s="115" t="n"/>
      <c r="G4596" s="117">
        <f>IF(COUNTA(B4596:E4596)=0,"",IF(COUNTA(B4596:E4596)&lt;4,"⚠ กรอกไม่ครบ",IF(NOT(ISNUMBER(B4596)),"⚠ วันที่ไม่ถูกต้อง",IF(COUNTIFS(Setup!$L$6:$L$60,D4596,Setup!$M$6:$M$60,C4596)=0,"⚠ หมวดไม่ตรงประเภท","✓"))))</f>
        <v/>
      </c>
    </row>
    <row r="4597">
      <c r="B4597" s="113" t="n"/>
      <c r="C4597" s="114" t="n"/>
      <c r="D4597" s="115" t="n"/>
      <c r="E4597" s="116" t="n"/>
      <c r="F4597" s="115" t="n"/>
      <c r="G4597" s="117">
        <f>IF(COUNTA(B4597:E4597)=0,"",IF(COUNTA(B4597:E4597)&lt;4,"⚠ กรอกไม่ครบ",IF(NOT(ISNUMBER(B4597)),"⚠ วันที่ไม่ถูกต้อง",IF(COUNTIFS(Setup!$L$6:$L$60,D4597,Setup!$M$6:$M$60,C4597)=0,"⚠ หมวดไม่ตรงประเภท","✓"))))</f>
        <v/>
      </c>
    </row>
    <row r="4598">
      <c r="B4598" s="113" t="n"/>
      <c r="C4598" s="114" t="n"/>
      <c r="D4598" s="115" t="n"/>
      <c r="E4598" s="116" t="n"/>
      <c r="F4598" s="115" t="n"/>
      <c r="G4598" s="117">
        <f>IF(COUNTA(B4598:E4598)=0,"",IF(COUNTA(B4598:E4598)&lt;4,"⚠ กรอกไม่ครบ",IF(NOT(ISNUMBER(B4598)),"⚠ วันที่ไม่ถูกต้อง",IF(COUNTIFS(Setup!$L$6:$L$60,D4598,Setup!$M$6:$M$60,C4598)=0,"⚠ หมวดไม่ตรงประเภท","✓"))))</f>
        <v/>
      </c>
    </row>
    <row r="4599">
      <c r="B4599" s="113" t="n"/>
      <c r="C4599" s="114" t="n"/>
      <c r="D4599" s="115" t="n"/>
      <c r="E4599" s="116" t="n"/>
      <c r="F4599" s="115" t="n"/>
      <c r="G4599" s="117">
        <f>IF(COUNTA(B4599:E4599)=0,"",IF(COUNTA(B4599:E4599)&lt;4,"⚠ กรอกไม่ครบ",IF(NOT(ISNUMBER(B4599)),"⚠ วันที่ไม่ถูกต้อง",IF(COUNTIFS(Setup!$L$6:$L$60,D4599,Setup!$M$6:$M$60,C4599)=0,"⚠ หมวดไม่ตรงประเภท","✓"))))</f>
        <v/>
      </c>
    </row>
    <row r="4600">
      <c r="B4600" s="113" t="n"/>
      <c r="C4600" s="114" t="n"/>
      <c r="D4600" s="115" t="n"/>
      <c r="E4600" s="116" t="n"/>
      <c r="F4600" s="115" t="n"/>
      <c r="G4600" s="117">
        <f>IF(COUNTA(B4600:E4600)=0,"",IF(COUNTA(B4600:E4600)&lt;4,"⚠ กรอกไม่ครบ",IF(NOT(ISNUMBER(B4600)),"⚠ วันที่ไม่ถูกต้อง",IF(COUNTIFS(Setup!$L$6:$L$60,D4600,Setup!$M$6:$M$60,C4600)=0,"⚠ หมวดไม่ตรงประเภท","✓"))))</f>
        <v/>
      </c>
    </row>
    <row r="4601">
      <c r="B4601" s="113" t="n"/>
      <c r="C4601" s="114" t="n"/>
      <c r="D4601" s="115" t="n"/>
      <c r="E4601" s="116" t="n"/>
      <c r="F4601" s="115" t="n"/>
      <c r="G4601" s="117">
        <f>IF(COUNTA(B4601:E4601)=0,"",IF(COUNTA(B4601:E4601)&lt;4,"⚠ กรอกไม่ครบ",IF(NOT(ISNUMBER(B4601)),"⚠ วันที่ไม่ถูกต้อง",IF(COUNTIFS(Setup!$L$6:$L$60,D4601,Setup!$M$6:$M$60,C4601)=0,"⚠ หมวดไม่ตรงประเภท","✓"))))</f>
        <v/>
      </c>
    </row>
    <row r="4602">
      <c r="B4602" s="113" t="n"/>
      <c r="C4602" s="114" t="n"/>
      <c r="D4602" s="115" t="n"/>
      <c r="E4602" s="116" t="n"/>
      <c r="F4602" s="115" t="n"/>
      <c r="G4602" s="117">
        <f>IF(COUNTA(B4602:E4602)=0,"",IF(COUNTA(B4602:E4602)&lt;4,"⚠ กรอกไม่ครบ",IF(NOT(ISNUMBER(B4602)),"⚠ วันที่ไม่ถูกต้อง",IF(COUNTIFS(Setup!$L$6:$L$60,D4602,Setup!$M$6:$M$60,C4602)=0,"⚠ หมวดไม่ตรงประเภท","✓"))))</f>
        <v/>
      </c>
    </row>
    <row r="4603">
      <c r="B4603" s="113" t="n"/>
      <c r="C4603" s="114" t="n"/>
      <c r="D4603" s="115" t="n"/>
      <c r="E4603" s="116" t="n"/>
      <c r="F4603" s="115" t="n"/>
      <c r="G4603" s="117">
        <f>IF(COUNTA(B4603:E4603)=0,"",IF(COUNTA(B4603:E4603)&lt;4,"⚠ กรอกไม่ครบ",IF(NOT(ISNUMBER(B4603)),"⚠ วันที่ไม่ถูกต้อง",IF(COUNTIFS(Setup!$L$6:$L$60,D4603,Setup!$M$6:$M$60,C4603)=0,"⚠ หมวดไม่ตรงประเภท","✓"))))</f>
        <v/>
      </c>
    </row>
    <row r="4604">
      <c r="B4604" s="113" t="n"/>
      <c r="C4604" s="114" t="n"/>
      <c r="D4604" s="115" t="n"/>
      <c r="E4604" s="116" t="n"/>
      <c r="F4604" s="115" t="n"/>
      <c r="G4604" s="117">
        <f>IF(COUNTA(B4604:E4604)=0,"",IF(COUNTA(B4604:E4604)&lt;4,"⚠ กรอกไม่ครบ",IF(NOT(ISNUMBER(B4604)),"⚠ วันที่ไม่ถูกต้อง",IF(COUNTIFS(Setup!$L$6:$L$60,D4604,Setup!$M$6:$M$60,C4604)=0,"⚠ หมวดไม่ตรงประเภท","✓"))))</f>
        <v/>
      </c>
    </row>
    <row r="4605">
      <c r="B4605" s="113" t="n"/>
      <c r="C4605" s="114" t="n"/>
      <c r="D4605" s="115" t="n"/>
      <c r="E4605" s="116" t="n"/>
      <c r="F4605" s="115" t="n"/>
      <c r="G4605" s="117">
        <f>IF(COUNTA(B4605:E4605)=0,"",IF(COUNTA(B4605:E4605)&lt;4,"⚠ กรอกไม่ครบ",IF(NOT(ISNUMBER(B4605)),"⚠ วันที่ไม่ถูกต้อง",IF(COUNTIFS(Setup!$L$6:$L$60,D4605,Setup!$M$6:$M$60,C4605)=0,"⚠ หมวดไม่ตรงประเภท","✓"))))</f>
        <v/>
      </c>
    </row>
    <row r="4606">
      <c r="B4606" s="113" t="n"/>
      <c r="C4606" s="114" t="n"/>
      <c r="D4606" s="115" t="n"/>
      <c r="E4606" s="116" t="n"/>
      <c r="F4606" s="115" t="n"/>
      <c r="G4606" s="117">
        <f>IF(COUNTA(B4606:E4606)=0,"",IF(COUNTA(B4606:E4606)&lt;4,"⚠ กรอกไม่ครบ",IF(NOT(ISNUMBER(B4606)),"⚠ วันที่ไม่ถูกต้อง",IF(COUNTIFS(Setup!$L$6:$L$60,D4606,Setup!$M$6:$M$60,C4606)=0,"⚠ หมวดไม่ตรงประเภท","✓"))))</f>
        <v/>
      </c>
    </row>
    <row r="4607">
      <c r="B4607" s="113" t="n"/>
      <c r="C4607" s="114" t="n"/>
      <c r="D4607" s="115" t="n"/>
      <c r="E4607" s="116" t="n"/>
      <c r="F4607" s="115" t="n"/>
      <c r="G4607" s="117">
        <f>IF(COUNTA(B4607:E4607)=0,"",IF(COUNTA(B4607:E4607)&lt;4,"⚠ กรอกไม่ครบ",IF(NOT(ISNUMBER(B4607)),"⚠ วันที่ไม่ถูกต้อง",IF(COUNTIFS(Setup!$L$6:$L$60,D4607,Setup!$M$6:$M$60,C4607)=0,"⚠ หมวดไม่ตรงประเภท","✓"))))</f>
        <v/>
      </c>
    </row>
    <row r="4608">
      <c r="B4608" s="113" t="n"/>
      <c r="C4608" s="114" t="n"/>
      <c r="D4608" s="115" t="n"/>
      <c r="E4608" s="116" t="n"/>
      <c r="F4608" s="115" t="n"/>
      <c r="G4608" s="117">
        <f>IF(COUNTA(B4608:E4608)=0,"",IF(COUNTA(B4608:E4608)&lt;4,"⚠ กรอกไม่ครบ",IF(NOT(ISNUMBER(B4608)),"⚠ วันที่ไม่ถูกต้อง",IF(COUNTIFS(Setup!$L$6:$L$60,D4608,Setup!$M$6:$M$60,C4608)=0,"⚠ หมวดไม่ตรงประเภท","✓"))))</f>
        <v/>
      </c>
    </row>
    <row r="4609">
      <c r="B4609" s="113" t="n"/>
      <c r="C4609" s="114" t="n"/>
      <c r="D4609" s="115" t="n"/>
      <c r="E4609" s="116" t="n"/>
      <c r="F4609" s="115" t="n"/>
      <c r="G4609" s="117">
        <f>IF(COUNTA(B4609:E4609)=0,"",IF(COUNTA(B4609:E4609)&lt;4,"⚠ กรอกไม่ครบ",IF(NOT(ISNUMBER(B4609)),"⚠ วันที่ไม่ถูกต้อง",IF(COUNTIFS(Setup!$L$6:$L$60,D4609,Setup!$M$6:$M$60,C4609)=0,"⚠ หมวดไม่ตรงประเภท","✓"))))</f>
        <v/>
      </c>
    </row>
    <row r="4610">
      <c r="B4610" s="113" t="n"/>
      <c r="C4610" s="114" t="n"/>
      <c r="D4610" s="115" t="n"/>
      <c r="E4610" s="116" t="n"/>
      <c r="F4610" s="115" t="n"/>
      <c r="G4610" s="117">
        <f>IF(COUNTA(B4610:E4610)=0,"",IF(COUNTA(B4610:E4610)&lt;4,"⚠ กรอกไม่ครบ",IF(NOT(ISNUMBER(B4610)),"⚠ วันที่ไม่ถูกต้อง",IF(COUNTIFS(Setup!$L$6:$L$60,D4610,Setup!$M$6:$M$60,C4610)=0,"⚠ หมวดไม่ตรงประเภท","✓"))))</f>
        <v/>
      </c>
    </row>
    <row r="4611">
      <c r="B4611" s="113" t="n"/>
      <c r="C4611" s="114" t="n"/>
      <c r="D4611" s="115" t="n"/>
      <c r="E4611" s="116" t="n"/>
      <c r="F4611" s="115" t="n"/>
      <c r="G4611" s="117">
        <f>IF(COUNTA(B4611:E4611)=0,"",IF(COUNTA(B4611:E4611)&lt;4,"⚠ กรอกไม่ครบ",IF(NOT(ISNUMBER(B4611)),"⚠ วันที่ไม่ถูกต้อง",IF(COUNTIFS(Setup!$L$6:$L$60,D4611,Setup!$M$6:$M$60,C4611)=0,"⚠ หมวดไม่ตรงประเภท","✓"))))</f>
        <v/>
      </c>
    </row>
    <row r="4612">
      <c r="B4612" s="113" t="n"/>
      <c r="C4612" s="114" t="n"/>
      <c r="D4612" s="115" t="n"/>
      <c r="E4612" s="116" t="n"/>
      <c r="F4612" s="115" t="n"/>
      <c r="G4612" s="117">
        <f>IF(COUNTA(B4612:E4612)=0,"",IF(COUNTA(B4612:E4612)&lt;4,"⚠ กรอกไม่ครบ",IF(NOT(ISNUMBER(B4612)),"⚠ วันที่ไม่ถูกต้อง",IF(COUNTIFS(Setup!$L$6:$L$60,D4612,Setup!$M$6:$M$60,C4612)=0,"⚠ หมวดไม่ตรงประเภท","✓"))))</f>
        <v/>
      </c>
    </row>
    <row r="4613">
      <c r="B4613" s="113" t="n"/>
      <c r="C4613" s="114" t="n"/>
      <c r="D4613" s="115" t="n"/>
      <c r="E4613" s="116" t="n"/>
      <c r="F4613" s="115" t="n"/>
      <c r="G4613" s="117">
        <f>IF(COUNTA(B4613:E4613)=0,"",IF(COUNTA(B4613:E4613)&lt;4,"⚠ กรอกไม่ครบ",IF(NOT(ISNUMBER(B4613)),"⚠ วันที่ไม่ถูกต้อง",IF(COUNTIFS(Setup!$L$6:$L$60,D4613,Setup!$M$6:$M$60,C4613)=0,"⚠ หมวดไม่ตรงประเภท","✓"))))</f>
        <v/>
      </c>
    </row>
    <row r="4614">
      <c r="B4614" s="113" t="n"/>
      <c r="C4614" s="114" t="n"/>
      <c r="D4614" s="115" t="n"/>
      <c r="E4614" s="116" t="n"/>
      <c r="F4614" s="115" t="n"/>
      <c r="G4614" s="117">
        <f>IF(COUNTA(B4614:E4614)=0,"",IF(COUNTA(B4614:E4614)&lt;4,"⚠ กรอกไม่ครบ",IF(NOT(ISNUMBER(B4614)),"⚠ วันที่ไม่ถูกต้อง",IF(COUNTIFS(Setup!$L$6:$L$60,D4614,Setup!$M$6:$M$60,C4614)=0,"⚠ หมวดไม่ตรงประเภท","✓"))))</f>
        <v/>
      </c>
    </row>
    <row r="4615">
      <c r="B4615" s="113" t="n"/>
      <c r="C4615" s="114" t="n"/>
      <c r="D4615" s="115" t="n"/>
      <c r="E4615" s="116" t="n"/>
      <c r="F4615" s="115" t="n"/>
      <c r="G4615" s="117">
        <f>IF(COUNTA(B4615:E4615)=0,"",IF(COUNTA(B4615:E4615)&lt;4,"⚠ กรอกไม่ครบ",IF(NOT(ISNUMBER(B4615)),"⚠ วันที่ไม่ถูกต้อง",IF(COUNTIFS(Setup!$L$6:$L$60,D4615,Setup!$M$6:$M$60,C4615)=0,"⚠ หมวดไม่ตรงประเภท","✓"))))</f>
        <v/>
      </c>
    </row>
    <row r="4616">
      <c r="B4616" s="113" t="n"/>
      <c r="C4616" s="114" t="n"/>
      <c r="D4616" s="115" t="n"/>
      <c r="E4616" s="116" t="n"/>
      <c r="F4616" s="115" t="n"/>
      <c r="G4616" s="117">
        <f>IF(COUNTA(B4616:E4616)=0,"",IF(COUNTA(B4616:E4616)&lt;4,"⚠ กรอกไม่ครบ",IF(NOT(ISNUMBER(B4616)),"⚠ วันที่ไม่ถูกต้อง",IF(COUNTIFS(Setup!$L$6:$L$60,D4616,Setup!$M$6:$M$60,C4616)=0,"⚠ หมวดไม่ตรงประเภท","✓"))))</f>
        <v/>
      </c>
    </row>
    <row r="4617">
      <c r="B4617" s="113" t="n"/>
      <c r="C4617" s="114" t="n"/>
      <c r="D4617" s="115" t="n"/>
      <c r="E4617" s="116" t="n"/>
      <c r="F4617" s="115" t="n"/>
      <c r="G4617" s="117">
        <f>IF(COUNTA(B4617:E4617)=0,"",IF(COUNTA(B4617:E4617)&lt;4,"⚠ กรอกไม่ครบ",IF(NOT(ISNUMBER(B4617)),"⚠ วันที่ไม่ถูกต้อง",IF(COUNTIFS(Setup!$L$6:$L$60,D4617,Setup!$M$6:$M$60,C4617)=0,"⚠ หมวดไม่ตรงประเภท","✓"))))</f>
        <v/>
      </c>
    </row>
    <row r="4618">
      <c r="B4618" s="113" t="n"/>
      <c r="C4618" s="114" t="n"/>
      <c r="D4618" s="115" t="n"/>
      <c r="E4618" s="116" t="n"/>
      <c r="F4618" s="115" t="n"/>
      <c r="G4618" s="117">
        <f>IF(COUNTA(B4618:E4618)=0,"",IF(COUNTA(B4618:E4618)&lt;4,"⚠ กรอกไม่ครบ",IF(NOT(ISNUMBER(B4618)),"⚠ วันที่ไม่ถูกต้อง",IF(COUNTIFS(Setup!$L$6:$L$60,D4618,Setup!$M$6:$M$60,C4618)=0,"⚠ หมวดไม่ตรงประเภท","✓"))))</f>
        <v/>
      </c>
    </row>
    <row r="4619">
      <c r="B4619" s="113" t="n"/>
      <c r="C4619" s="114" t="n"/>
      <c r="D4619" s="115" t="n"/>
      <c r="E4619" s="116" t="n"/>
      <c r="F4619" s="115" t="n"/>
      <c r="G4619" s="117">
        <f>IF(COUNTA(B4619:E4619)=0,"",IF(COUNTA(B4619:E4619)&lt;4,"⚠ กรอกไม่ครบ",IF(NOT(ISNUMBER(B4619)),"⚠ วันที่ไม่ถูกต้อง",IF(COUNTIFS(Setup!$L$6:$L$60,D4619,Setup!$M$6:$M$60,C4619)=0,"⚠ หมวดไม่ตรงประเภท","✓"))))</f>
        <v/>
      </c>
    </row>
    <row r="4620">
      <c r="B4620" s="113" t="n"/>
      <c r="C4620" s="114" t="n"/>
      <c r="D4620" s="115" t="n"/>
      <c r="E4620" s="116" t="n"/>
      <c r="F4620" s="115" t="n"/>
      <c r="G4620" s="117">
        <f>IF(COUNTA(B4620:E4620)=0,"",IF(COUNTA(B4620:E4620)&lt;4,"⚠ กรอกไม่ครบ",IF(NOT(ISNUMBER(B4620)),"⚠ วันที่ไม่ถูกต้อง",IF(COUNTIFS(Setup!$L$6:$L$60,D4620,Setup!$M$6:$M$60,C4620)=0,"⚠ หมวดไม่ตรงประเภท","✓"))))</f>
        <v/>
      </c>
    </row>
    <row r="4621">
      <c r="B4621" s="113" t="n"/>
      <c r="C4621" s="114" t="n"/>
      <c r="D4621" s="115" t="n"/>
      <c r="E4621" s="116" t="n"/>
      <c r="F4621" s="115" t="n"/>
      <c r="G4621" s="117">
        <f>IF(COUNTA(B4621:E4621)=0,"",IF(COUNTA(B4621:E4621)&lt;4,"⚠ กรอกไม่ครบ",IF(NOT(ISNUMBER(B4621)),"⚠ วันที่ไม่ถูกต้อง",IF(COUNTIFS(Setup!$L$6:$L$60,D4621,Setup!$M$6:$M$60,C4621)=0,"⚠ หมวดไม่ตรงประเภท","✓"))))</f>
        <v/>
      </c>
    </row>
    <row r="4622">
      <c r="B4622" s="113" t="n"/>
      <c r="C4622" s="114" t="n"/>
      <c r="D4622" s="115" t="n"/>
      <c r="E4622" s="116" t="n"/>
      <c r="F4622" s="115" t="n"/>
      <c r="G4622" s="117">
        <f>IF(COUNTA(B4622:E4622)=0,"",IF(COUNTA(B4622:E4622)&lt;4,"⚠ กรอกไม่ครบ",IF(NOT(ISNUMBER(B4622)),"⚠ วันที่ไม่ถูกต้อง",IF(COUNTIFS(Setup!$L$6:$L$60,D4622,Setup!$M$6:$M$60,C4622)=0,"⚠ หมวดไม่ตรงประเภท","✓"))))</f>
        <v/>
      </c>
    </row>
    <row r="4623">
      <c r="B4623" s="113" t="n"/>
      <c r="C4623" s="114" t="n"/>
      <c r="D4623" s="115" t="n"/>
      <c r="E4623" s="116" t="n"/>
      <c r="F4623" s="115" t="n"/>
      <c r="G4623" s="117">
        <f>IF(COUNTA(B4623:E4623)=0,"",IF(COUNTA(B4623:E4623)&lt;4,"⚠ กรอกไม่ครบ",IF(NOT(ISNUMBER(B4623)),"⚠ วันที่ไม่ถูกต้อง",IF(COUNTIFS(Setup!$L$6:$L$60,D4623,Setup!$M$6:$M$60,C4623)=0,"⚠ หมวดไม่ตรงประเภท","✓"))))</f>
        <v/>
      </c>
    </row>
    <row r="4624">
      <c r="B4624" s="113" t="n"/>
      <c r="C4624" s="114" t="n"/>
      <c r="D4624" s="115" t="n"/>
      <c r="E4624" s="116" t="n"/>
      <c r="F4624" s="115" t="n"/>
      <c r="G4624" s="117">
        <f>IF(COUNTA(B4624:E4624)=0,"",IF(COUNTA(B4624:E4624)&lt;4,"⚠ กรอกไม่ครบ",IF(NOT(ISNUMBER(B4624)),"⚠ วันที่ไม่ถูกต้อง",IF(COUNTIFS(Setup!$L$6:$L$60,D4624,Setup!$M$6:$M$60,C4624)=0,"⚠ หมวดไม่ตรงประเภท","✓"))))</f>
        <v/>
      </c>
    </row>
    <row r="4625">
      <c r="B4625" s="113" t="n"/>
      <c r="C4625" s="114" t="n"/>
      <c r="D4625" s="115" t="n"/>
      <c r="E4625" s="116" t="n"/>
      <c r="F4625" s="115" t="n"/>
      <c r="G4625" s="117">
        <f>IF(COUNTA(B4625:E4625)=0,"",IF(COUNTA(B4625:E4625)&lt;4,"⚠ กรอกไม่ครบ",IF(NOT(ISNUMBER(B4625)),"⚠ วันที่ไม่ถูกต้อง",IF(COUNTIFS(Setup!$L$6:$L$60,D4625,Setup!$M$6:$M$60,C4625)=0,"⚠ หมวดไม่ตรงประเภท","✓"))))</f>
        <v/>
      </c>
    </row>
    <row r="4626">
      <c r="B4626" s="113" t="n"/>
      <c r="C4626" s="114" t="n"/>
      <c r="D4626" s="115" t="n"/>
      <c r="E4626" s="116" t="n"/>
      <c r="F4626" s="115" t="n"/>
      <c r="G4626" s="117">
        <f>IF(COUNTA(B4626:E4626)=0,"",IF(COUNTA(B4626:E4626)&lt;4,"⚠ กรอกไม่ครบ",IF(NOT(ISNUMBER(B4626)),"⚠ วันที่ไม่ถูกต้อง",IF(COUNTIFS(Setup!$L$6:$L$60,D4626,Setup!$M$6:$M$60,C4626)=0,"⚠ หมวดไม่ตรงประเภท","✓"))))</f>
        <v/>
      </c>
    </row>
    <row r="4627">
      <c r="B4627" s="113" t="n"/>
      <c r="C4627" s="114" t="n"/>
      <c r="D4627" s="115" t="n"/>
      <c r="E4627" s="116" t="n"/>
      <c r="F4627" s="115" t="n"/>
      <c r="G4627" s="117">
        <f>IF(COUNTA(B4627:E4627)=0,"",IF(COUNTA(B4627:E4627)&lt;4,"⚠ กรอกไม่ครบ",IF(NOT(ISNUMBER(B4627)),"⚠ วันที่ไม่ถูกต้อง",IF(COUNTIFS(Setup!$L$6:$L$60,D4627,Setup!$M$6:$M$60,C4627)=0,"⚠ หมวดไม่ตรงประเภท","✓"))))</f>
        <v/>
      </c>
    </row>
    <row r="4628">
      <c r="B4628" s="113" t="n"/>
      <c r="C4628" s="114" t="n"/>
      <c r="D4628" s="115" t="n"/>
      <c r="E4628" s="116" t="n"/>
      <c r="F4628" s="115" t="n"/>
      <c r="G4628" s="117">
        <f>IF(COUNTA(B4628:E4628)=0,"",IF(COUNTA(B4628:E4628)&lt;4,"⚠ กรอกไม่ครบ",IF(NOT(ISNUMBER(B4628)),"⚠ วันที่ไม่ถูกต้อง",IF(COUNTIFS(Setup!$L$6:$L$60,D4628,Setup!$M$6:$M$60,C4628)=0,"⚠ หมวดไม่ตรงประเภท","✓"))))</f>
        <v/>
      </c>
    </row>
    <row r="4629">
      <c r="B4629" s="113" t="n"/>
      <c r="C4629" s="114" t="n"/>
      <c r="D4629" s="115" t="n"/>
      <c r="E4629" s="116" t="n"/>
      <c r="F4629" s="115" t="n"/>
      <c r="G4629" s="117">
        <f>IF(COUNTA(B4629:E4629)=0,"",IF(COUNTA(B4629:E4629)&lt;4,"⚠ กรอกไม่ครบ",IF(NOT(ISNUMBER(B4629)),"⚠ วันที่ไม่ถูกต้อง",IF(COUNTIFS(Setup!$L$6:$L$60,D4629,Setup!$M$6:$M$60,C4629)=0,"⚠ หมวดไม่ตรงประเภท","✓"))))</f>
        <v/>
      </c>
    </row>
    <row r="4630">
      <c r="B4630" s="113" t="n"/>
      <c r="C4630" s="114" t="n"/>
      <c r="D4630" s="115" t="n"/>
      <c r="E4630" s="116" t="n"/>
      <c r="F4630" s="115" t="n"/>
      <c r="G4630" s="117">
        <f>IF(COUNTA(B4630:E4630)=0,"",IF(COUNTA(B4630:E4630)&lt;4,"⚠ กรอกไม่ครบ",IF(NOT(ISNUMBER(B4630)),"⚠ วันที่ไม่ถูกต้อง",IF(COUNTIFS(Setup!$L$6:$L$60,D4630,Setup!$M$6:$M$60,C4630)=0,"⚠ หมวดไม่ตรงประเภท","✓"))))</f>
        <v/>
      </c>
    </row>
    <row r="4631">
      <c r="B4631" s="113" t="n"/>
      <c r="C4631" s="114" t="n"/>
      <c r="D4631" s="115" t="n"/>
      <c r="E4631" s="116" t="n"/>
      <c r="F4631" s="115" t="n"/>
      <c r="G4631" s="117">
        <f>IF(COUNTA(B4631:E4631)=0,"",IF(COUNTA(B4631:E4631)&lt;4,"⚠ กรอกไม่ครบ",IF(NOT(ISNUMBER(B4631)),"⚠ วันที่ไม่ถูกต้อง",IF(COUNTIFS(Setup!$L$6:$L$60,D4631,Setup!$M$6:$M$60,C4631)=0,"⚠ หมวดไม่ตรงประเภท","✓"))))</f>
        <v/>
      </c>
    </row>
    <row r="4632">
      <c r="B4632" s="113" t="n"/>
      <c r="C4632" s="114" t="n"/>
      <c r="D4632" s="115" t="n"/>
      <c r="E4632" s="116" t="n"/>
      <c r="F4632" s="115" t="n"/>
      <c r="G4632" s="117">
        <f>IF(COUNTA(B4632:E4632)=0,"",IF(COUNTA(B4632:E4632)&lt;4,"⚠ กรอกไม่ครบ",IF(NOT(ISNUMBER(B4632)),"⚠ วันที่ไม่ถูกต้อง",IF(COUNTIFS(Setup!$L$6:$L$60,D4632,Setup!$M$6:$M$60,C4632)=0,"⚠ หมวดไม่ตรงประเภท","✓"))))</f>
        <v/>
      </c>
    </row>
    <row r="4633">
      <c r="B4633" s="113" t="n"/>
      <c r="C4633" s="114" t="n"/>
      <c r="D4633" s="115" t="n"/>
      <c r="E4633" s="116" t="n"/>
      <c r="F4633" s="115" t="n"/>
      <c r="G4633" s="117">
        <f>IF(COUNTA(B4633:E4633)=0,"",IF(COUNTA(B4633:E4633)&lt;4,"⚠ กรอกไม่ครบ",IF(NOT(ISNUMBER(B4633)),"⚠ วันที่ไม่ถูกต้อง",IF(COUNTIFS(Setup!$L$6:$L$60,D4633,Setup!$M$6:$M$60,C4633)=0,"⚠ หมวดไม่ตรงประเภท","✓"))))</f>
        <v/>
      </c>
    </row>
    <row r="4634">
      <c r="B4634" s="113" t="n"/>
      <c r="C4634" s="114" t="n"/>
      <c r="D4634" s="115" t="n"/>
      <c r="E4634" s="116" t="n"/>
      <c r="F4634" s="115" t="n"/>
      <c r="G4634" s="117">
        <f>IF(COUNTA(B4634:E4634)=0,"",IF(COUNTA(B4634:E4634)&lt;4,"⚠ กรอกไม่ครบ",IF(NOT(ISNUMBER(B4634)),"⚠ วันที่ไม่ถูกต้อง",IF(COUNTIFS(Setup!$L$6:$L$60,D4634,Setup!$M$6:$M$60,C4634)=0,"⚠ หมวดไม่ตรงประเภท","✓"))))</f>
        <v/>
      </c>
    </row>
    <row r="4635">
      <c r="B4635" s="113" t="n"/>
      <c r="C4635" s="114" t="n"/>
      <c r="D4635" s="115" t="n"/>
      <c r="E4635" s="116" t="n"/>
      <c r="F4635" s="115" t="n"/>
      <c r="G4635" s="117">
        <f>IF(COUNTA(B4635:E4635)=0,"",IF(COUNTA(B4635:E4635)&lt;4,"⚠ กรอกไม่ครบ",IF(NOT(ISNUMBER(B4635)),"⚠ วันที่ไม่ถูกต้อง",IF(COUNTIFS(Setup!$L$6:$L$60,D4635,Setup!$M$6:$M$60,C4635)=0,"⚠ หมวดไม่ตรงประเภท","✓"))))</f>
        <v/>
      </c>
    </row>
    <row r="4636">
      <c r="B4636" s="113" t="n"/>
      <c r="C4636" s="114" t="n"/>
      <c r="D4636" s="115" t="n"/>
      <c r="E4636" s="116" t="n"/>
      <c r="F4636" s="115" t="n"/>
      <c r="G4636" s="117">
        <f>IF(COUNTA(B4636:E4636)=0,"",IF(COUNTA(B4636:E4636)&lt;4,"⚠ กรอกไม่ครบ",IF(NOT(ISNUMBER(B4636)),"⚠ วันที่ไม่ถูกต้อง",IF(COUNTIFS(Setup!$L$6:$L$60,D4636,Setup!$M$6:$M$60,C4636)=0,"⚠ หมวดไม่ตรงประเภท","✓"))))</f>
        <v/>
      </c>
    </row>
    <row r="4637">
      <c r="B4637" s="113" t="n"/>
      <c r="C4637" s="114" t="n"/>
      <c r="D4637" s="115" t="n"/>
      <c r="E4637" s="116" t="n"/>
      <c r="F4637" s="115" t="n"/>
      <c r="G4637" s="117">
        <f>IF(COUNTA(B4637:E4637)=0,"",IF(COUNTA(B4637:E4637)&lt;4,"⚠ กรอกไม่ครบ",IF(NOT(ISNUMBER(B4637)),"⚠ วันที่ไม่ถูกต้อง",IF(COUNTIFS(Setup!$L$6:$L$60,D4637,Setup!$M$6:$M$60,C4637)=0,"⚠ หมวดไม่ตรงประเภท","✓"))))</f>
        <v/>
      </c>
    </row>
    <row r="4638">
      <c r="B4638" s="113" t="n"/>
      <c r="C4638" s="114" t="n"/>
      <c r="D4638" s="115" t="n"/>
      <c r="E4638" s="116" t="n"/>
      <c r="F4638" s="115" t="n"/>
      <c r="G4638" s="117">
        <f>IF(COUNTA(B4638:E4638)=0,"",IF(COUNTA(B4638:E4638)&lt;4,"⚠ กรอกไม่ครบ",IF(NOT(ISNUMBER(B4638)),"⚠ วันที่ไม่ถูกต้อง",IF(COUNTIFS(Setup!$L$6:$L$60,D4638,Setup!$M$6:$M$60,C4638)=0,"⚠ หมวดไม่ตรงประเภท","✓"))))</f>
        <v/>
      </c>
    </row>
    <row r="4639">
      <c r="B4639" s="113" t="n"/>
      <c r="C4639" s="114" t="n"/>
      <c r="D4639" s="115" t="n"/>
      <c r="E4639" s="116" t="n"/>
      <c r="F4639" s="115" t="n"/>
      <c r="G4639" s="117">
        <f>IF(COUNTA(B4639:E4639)=0,"",IF(COUNTA(B4639:E4639)&lt;4,"⚠ กรอกไม่ครบ",IF(NOT(ISNUMBER(B4639)),"⚠ วันที่ไม่ถูกต้อง",IF(COUNTIFS(Setup!$L$6:$L$60,D4639,Setup!$M$6:$M$60,C4639)=0,"⚠ หมวดไม่ตรงประเภท","✓"))))</f>
        <v/>
      </c>
    </row>
    <row r="4640">
      <c r="B4640" s="113" t="n"/>
      <c r="C4640" s="114" t="n"/>
      <c r="D4640" s="115" t="n"/>
      <c r="E4640" s="116" t="n"/>
      <c r="F4640" s="115" t="n"/>
      <c r="G4640" s="117">
        <f>IF(COUNTA(B4640:E4640)=0,"",IF(COUNTA(B4640:E4640)&lt;4,"⚠ กรอกไม่ครบ",IF(NOT(ISNUMBER(B4640)),"⚠ วันที่ไม่ถูกต้อง",IF(COUNTIFS(Setup!$L$6:$L$60,D4640,Setup!$M$6:$M$60,C4640)=0,"⚠ หมวดไม่ตรงประเภท","✓"))))</f>
        <v/>
      </c>
    </row>
    <row r="4641">
      <c r="B4641" s="113" t="n"/>
      <c r="C4641" s="114" t="n"/>
      <c r="D4641" s="115" t="n"/>
      <c r="E4641" s="116" t="n"/>
      <c r="F4641" s="115" t="n"/>
      <c r="G4641" s="117">
        <f>IF(COUNTA(B4641:E4641)=0,"",IF(COUNTA(B4641:E4641)&lt;4,"⚠ กรอกไม่ครบ",IF(NOT(ISNUMBER(B4641)),"⚠ วันที่ไม่ถูกต้อง",IF(COUNTIFS(Setup!$L$6:$L$60,D4641,Setup!$M$6:$M$60,C4641)=0,"⚠ หมวดไม่ตรงประเภท","✓"))))</f>
        <v/>
      </c>
    </row>
    <row r="4642">
      <c r="B4642" s="113" t="n"/>
      <c r="C4642" s="114" t="n"/>
      <c r="D4642" s="115" t="n"/>
      <c r="E4642" s="116" t="n"/>
      <c r="F4642" s="115" t="n"/>
      <c r="G4642" s="117">
        <f>IF(COUNTA(B4642:E4642)=0,"",IF(COUNTA(B4642:E4642)&lt;4,"⚠ กรอกไม่ครบ",IF(NOT(ISNUMBER(B4642)),"⚠ วันที่ไม่ถูกต้อง",IF(COUNTIFS(Setup!$L$6:$L$60,D4642,Setup!$M$6:$M$60,C4642)=0,"⚠ หมวดไม่ตรงประเภท","✓"))))</f>
        <v/>
      </c>
    </row>
    <row r="4643">
      <c r="B4643" s="113" t="n"/>
      <c r="C4643" s="114" t="n"/>
      <c r="D4643" s="115" t="n"/>
      <c r="E4643" s="116" t="n"/>
      <c r="F4643" s="115" t="n"/>
      <c r="G4643" s="117">
        <f>IF(COUNTA(B4643:E4643)=0,"",IF(COUNTA(B4643:E4643)&lt;4,"⚠ กรอกไม่ครบ",IF(NOT(ISNUMBER(B4643)),"⚠ วันที่ไม่ถูกต้อง",IF(COUNTIFS(Setup!$L$6:$L$60,D4643,Setup!$M$6:$M$60,C4643)=0,"⚠ หมวดไม่ตรงประเภท","✓"))))</f>
        <v/>
      </c>
    </row>
    <row r="4644">
      <c r="B4644" s="113" t="n"/>
      <c r="C4644" s="114" t="n"/>
      <c r="D4644" s="115" t="n"/>
      <c r="E4644" s="116" t="n"/>
      <c r="F4644" s="115" t="n"/>
      <c r="G4644" s="117">
        <f>IF(COUNTA(B4644:E4644)=0,"",IF(COUNTA(B4644:E4644)&lt;4,"⚠ กรอกไม่ครบ",IF(NOT(ISNUMBER(B4644)),"⚠ วันที่ไม่ถูกต้อง",IF(COUNTIFS(Setup!$L$6:$L$60,D4644,Setup!$M$6:$M$60,C4644)=0,"⚠ หมวดไม่ตรงประเภท","✓"))))</f>
        <v/>
      </c>
    </row>
    <row r="4645">
      <c r="B4645" s="113" t="n"/>
      <c r="C4645" s="114" t="n"/>
      <c r="D4645" s="115" t="n"/>
      <c r="E4645" s="116" t="n"/>
      <c r="F4645" s="115" t="n"/>
      <c r="G4645" s="117">
        <f>IF(COUNTA(B4645:E4645)=0,"",IF(COUNTA(B4645:E4645)&lt;4,"⚠ กรอกไม่ครบ",IF(NOT(ISNUMBER(B4645)),"⚠ วันที่ไม่ถูกต้อง",IF(COUNTIFS(Setup!$L$6:$L$60,D4645,Setup!$M$6:$M$60,C4645)=0,"⚠ หมวดไม่ตรงประเภท","✓"))))</f>
        <v/>
      </c>
    </row>
    <row r="4646">
      <c r="B4646" s="113" t="n"/>
      <c r="C4646" s="114" t="n"/>
      <c r="D4646" s="115" t="n"/>
      <c r="E4646" s="116" t="n"/>
      <c r="F4646" s="115" t="n"/>
      <c r="G4646" s="117">
        <f>IF(COUNTA(B4646:E4646)=0,"",IF(COUNTA(B4646:E4646)&lt;4,"⚠ กรอกไม่ครบ",IF(NOT(ISNUMBER(B4646)),"⚠ วันที่ไม่ถูกต้อง",IF(COUNTIFS(Setup!$L$6:$L$60,D4646,Setup!$M$6:$M$60,C4646)=0,"⚠ หมวดไม่ตรงประเภท","✓"))))</f>
        <v/>
      </c>
    </row>
    <row r="4647">
      <c r="B4647" s="113" t="n"/>
      <c r="C4647" s="114" t="n"/>
      <c r="D4647" s="115" t="n"/>
      <c r="E4647" s="116" t="n"/>
      <c r="F4647" s="115" t="n"/>
      <c r="G4647" s="117">
        <f>IF(COUNTA(B4647:E4647)=0,"",IF(COUNTA(B4647:E4647)&lt;4,"⚠ กรอกไม่ครบ",IF(NOT(ISNUMBER(B4647)),"⚠ วันที่ไม่ถูกต้อง",IF(COUNTIFS(Setup!$L$6:$L$60,D4647,Setup!$M$6:$M$60,C4647)=0,"⚠ หมวดไม่ตรงประเภท","✓"))))</f>
        <v/>
      </c>
    </row>
    <row r="4648">
      <c r="B4648" s="113" t="n"/>
      <c r="C4648" s="114" t="n"/>
      <c r="D4648" s="115" t="n"/>
      <c r="E4648" s="116" t="n"/>
      <c r="F4648" s="115" t="n"/>
      <c r="G4648" s="117">
        <f>IF(COUNTA(B4648:E4648)=0,"",IF(COUNTA(B4648:E4648)&lt;4,"⚠ กรอกไม่ครบ",IF(NOT(ISNUMBER(B4648)),"⚠ วันที่ไม่ถูกต้อง",IF(COUNTIFS(Setup!$L$6:$L$60,D4648,Setup!$M$6:$M$60,C4648)=0,"⚠ หมวดไม่ตรงประเภท","✓"))))</f>
        <v/>
      </c>
    </row>
    <row r="4649">
      <c r="B4649" s="113" t="n"/>
      <c r="C4649" s="114" t="n"/>
      <c r="D4649" s="115" t="n"/>
      <c r="E4649" s="116" t="n"/>
      <c r="F4649" s="115" t="n"/>
      <c r="G4649" s="117">
        <f>IF(COUNTA(B4649:E4649)=0,"",IF(COUNTA(B4649:E4649)&lt;4,"⚠ กรอกไม่ครบ",IF(NOT(ISNUMBER(B4649)),"⚠ วันที่ไม่ถูกต้อง",IF(COUNTIFS(Setup!$L$6:$L$60,D4649,Setup!$M$6:$M$60,C4649)=0,"⚠ หมวดไม่ตรงประเภท","✓"))))</f>
        <v/>
      </c>
    </row>
    <row r="4650">
      <c r="B4650" s="113" t="n"/>
      <c r="C4650" s="114" t="n"/>
      <c r="D4650" s="115" t="n"/>
      <c r="E4650" s="116" t="n"/>
      <c r="F4650" s="115" t="n"/>
      <c r="G4650" s="117">
        <f>IF(COUNTA(B4650:E4650)=0,"",IF(COUNTA(B4650:E4650)&lt;4,"⚠ กรอกไม่ครบ",IF(NOT(ISNUMBER(B4650)),"⚠ วันที่ไม่ถูกต้อง",IF(COUNTIFS(Setup!$L$6:$L$60,D4650,Setup!$M$6:$M$60,C4650)=0,"⚠ หมวดไม่ตรงประเภท","✓"))))</f>
        <v/>
      </c>
    </row>
    <row r="4651">
      <c r="B4651" s="113" t="n"/>
      <c r="C4651" s="114" t="n"/>
      <c r="D4651" s="115" t="n"/>
      <c r="E4651" s="116" t="n"/>
      <c r="F4651" s="115" t="n"/>
      <c r="G4651" s="117">
        <f>IF(COUNTA(B4651:E4651)=0,"",IF(COUNTA(B4651:E4651)&lt;4,"⚠ กรอกไม่ครบ",IF(NOT(ISNUMBER(B4651)),"⚠ วันที่ไม่ถูกต้อง",IF(COUNTIFS(Setup!$L$6:$L$60,D4651,Setup!$M$6:$M$60,C4651)=0,"⚠ หมวดไม่ตรงประเภท","✓"))))</f>
        <v/>
      </c>
    </row>
    <row r="4652">
      <c r="B4652" s="113" t="n"/>
      <c r="C4652" s="114" t="n"/>
      <c r="D4652" s="115" t="n"/>
      <c r="E4652" s="116" t="n"/>
      <c r="F4652" s="115" t="n"/>
      <c r="G4652" s="117">
        <f>IF(COUNTA(B4652:E4652)=0,"",IF(COUNTA(B4652:E4652)&lt;4,"⚠ กรอกไม่ครบ",IF(NOT(ISNUMBER(B4652)),"⚠ วันที่ไม่ถูกต้อง",IF(COUNTIFS(Setup!$L$6:$L$60,D4652,Setup!$M$6:$M$60,C4652)=0,"⚠ หมวดไม่ตรงประเภท","✓"))))</f>
        <v/>
      </c>
    </row>
    <row r="4653">
      <c r="B4653" s="113" t="n"/>
      <c r="C4653" s="114" t="n"/>
      <c r="D4653" s="115" t="n"/>
      <c r="E4653" s="116" t="n"/>
      <c r="F4653" s="115" t="n"/>
      <c r="G4653" s="117">
        <f>IF(COUNTA(B4653:E4653)=0,"",IF(COUNTA(B4653:E4653)&lt;4,"⚠ กรอกไม่ครบ",IF(NOT(ISNUMBER(B4653)),"⚠ วันที่ไม่ถูกต้อง",IF(COUNTIFS(Setup!$L$6:$L$60,D4653,Setup!$M$6:$M$60,C4653)=0,"⚠ หมวดไม่ตรงประเภท","✓"))))</f>
        <v/>
      </c>
    </row>
    <row r="4654">
      <c r="B4654" s="113" t="n"/>
      <c r="C4654" s="114" t="n"/>
      <c r="D4654" s="115" t="n"/>
      <c r="E4654" s="116" t="n"/>
      <c r="F4654" s="115" t="n"/>
      <c r="G4654" s="117">
        <f>IF(COUNTA(B4654:E4654)=0,"",IF(COUNTA(B4654:E4654)&lt;4,"⚠ กรอกไม่ครบ",IF(NOT(ISNUMBER(B4654)),"⚠ วันที่ไม่ถูกต้อง",IF(COUNTIFS(Setup!$L$6:$L$60,D4654,Setup!$M$6:$M$60,C4654)=0,"⚠ หมวดไม่ตรงประเภท","✓"))))</f>
        <v/>
      </c>
    </row>
    <row r="4655">
      <c r="B4655" s="113" t="n"/>
      <c r="C4655" s="114" t="n"/>
      <c r="D4655" s="115" t="n"/>
      <c r="E4655" s="116" t="n"/>
      <c r="F4655" s="115" t="n"/>
      <c r="G4655" s="117">
        <f>IF(COUNTA(B4655:E4655)=0,"",IF(COUNTA(B4655:E4655)&lt;4,"⚠ กรอกไม่ครบ",IF(NOT(ISNUMBER(B4655)),"⚠ วันที่ไม่ถูกต้อง",IF(COUNTIFS(Setup!$L$6:$L$60,D4655,Setup!$M$6:$M$60,C4655)=0,"⚠ หมวดไม่ตรงประเภท","✓"))))</f>
        <v/>
      </c>
    </row>
    <row r="4656">
      <c r="B4656" s="113" t="n"/>
      <c r="C4656" s="114" t="n"/>
      <c r="D4656" s="115" t="n"/>
      <c r="E4656" s="116" t="n"/>
      <c r="F4656" s="115" t="n"/>
      <c r="G4656" s="117">
        <f>IF(COUNTA(B4656:E4656)=0,"",IF(COUNTA(B4656:E4656)&lt;4,"⚠ กรอกไม่ครบ",IF(NOT(ISNUMBER(B4656)),"⚠ วันที่ไม่ถูกต้อง",IF(COUNTIFS(Setup!$L$6:$L$60,D4656,Setup!$M$6:$M$60,C4656)=0,"⚠ หมวดไม่ตรงประเภท","✓"))))</f>
        <v/>
      </c>
    </row>
    <row r="4657">
      <c r="B4657" s="113" t="n"/>
      <c r="C4657" s="114" t="n"/>
      <c r="D4657" s="115" t="n"/>
      <c r="E4657" s="116" t="n"/>
      <c r="F4657" s="115" t="n"/>
      <c r="G4657" s="117">
        <f>IF(COUNTA(B4657:E4657)=0,"",IF(COUNTA(B4657:E4657)&lt;4,"⚠ กรอกไม่ครบ",IF(NOT(ISNUMBER(B4657)),"⚠ วันที่ไม่ถูกต้อง",IF(COUNTIFS(Setup!$L$6:$L$60,D4657,Setup!$M$6:$M$60,C4657)=0,"⚠ หมวดไม่ตรงประเภท","✓"))))</f>
        <v/>
      </c>
    </row>
    <row r="4658">
      <c r="B4658" s="113" t="n"/>
      <c r="C4658" s="114" t="n"/>
      <c r="D4658" s="115" t="n"/>
      <c r="E4658" s="116" t="n"/>
      <c r="F4658" s="115" t="n"/>
      <c r="G4658" s="117">
        <f>IF(COUNTA(B4658:E4658)=0,"",IF(COUNTA(B4658:E4658)&lt;4,"⚠ กรอกไม่ครบ",IF(NOT(ISNUMBER(B4658)),"⚠ วันที่ไม่ถูกต้อง",IF(COUNTIFS(Setup!$L$6:$L$60,D4658,Setup!$M$6:$M$60,C4658)=0,"⚠ หมวดไม่ตรงประเภท","✓"))))</f>
        <v/>
      </c>
    </row>
    <row r="4659">
      <c r="B4659" s="113" t="n"/>
      <c r="C4659" s="114" t="n"/>
      <c r="D4659" s="115" t="n"/>
      <c r="E4659" s="116" t="n"/>
      <c r="F4659" s="115" t="n"/>
      <c r="G4659" s="117">
        <f>IF(COUNTA(B4659:E4659)=0,"",IF(COUNTA(B4659:E4659)&lt;4,"⚠ กรอกไม่ครบ",IF(NOT(ISNUMBER(B4659)),"⚠ วันที่ไม่ถูกต้อง",IF(COUNTIFS(Setup!$L$6:$L$60,D4659,Setup!$M$6:$M$60,C4659)=0,"⚠ หมวดไม่ตรงประเภท","✓"))))</f>
        <v/>
      </c>
    </row>
    <row r="4660">
      <c r="B4660" s="113" t="n"/>
      <c r="C4660" s="114" t="n"/>
      <c r="D4660" s="115" t="n"/>
      <c r="E4660" s="116" t="n"/>
      <c r="F4660" s="115" t="n"/>
      <c r="G4660" s="117">
        <f>IF(COUNTA(B4660:E4660)=0,"",IF(COUNTA(B4660:E4660)&lt;4,"⚠ กรอกไม่ครบ",IF(NOT(ISNUMBER(B4660)),"⚠ วันที่ไม่ถูกต้อง",IF(COUNTIFS(Setup!$L$6:$L$60,D4660,Setup!$M$6:$M$60,C4660)=0,"⚠ หมวดไม่ตรงประเภท","✓"))))</f>
        <v/>
      </c>
    </row>
    <row r="4661">
      <c r="B4661" s="113" t="n"/>
      <c r="C4661" s="114" t="n"/>
      <c r="D4661" s="115" t="n"/>
      <c r="E4661" s="116" t="n"/>
      <c r="F4661" s="115" t="n"/>
      <c r="G4661" s="117">
        <f>IF(COUNTA(B4661:E4661)=0,"",IF(COUNTA(B4661:E4661)&lt;4,"⚠ กรอกไม่ครบ",IF(NOT(ISNUMBER(B4661)),"⚠ วันที่ไม่ถูกต้อง",IF(COUNTIFS(Setup!$L$6:$L$60,D4661,Setup!$M$6:$M$60,C4661)=0,"⚠ หมวดไม่ตรงประเภท","✓"))))</f>
        <v/>
      </c>
    </row>
    <row r="4662">
      <c r="B4662" s="113" t="n"/>
      <c r="C4662" s="114" t="n"/>
      <c r="D4662" s="115" t="n"/>
      <c r="E4662" s="116" t="n"/>
      <c r="F4662" s="115" t="n"/>
      <c r="G4662" s="117">
        <f>IF(COUNTA(B4662:E4662)=0,"",IF(COUNTA(B4662:E4662)&lt;4,"⚠ กรอกไม่ครบ",IF(NOT(ISNUMBER(B4662)),"⚠ วันที่ไม่ถูกต้อง",IF(COUNTIFS(Setup!$L$6:$L$60,D4662,Setup!$M$6:$M$60,C4662)=0,"⚠ หมวดไม่ตรงประเภท","✓"))))</f>
        <v/>
      </c>
    </row>
    <row r="4663">
      <c r="B4663" s="113" t="n"/>
      <c r="C4663" s="114" t="n"/>
      <c r="D4663" s="115" t="n"/>
      <c r="E4663" s="116" t="n"/>
      <c r="F4663" s="115" t="n"/>
      <c r="G4663" s="117">
        <f>IF(COUNTA(B4663:E4663)=0,"",IF(COUNTA(B4663:E4663)&lt;4,"⚠ กรอกไม่ครบ",IF(NOT(ISNUMBER(B4663)),"⚠ วันที่ไม่ถูกต้อง",IF(COUNTIFS(Setup!$L$6:$L$60,D4663,Setup!$M$6:$M$60,C4663)=0,"⚠ หมวดไม่ตรงประเภท","✓"))))</f>
        <v/>
      </c>
    </row>
    <row r="4664">
      <c r="B4664" s="113" t="n"/>
      <c r="C4664" s="114" t="n"/>
      <c r="D4664" s="115" t="n"/>
      <c r="E4664" s="116" t="n"/>
      <c r="F4664" s="115" t="n"/>
      <c r="G4664" s="117">
        <f>IF(COUNTA(B4664:E4664)=0,"",IF(COUNTA(B4664:E4664)&lt;4,"⚠ กรอกไม่ครบ",IF(NOT(ISNUMBER(B4664)),"⚠ วันที่ไม่ถูกต้อง",IF(COUNTIFS(Setup!$L$6:$L$60,D4664,Setup!$M$6:$M$60,C4664)=0,"⚠ หมวดไม่ตรงประเภท","✓"))))</f>
        <v/>
      </c>
    </row>
    <row r="4665">
      <c r="B4665" s="113" t="n"/>
      <c r="C4665" s="114" t="n"/>
      <c r="D4665" s="115" t="n"/>
      <c r="E4665" s="116" t="n"/>
      <c r="F4665" s="115" t="n"/>
      <c r="G4665" s="117">
        <f>IF(COUNTA(B4665:E4665)=0,"",IF(COUNTA(B4665:E4665)&lt;4,"⚠ กรอกไม่ครบ",IF(NOT(ISNUMBER(B4665)),"⚠ วันที่ไม่ถูกต้อง",IF(COUNTIFS(Setup!$L$6:$L$60,D4665,Setup!$M$6:$M$60,C4665)=0,"⚠ หมวดไม่ตรงประเภท","✓"))))</f>
        <v/>
      </c>
    </row>
    <row r="4666">
      <c r="B4666" s="113" t="n"/>
      <c r="C4666" s="114" t="n"/>
      <c r="D4666" s="115" t="n"/>
      <c r="E4666" s="116" t="n"/>
      <c r="F4666" s="115" t="n"/>
      <c r="G4666" s="117">
        <f>IF(COUNTA(B4666:E4666)=0,"",IF(COUNTA(B4666:E4666)&lt;4,"⚠ กรอกไม่ครบ",IF(NOT(ISNUMBER(B4666)),"⚠ วันที่ไม่ถูกต้อง",IF(COUNTIFS(Setup!$L$6:$L$60,D4666,Setup!$M$6:$M$60,C4666)=0,"⚠ หมวดไม่ตรงประเภท","✓"))))</f>
        <v/>
      </c>
    </row>
    <row r="4667">
      <c r="B4667" s="113" t="n"/>
      <c r="C4667" s="114" t="n"/>
      <c r="D4667" s="115" t="n"/>
      <c r="E4667" s="116" t="n"/>
      <c r="F4667" s="115" t="n"/>
      <c r="G4667" s="117">
        <f>IF(COUNTA(B4667:E4667)=0,"",IF(COUNTA(B4667:E4667)&lt;4,"⚠ กรอกไม่ครบ",IF(NOT(ISNUMBER(B4667)),"⚠ วันที่ไม่ถูกต้อง",IF(COUNTIFS(Setup!$L$6:$L$60,D4667,Setup!$M$6:$M$60,C4667)=0,"⚠ หมวดไม่ตรงประเภท","✓"))))</f>
        <v/>
      </c>
    </row>
    <row r="4668">
      <c r="B4668" s="113" t="n"/>
      <c r="C4668" s="114" t="n"/>
      <c r="D4668" s="115" t="n"/>
      <c r="E4668" s="116" t="n"/>
      <c r="F4668" s="115" t="n"/>
      <c r="G4668" s="117">
        <f>IF(COUNTA(B4668:E4668)=0,"",IF(COUNTA(B4668:E4668)&lt;4,"⚠ กรอกไม่ครบ",IF(NOT(ISNUMBER(B4668)),"⚠ วันที่ไม่ถูกต้อง",IF(COUNTIFS(Setup!$L$6:$L$60,D4668,Setup!$M$6:$M$60,C4668)=0,"⚠ หมวดไม่ตรงประเภท","✓"))))</f>
        <v/>
      </c>
    </row>
    <row r="4669">
      <c r="B4669" s="113" t="n"/>
      <c r="C4669" s="114" t="n"/>
      <c r="D4669" s="115" t="n"/>
      <c r="E4669" s="116" t="n"/>
      <c r="F4669" s="115" t="n"/>
      <c r="G4669" s="117">
        <f>IF(COUNTA(B4669:E4669)=0,"",IF(COUNTA(B4669:E4669)&lt;4,"⚠ กรอกไม่ครบ",IF(NOT(ISNUMBER(B4669)),"⚠ วันที่ไม่ถูกต้อง",IF(COUNTIFS(Setup!$L$6:$L$60,D4669,Setup!$M$6:$M$60,C4669)=0,"⚠ หมวดไม่ตรงประเภท","✓"))))</f>
        <v/>
      </c>
    </row>
    <row r="4670">
      <c r="B4670" s="113" t="n"/>
      <c r="C4670" s="114" t="n"/>
      <c r="D4670" s="115" t="n"/>
      <c r="E4670" s="116" t="n"/>
      <c r="F4670" s="115" t="n"/>
      <c r="G4670" s="117">
        <f>IF(COUNTA(B4670:E4670)=0,"",IF(COUNTA(B4670:E4670)&lt;4,"⚠ กรอกไม่ครบ",IF(NOT(ISNUMBER(B4670)),"⚠ วันที่ไม่ถูกต้อง",IF(COUNTIFS(Setup!$L$6:$L$60,D4670,Setup!$M$6:$M$60,C4670)=0,"⚠ หมวดไม่ตรงประเภท","✓"))))</f>
        <v/>
      </c>
    </row>
    <row r="4671">
      <c r="B4671" s="113" t="n"/>
      <c r="C4671" s="114" t="n"/>
      <c r="D4671" s="115" t="n"/>
      <c r="E4671" s="116" t="n"/>
      <c r="F4671" s="115" t="n"/>
      <c r="G4671" s="117">
        <f>IF(COUNTA(B4671:E4671)=0,"",IF(COUNTA(B4671:E4671)&lt;4,"⚠ กรอกไม่ครบ",IF(NOT(ISNUMBER(B4671)),"⚠ วันที่ไม่ถูกต้อง",IF(COUNTIFS(Setup!$L$6:$L$60,D4671,Setup!$M$6:$M$60,C4671)=0,"⚠ หมวดไม่ตรงประเภท","✓"))))</f>
        <v/>
      </c>
    </row>
    <row r="4672">
      <c r="B4672" s="113" t="n"/>
      <c r="C4672" s="114" t="n"/>
      <c r="D4672" s="115" t="n"/>
      <c r="E4672" s="116" t="n"/>
      <c r="F4672" s="115" t="n"/>
      <c r="G4672" s="117">
        <f>IF(COUNTA(B4672:E4672)=0,"",IF(COUNTA(B4672:E4672)&lt;4,"⚠ กรอกไม่ครบ",IF(NOT(ISNUMBER(B4672)),"⚠ วันที่ไม่ถูกต้อง",IF(COUNTIFS(Setup!$L$6:$L$60,D4672,Setup!$M$6:$M$60,C4672)=0,"⚠ หมวดไม่ตรงประเภท","✓"))))</f>
        <v/>
      </c>
    </row>
    <row r="4673">
      <c r="B4673" s="113" t="n"/>
      <c r="C4673" s="114" t="n"/>
      <c r="D4673" s="115" t="n"/>
      <c r="E4673" s="116" t="n"/>
      <c r="F4673" s="115" t="n"/>
      <c r="G4673" s="117">
        <f>IF(COUNTA(B4673:E4673)=0,"",IF(COUNTA(B4673:E4673)&lt;4,"⚠ กรอกไม่ครบ",IF(NOT(ISNUMBER(B4673)),"⚠ วันที่ไม่ถูกต้อง",IF(COUNTIFS(Setup!$L$6:$L$60,D4673,Setup!$M$6:$M$60,C4673)=0,"⚠ หมวดไม่ตรงประเภท","✓"))))</f>
        <v/>
      </c>
    </row>
    <row r="4674">
      <c r="B4674" s="113" t="n"/>
      <c r="C4674" s="114" t="n"/>
      <c r="D4674" s="115" t="n"/>
      <c r="E4674" s="116" t="n"/>
      <c r="F4674" s="115" t="n"/>
      <c r="G4674" s="117">
        <f>IF(COUNTA(B4674:E4674)=0,"",IF(COUNTA(B4674:E4674)&lt;4,"⚠ กรอกไม่ครบ",IF(NOT(ISNUMBER(B4674)),"⚠ วันที่ไม่ถูกต้อง",IF(COUNTIFS(Setup!$L$6:$L$60,D4674,Setup!$M$6:$M$60,C4674)=0,"⚠ หมวดไม่ตรงประเภท","✓"))))</f>
        <v/>
      </c>
    </row>
    <row r="4675">
      <c r="B4675" s="113" t="n"/>
      <c r="C4675" s="114" t="n"/>
      <c r="D4675" s="115" t="n"/>
      <c r="E4675" s="116" t="n"/>
      <c r="F4675" s="115" t="n"/>
      <c r="G4675" s="117">
        <f>IF(COUNTA(B4675:E4675)=0,"",IF(COUNTA(B4675:E4675)&lt;4,"⚠ กรอกไม่ครบ",IF(NOT(ISNUMBER(B4675)),"⚠ วันที่ไม่ถูกต้อง",IF(COUNTIFS(Setup!$L$6:$L$60,D4675,Setup!$M$6:$M$60,C4675)=0,"⚠ หมวดไม่ตรงประเภท","✓"))))</f>
        <v/>
      </c>
    </row>
    <row r="4676">
      <c r="B4676" s="113" t="n"/>
      <c r="C4676" s="114" t="n"/>
      <c r="D4676" s="115" t="n"/>
      <c r="E4676" s="116" t="n"/>
      <c r="F4676" s="115" t="n"/>
      <c r="G4676" s="117">
        <f>IF(COUNTA(B4676:E4676)=0,"",IF(COUNTA(B4676:E4676)&lt;4,"⚠ กรอกไม่ครบ",IF(NOT(ISNUMBER(B4676)),"⚠ วันที่ไม่ถูกต้อง",IF(COUNTIFS(Setup!$L$6:$L$60,D4676,Setup!$M$6:$M$60,C4676)=0,"⚠ หมวดไม่ตรงประเภท","✓"))))</f>
        <v/>
      </c>
    </row>
    <row r="4677">
      <c r="B4677" s="113" t="n"/>
      <c r="C4677" s="114" t="n"/>
      <c r="D4677" s="115" t="n"/>
      <c r="E4677" s="116" t="n"/>
      <c r="F4677" s="115" t="n"/>
      <c r="G4677" s="117">
        <f>IF(COUNTA(B4677:E4677)=0,"",IF(COUNTA(B4677:E4677)&lt;4,"⚠ กรอกไม่ครบ",IF(NOT(ISNUMBER(B4677)),"⚠ วันที่ไม่ถูกต้อง",IF(COUNTIFS(Setup!$L$6:$L$60,D4677,Setup!$M$6:$M$60,C4677)=0,"⚠ หมวดไม่ตรงประเภท","✓"))))</f>
        <v/>
      </c>
    </row>
    <row r="4678">
      <c r="B4678" s="113" t="n"/>
      <c r="C4678" s="114" t="n"/>
      <c r="D4678" s="115" t="n"/>
      <c r="E4678" s="116" t="n"/>
      <c r="F4678" s="115" t="n"/>
      <c r="G4678" s="117">
        <f>IF(COUNTA(B4678:E4678)=0,"",IF(COUNTA(B4678:E4678)&lt;4,"⚠ กรอกไม่ครบ",IF(NOT(ISNUMBER(B4678)),"⚠ วันที่ไม่ถูกต้อง",IF(COUNTIFS(Setup!$L$6:$L$60,D4678,Setup!$M$6:$M$60,C4678)=0,"⚠ หมวดไม่ตรงประเภท","✓"))))</f>
        <v/>
      </c>
    </row>
    <row r="4679">
      <c r="B4679" s="113" t="n"/>
      <c r="C4679" s="114" t="n"/>
      <c r="D4679" s="115" t="n"/>
      <c r="E4679" s="116" t="n"/>
      <c r="F4679" s="115" t="n"/>
      <c r="G4679" s="117">
        <f>IF(COUNTA(B4679:E4679)=0,"",IF(COUNTA(B4679:E4679)&lt;4,"⚠ กรอกไม่ครบ",IF(NOT(ISNUMBER(B4679)),"⚠ วันที่ไม่ถูกต้อง",IF(COUNTIFS(Setup!$L$6:$L$60,D4679,Setup!$M$6:$M$60,C4679)=0,"⚠ หมวดไม่ตรงประเภท","✓"))))</f>
        <v/>
      </c>
    </row>
    <row r="4680">
      <c r="B4680" s="113" t="n"/>
      <c r="C4680" s="114" t="n"/>
      <c r="D4680" s="115" t="n"/>
      <c r="E4680" s="116" t="n"/>
      <c r="F4680" s="115" t="n"/>
      <c r="G4680" s="117">
        <f>IF(COUNTA(B4680:E4680)=0,"",IF(COUNTA(B4680:E4680)&lt;4,"⚠ กรอกไม่ครบ",IF(NOT(ISNUMBER(B4680)),"⚠ วันที่ไม่ถูกต้อง",IF(COUNTIFS(Setup!$L$6:$L$60,D4680,Setup!$M$6:$M$60,C4680)=0,"⚠ หมวดไม่ตรงประเภท","✓"))))</f>
        <v/>
      </c>
    </row>
    <row r="4681">
      <c r="B4681" s="113" t="n"/>
      <c r="C4681" s="114" t="n"/>
      <c r="D4681" s="115" t="n"/>
      <c r="E4681" s="116" t="n"/>
      <c r="F4681" s="115" t="n"/>
      <c r="G4681" s="117">
        <f>IF(COUNTA(B4681:E4681)=0,"",IF(COUNTA(B4681:E4681)&lt;4,"⚠ กรอกไม่ครบ",IF(NOT(ISNUMBER(B4681)),"⚠ วันที่ไม่ถูกต้อง",IF(COUNTIFS(Setup!$L$6:$L$60,D4681,Setup!$M$6:$M$60,C4681)=0,"⚠ หมวดไม่ตรงประเภท","✓"))))</f>
        <v/>
      </c>
    </row>
    <row r="4682">
      <c r="B4682" s="113" t="n"/>
      <c r="C4682" s="114" t="n"/>
      <c r="D4682" s="115" t="n"/>
      <c r="E4682" s="116" t="n"/>
      <c r="F4682" s="115" t="n"/>
      <c r="G4682" s="117">
        <f>IF(COUNTA(B4682:E4682)=0,"",IF(COUNTA(B4682:E4682)&lt;4,"⚠ กรอกไม่ครบ",IF(NOT(ISNUMBER(B4682)),"⚠ วันที่ไม่ถูกต้อง",IF(COUNTIFS(Setup!$L$6:$L$60,D4682,Setup!$M$6:$M$60,C4682)=0,"⚠ หมวดไม่ตรงประเภท","✓"))))</f>
        <v/>
      </c>
    </row>
    <row r="4683">
      <c r="B4683" s="113" t="n"/>
      <c r="C4683" s="114" t="n"/>
      <c r="D4683" s="115" t="n"/>
      <c r="E4683" s="116" t="n"/>
      <c r="F4683" s="115" t="n"/>
      <c r="G4683" s="117">
        <f>IF(COUNTA(B4683:E4683)=0,"",IF(COUNTA(B4683:E4683)&lt;4,"⚠ กรอกไม่ครบ",IF(NOT(ISNUMBER(B4683)),"⚠ วันที่ไม่ถูกต้อง",IF(COUNTIFS(Setup!$L$6:$L$60,D4683,Setup!$M$6:$M$60,C4683)=0,"⚠ หมวดไม่ตรงประเภท","✓"))))</f>
        <v/>
      </c>
    </row>
    <row r="4684">
      <c r="B4684" s="113" t="n"/>
      <c r="C4684" s="114" t="n"/>
      <c r="D4684" s="115" t="n"/>
      <c r="E4684" s="116" t="n"/>
      <c r="F4684" s="115" t="n"/>
      <c r="G4684" s="117">
        <f>IF(COUNTA(B4684:E4684)=0,"",IF(COUNTA(B4684:E4684)&lt;4,"⚠ กรอกไม่ครบ",IF(NOT(ISNUMBER(B4684)),"⚠ วันที่ไม่ถูกต้อง",IF(COUNTIFS(Setup!$L$6:$L$60,D4684,Setup!$M$6:$M$60,C4684)=0,"⚠ หมวดไม่ตรงประเภท","✓"))))</f>
        <v/>
      </c>
    </row>
    <row r="4685">
      <c r="B4685" s="113" t="n"/>
      <c r="C4685" s="114" t="n"/>
      <c r="D4685" s="115" t="n"/>
      <c r="E4685" s="116" t="n"/>
      <c r="F4685" s="115" t="n"/>
      <c r="G4685" s="117">
        <f>IF(COUNTA(B4685:E4685)=0,"",IF(COUNTA(B4685:E4685)&lt;4,"⚠ กรอกไม่ครบ",IF(NOT(ISNUMBER(B4685)),"⚠ วันที่ไม่ถูกต้อง",IF(COUNTIFS(Setup!$L$6:$L$60,D4685,Setup!$M$6:$M$60,C4685)=0,"⚠ หมวดไม่ตรงประเภท","✓"))))</f>
        <v/>
      </c>
    </row>
    <row r="4686">
      <c r="B4686" s="113" t="n"/>
      <c r="C4686" s="114" t="n"/>
      <c r="D4686" s="115" t="n"/>
      <c r="E4686" s="116" t="n"/>
      <c r="F4686" s="115" t="n"/>
      <c r="G4686" s="117">
        <f>IF(COUNTA(B4686:E4686)=0,"",IF(COUNTA(B4686:E4686)&lt;4,"⚠ กรอกไม่ครบ",IF(NOT(ISNUMBER(B4686)),"⚠ วันที่ไม่ถูกต้อง",IF(COUNTIFS(Setup!$L$6:$L$60,D4686,Setup!$M$6:$M$60,C4686)=0,"⚠ หมวดไม่ตรงประเภท","✓"))))</f>
        <v/>
      </c>
    </row>
    <row r="4687">
      <c r="B4687" s="113" t="n"/>
      <c r="C4687" s="114" t="n"/>
      <c r="D4687" s="115" t="n"/>
      <c r="E4687" s="116" t="n"/>
      <c r="F4687" s="115" t="n"/>
      <c r="G4687" s="117">
        <f>IF(COUNTA(B4687:E4687)=0,"",IF(COUNTA(B4687:E4687)&lt;4,"⚠ กรอกไม่ครบ",IF(NOT(ISNUMBER(B4687)),"⚠ วันที่ไม่ถูกต้อง",IF(COUNTIFS(Setup!$L$6:$L$60,D4687,Setup!$M$6:$M$60,C4687)=0,"⚠ หมวดไม่ตรงประเภท","✓"))))</f>
        <v/>
      </c>
    </row>
    <row r="4688">
      <c r="B4688" s="113" t="n"/>
      <c r="C4688" s="114" t="n"/>
      <c r="D4688" s="115" t="n"/>
      <c r="E4688" s="116" t="n"/>
      <c r="F4688" s="115" t="n"/>
      <c r="G4688" s="117">
        <f>IF(COUNTA(B4688:E4688)=0,"",IF(COUNTA(B4688:E4688)&lt;4,"⚠ กรอกไม่ครบ",IF(NOT(ISNUMBER(B4688)),"⚠ วันที่ไม่ถูกต้อง",IF(COUNTIFS(Setup!$L$6:$L$60,D4688,Setup!$M$6:$M$60,C4688)=0,"⚠ หมวดไม่ตรงประเภท","✓"))))</f>
        <v/>
      </c>
    </row>
    <row r="4689">
      <c r="B4689" s="113" t="n"/>
      <c r="C4689" s="114" t="n"/>
      <c r="D4689" s="115" t="n"/>
      <c r="E4689" s="116" t="n"/>
      <c r="F4689" s="115" t="n"/>
      <c r="G4689" s="117">
        <f>IF(COUNTA(B4689:E4689)=0,"",IF(COUNTA(B4689:E4689)&lt;4,"⚠ กรอกไม่ครบ",IF(NOT(ISNUMBER(B4689)),"⚠ วันที่ไม่ถูกต้อง",IF(COUNTIFS(Setup!$L$6:$L$60,D4689,Setup!$M$6:$M$60,C4689)=0,"⚠ หมวดไม่ตรงประเภท","✓"))))</f>
        <v/>
      </c>
    </row>
    <row r="4690">
      <c r="B4690" s="113" t="n"/>
      <c r="C4690" s="114" t="n"/>
      <c r="D4690" s="115" t="n"/>
      <c r="E4690" s="116" t="n"/>
      <c r="F4690" s="115" t="n"/>
      <c r="G4690" s="117">
        <f>IF(COUNTA(B4690:E4690)=0,"",IF(COUNTA(B4690:E4690)&lt;4,"⚠ กรอกไม่ครบ",IF(NOT(ISNUMBER(B4690)),"⚠ วันที่ไม่ถูกต้อง",IF(COUNTIFS(Setup!$L$6:$L$60,D4690,Setup!$M$6:$M$60,C4690)=0,"⚠ หมวดไม่ตรงประเภท","✓"))))</f>
        <v/>
      </c>
    </row>
    <row r="4691">
      <c r="B4691" s="113" t="n"/>
      <c r="C4691" s="114" t="n"/>
      <c r="D4691" s="115" t="n"/>
      <c r="E4691" s="116" t="n"/>
      <c r="F4691" s="115" t="n"/>
      <c r="G4691" s="117">
        <f>IF(COUNTA(B4691:E4691)=0,"",IF(COUNTA(B4691:E4691)&lt;4,"⚠ กรอกไม่ครบ",IF(NOT(ISNUMBER(B4691)),"⚠ วันที่ไม่ถูกต้อง",IF(COUNTIFS(Setup!$L$6:$L$60,D4691,Setup!$M$6:$M$60,C4691)=0,"⚠ หมวดไม่ตรงประเภท","✓"))))</f>
        <v/>
      </c>
    </row>
    <row r="4692">
      <c r="B4692" s="113" t="n"/>
      <c r="C4692" s="114" t="n"/>
      <c r="D4692" s="115" t="n"/>
      <c r="E4692" s="116" t="n"/>
      <c r="F4692" s="115" t="n"/>
      <c r="G4692" s="117">
        <f>IF(COUNTA(B4692:E4692)=0,"",IF(COUNTA(B4692:E4692)&lt;4,"⚠ กรอกไม่ครบ",IF(NOT(ISNUMBER(B4692)),"⚠ วันที่ไม่ถูกต้อง",IF(COUNTIFS(Setup!$L$6:$L$60,D4692,Setup!$M$6:$M$60,C4692)=0,"⚠ หมวดไม่ตรงประเภท","✓"))))</f>
        <v/>
      </c>
    </row>
    <row r="4693">
      <c r="B4693" s="113" t="n"/>
      <c r="C4693" s="114" t="n"/>
      <c r="D4693" s="115" t="n"/>
      <c r="E4693" s="116" t="n"/>
      <c r="F4693" s="115" t="n"/>
      <c r="G4693" s="117">
        <f>IF(COUNTA(B4693:E4693)=0,"",IF(COUNTA(B4693:E4693)&lt;4,"⚠ กรอกไม่ครบ",IF(NOT(ISNUMBER(B4693)),"⚠ วันที่ไม่ถูกต้อง",IF(COUNTIFS(Setup!$L$6:$L$60,D4693,Setup!$M$6:$M$60,C4693)=0,"⚠ หมวดไม่ตรงประเภท","✓"))))</f>
        <v/>
      </c>
    </row>
    <row r="4694">
      <c r="B4694" s="113" t="n"/>
      <c r="C4694" s="114" t="n"/>
      <c r="D4694" s="115" t="n"/>
      <c r="E4694" s="116" t="n"/>
      <c r="F4694" s="115" t="n"/>
      <c r="G4694" s="117">
        <f>IF(COUNTA(B4694:E4694)=0,"",IF(COUNTA(B4694:E4694)&lt;4,"⚠ กรอกไม่ครบ",IF(NOT(ISNUMBER(B4694)),"⚠ วันที่ไม่ถูกต้อง",IF(COUNTIFS(Setup!$L$6:$L$60,D4694,Setup!$M$6:$M$60,C4694)=0,"⚠ หมวดไม่ตรงประเภท","✓"))))</f>
        <v/>
      </c>
    </row>
    <row r="4695">
      <c r="B4695" s="113" t="n"/>
      <c r="C4695" s="114" t="n"/>
      <c r="D4695" s="115" t="n"/>
      <c r="E4695" s="116" t="n"/>
      <c r="F4695" s="115" t="n"/>
      <c r="G4695" s="117">
        <f>IF(COUNTA(B4695:E4695)=0,"",IF(COUNTA(B4695:E4695)&lt;4,"⚠ กรอกไม่ครบ",IF(NOT(ISNUMBER(B4695)),"⚠ วันที่ไม่ถูกต้อง",IF(COUNTIFS(Setup!$L$6:$L$60,D4695,Setup!$M$6:$M$60,C4695)=0,"⚠ หมวดไม่ตรงประเภท","✓"))))</f>
        <v/>
      </c>
    </row>
    <row r="4696">
      <c r="B4696" s="113" t="n"/>
      <c r="C4696" s="114" t="n"/>
      <c r="D4696" s="115" t="n"/>
      <c r="E4696" s="116" t="n"/>
      <c r="F4696" s="115" t="n"/>
      <c r="G4696" s="117">
        <f>IF(COUNTA(B4696:E4696)=0,"",IF(COUNTA(B4696:E4696)&lt;4,"⚠ กรอกไม่ครบ",IF(NOT(ISNUMBER(B4696)),"⚠ วันที่ไม่ถูกต้อง",IF(COUNTIFS(Setup!$L$6:$L$60,D4696,Setup!$M$6:$M$60,C4696)=0,"⚠ หมวดไม่ตรงประเภท","✓"))))</f>
        <v/>
      </c>
    </row>
    <row r="4697">
      <c r="B4697" s="113" t="n"/>
      <c r="C4697" s="114" t="n"/>
      <c r="D4697" s="115" t="n"/>
      <c r="E4697" s="116" t="n"/>
      <c r="F4697" s="115" t="n"/>
      <c r="G4697" s="117">
        <f>IF(COUNTA(B4697:E4697)=0,"",IF(COUNTA(B4697:E4697)&lt;4,"⚠ กรอกไม่ครบ",IF(NOT(ISNUMBER(B4697)),"⚠ วันที่ไม่ถูกต้อง",IF(COUNTIFS(Setup!$L$6:$L$60,D4697,Setup!$M$6:$M$60,C4697)=0,"⚠ หมวดไม่ตรงประเภท","✓"))))</f>
        <v/>
      </c>
    </row>
    <row r="4698">
      <c r="B4698" s="113" t="n"/>
      <c r="C4698" s="114" t="n"/>
      <c r="D4698" s="115" t="n"/>
      <c r="E4698" s="116" t="n"/>
      <c r="F4698" s="115" t="n"/>
      <c r="G4698" s="117">
        <f>IF(COUNTA(B4698:E4698)=0,"",IF(COUNTA(B4698:E4698)&lt;4,"⚠ กรอกไม่ครบ",IF(NOT(ISNUMBER(B4698)),"⚠ วันที่ไม่ถูกต้อง",IF(COUNTIFS(Setup!$L$6:$L$60,D4698,Setup!$M$6:$M$60,C4698)=0,"⚠ หมวดไม่ตรงประเภท","✓"))))</f>
        <v/>
      </c>
    </row>
    <row r="4699">
      <c r="B4699" s="113" t="n"/>
      <c r="C4699" s="114" t="n"/>
      <c r="D4699" s="115" t="n"/>
      <c r="E4699" s="116" t="n"/>
      <c r="F4699" s="115" t="n"/>
      <c r="G4699" s="117">
        <f>IF(COUNTA(B4699:E4699)=0,"",IF(COUNTA(B4699:E4699)&lt;4,"⚠ กรอกไม่ครบ",IF(NOT(ISNUMBER(B4699)),"⚠ วันที่ไม่ถูกต้อง",IF(COUNTIFS(Setup!$L$6:$L$60,D4699,Setup!$M$6:$M$60,C4699)=0,"⚠ หมวดไม่ตรงประเภท","✓"))))</f>
        <v/>
      </c>
    </row>
    <row r="4700">
      <c r="B4700" s="113" t="n"/>
      <c r="C4700" s="114" t="n"/>
      <c r="D4700" s="115" t="n"/>
      <c r="E4700" s="116" t="n"/>
      <c r="F4700" s="115" t="n"/>
      <c r="G4700" s="117">
        <f>IF(COUNTA(B4700:E4700)=0,"",IF(COUNTA(B4700:E4700)&lt;4,"⚠ กรอกไม่ครบ",IF(NOT(ISNUMBER(B4700)),"⚠ วันที่ไม่ถูกต้อง",IF(COUNTIFS(Setup!$L$6:$L$60,D4700,Setup!$M$6:$M$60,C4700)=0,"⚠ หมวดไม่ตรงประเภท","✓"))))</f>
        <v/>
      </c>
    </row>
    <row r="4701">
      <c r="B4701" s="113" t="n"/>
      <c r="C4701" s="114" t="n"/>
      <c r="D4701" s="115" t="n"/>
      <c r="E4701" s="116" t="n"/>
      <c r="F4701" s="115" t="n"/>
      <c r="G4701" s="117">
        <f>IF(COUNTA(B4701:E4701)=0,"",IF(COUNTA(B4701:E4701)&lt;4,"⚠ กรอกไม่ครบ",IF(NOT(ISNUMBER(B4701)),"⚠ วันที่ไม่ถูกต้อง",IF(COUNTIFS(Setup!$L$6:$L$60,D4701,Setup!$M$6:$M$60,C4701)=0,"⚠ หมวดไม่ตรงประเภท","✓"))))</f>
        <v/>
      </c>
    </row>
    <row r="4702">
      <c r="B4702" s="113" t="n"/>
      <c r="C4702" s="114" t="n"/>
      <c r="D4702" s="115" t="n"/>
      <c r="E4702" s="116" t="n"/>
      <c r="F4702" s="115" t="n"/>
      <c r="G4702" s="117">
        <f>IF(COUNTA(B4702:E4702)=0,"",IF(COUNTA(B4702:E4702)&lt;4,"⚠ กรอกไม่ครบ",IF(NOT(ISNUMBER(B4702)),"⚠ วันที่ไม่ถูกต้อง",IF(COUNTIFS(Setup!$L$6:$L$60,D4702,Setup!$M$6:$M$60,C4702)=0,"⚠ หมวดไม่ตรงประเภท","✓"))))</f>
        <v/>
      </c>
    </row>
    <row r="4703">
      <c r="B4703" s="113" t="n"/>
      <c r="C4703" s="114" t="n"/>
      <c r="D4703" s="115" t="n"/>
      <c r="E4703" s="116" t="n"/>
      <c r="F4703" s="115" t="n"/>
      <c r="G4703" s="117">
        <f>IF(COUNTA(B4703:E4703)=0,"",IF(COUNTA(B4703:E4703)&lt;4,"⚠ กรอกไม่ครบ",IF(NOT(ISNUMBER(B4703)),"⚠ วันที่ไม่ถูกต้อง",IF(COUNTIFS(Setup!$L$6:$L$60,D4703,Setup!$M$6:$M$60,C4703)=0,"⚠ หมวดไม่ตรงประเภท","✓"))))</f>
        <v/>
      </c>
    </row>
    <row r="4704">
      <c r="B4704" s="113" t="n"/>
      <c r="C4704" s="114" t="n"/>
      <c r="D4704" s="115" t="n"/>
      <c r="E4704" s="116" t="n"/>
      <c r="F4704" s="115" t="n"/>
      <c r="G4704" s="117">
        <f>IF(COUNTA(B4704:E4704)=0,"",IF(COUNTA(B4704:E4704)&lt;4,"⚠ กรอกไม่ครบ",IF(NOT(ISNUMBER(B4704)),"⚠ วันที่ไม่ถูกต้อง",IF(COUNTIFS(Setup!$L$6:$L$60,D4704,Setup!$M$6:$M$60,C4704)=0,"⚠ หมวดไม่ตรงประเภท","✓"))))</f>
        <v/>
      </c>
    </row>
    <row r="4705">
      <c r="B4705" s="113" t="n"/>
      <c r="C4705" s="114" t="n"/>
      <c r="D4705" s="115" t="n"/>
      <c r="E4705" s="116" t="n"/>
      <c r="F4705" s="115" t="n"/>
      <c r="G4705" s="117">
        <f>IF(COUNTA(B4705:E4705)=0,"",IF(COUNTA(B4705:E4705)&lt;4,"⚠ กรอกไม่ครบ",IF(NOT(ISNUMBER(B4705)),"⚠ วันที่ไม่ถูกต้อง",IF(COUNTIFS(Setup!$L$6:$L$60,D4705,Setup!$M$6:$M$60,C4705)=0,"⚠ หมวดไม่ตรงประเภท","✓"))))</f>
        <v/>
      </c>
    </row>
    <row r="4706">
      <c r="B4706" s="113" t="n"/>
      <c r="C4706" s="114" t="n"/>
      <c r="D4706" s="115" t="n"/>
      <c r="E4706" s="116" t="n"/>
      <c r="F4706" s="115" t="n"/>
      <c r="G4706" s="117">
        <f>IF(COUNTA(B4706:E4706)=0,"",IF(COUNTA(B4706:E4706)&lt;4,"⚠ กรอกไม่ครบ",IF(NOT(ISNUMBER(B4706)),"⚠ วันที่ไม่ถูกต้อง",IF(COUNTIFS(Setup!$L$6:$L$60,D4706,Setup!$M$6:$M$60,C4706)=0,"⚠ หมวดไม่ตรงประเภท","✓"))))</f>
        <v/>
      </c>
    </row>
    <row r="4707">
      <c r="B4707" s="113" t="n"/>
      <c r="C4707" s="114" t="n"/>
      <c r="D4707" s="115" t="n"/>
      <c r="E4707" s="116" t="n"/>
      <c r="F4707" s="115" t="n"/>
      <c r="G4707" s="117">
        <f>IF(COUNTA(B4707:E4707)=0,"",IF(COUNTA(B4707:E4707)&lt;4,"⚠ กรอกไม่ครบ",IF(NOT(ISNUMBER(B4707)),"⚠ วันที่ไม่ถูกต้อง",IF(COUNTIFS(Setup!$L$6:$L$60,D4707,Setup!$M$6:$M$60,C4707)=0,"⚠ หมวดไม่ตรงประเภท","✓"))))</f>
        <v/>
      </c>
    </row>
    <row r="4708">
      <c r="B4708" s="113" t="n"/>
      <c r="C4708" s="114" t="n"/>
      <c r="D4708" s="115" t="n"/>
      <c r="E4708" s="116" t="n"/>
      <c r="F4708" s="115" t="n"/>
      <c r="G4708" s="117">
        <f>IF(COUNTA(B4708:E4708)=0,"",IF(COUNTA(B4708:E4708)&lt;4,"⚠ กรอกไม่ครบ",IF(NOT(ISNUMBER(B4708)),"⚠ วันที่ไม่ถูกต้อง",IF(COUNTIFS(Setup!$L$6:$L$60,D4708,Setup!$M$6:$M$60,C4708)=0,"⚠ หมวดไม่ตรงประเภท","✓"))))</f>
        <v/>
      </c>
    </row>
    <row r="4709">
      <c r="B4709" s="113" t="n"/>
      <c r="C4709" s="114" t="n"/>
      <c r="D4709" s="115" t="n"/>
      <c r="E4709" s="116" t="n"/>
      <c r="F4709" s="115" t="n"/>
      <c r="G4709" s="117">
        <f>IF(COUNTA(B4709:E4709)=0,"",IF(COUNTA(B4709:E4709)&lt;4,"⚠ กรอกไม่ครบ",IF(NOT(ISNUMBER(B4709)),"⚠ วันที่ไม่ถูกต้อง",IF(COUNTIFS(Setup!$L$6:$L$60,D4709,Setup!$M$6:$M$60,C4709)=0,"⚠ หมวดไม่ตรงประเภท","✓"))))</f>
        <v/>
      </c>
    </row>
    <row r="4710">
      <c r="B4710" s="113" t="n"/>
      <c r="C4710" s="114" t="n"/>
      <c r="D4710" s="115" t="n"/>
      <c r="E4710" s="116" t="n"/>
      <c r="F4710" s="115" t="n"/>
      <c r="G4710" s="117">
        <f>IF(COUNTA(B4710:E4710)=0,"",IF(COUNTA(B4710:E4710)&lt;4,"⚠ กรอกไม่ครบ",IF(NOT(ISNUMBER(B4710)),"⚠ วันที่ไม่ถูกต้อง",IF(COUNTIFS(Setup!$L$6:$L$60,D4710,Setup!$M$6:$M$60,C4710)=0,"⚠ หมวดไม่ตรงประเภท","✓"))))</f>
        <v/>
      </c>
    </row>
    <row r="4711">
      <c r="B4711" s="113" t="n"/>
      <c r="C4711" s="114" t="n"/>
      <c r="D4711" s="115" t="n"/>
      <c r="E4711" s="116" t="n"/>
      <c r="F4711" s="115" t="n"/>
      <c r="G4711" s="117">
        <f>IF(COUNTA(B4711:E4711)=0,"",IF(COUNTA(B4711:E4711)&lt;4,"⚠ กรอกไม่ครบ",IF(NOT(ISNUMBER(B4711)),"⚠ วันที่ไม่ถูกต้อง",IF(COUNTIFS(Setup!$L$6:$L$60,D4711,Setup!$M$6:$M$60,C4711)=0,"⚠ หมวดไม่ตรงประเภท","✓"))))</f>
        <v/>
      </c>
    </row>
    <row r="4712">
      <c r="B4712" s="113" t="n"/>
      <c r="C4712" s="114" t="n"/>
      <c r="D4712" s="115" t="n"/>
      <c r="E4712" s="116" t="n"/>
      <c r="F4712" s="115" t="n"/>
      <c r="G4712" s="117">
        <f>IF(COUNTA(B4712:E4712)=0,"",IF(COUNTA(B4712:E4712)&lt;4,"⚠ กรอกไม่ครบ",IF(NOT(ISNUMBER(B4712)),"⚠ วันที่ไม่ถูกต้อง",IF(COUNTIFS(Setup!$L$6:$L$60,D4712,Setup!$M$6:$M$60,C4712)=0,"⚠ หมวดไม่ตรงประเภท","✓"))))</f>
        <v/>
      </c>
    </row>
    <row r="4713">
      <c r="B4713" s="113" t="n"/>
      <c r="C4713" s="114" t="n"/>
      <c r="D4713" s="115" t="n"/>
      <c r="E4713" s="116" t="n"/>
      <c r="F4713" s="115" t="n"/>
      <c r="G4713" s="117">
        <f>IF(COUNTA(B4713:E4713)=0,"",IF(COUNTA(B4713:E4713)&lt;4,"⚠ กรอกไม่ครบ",IF(NOT(ISNUMBER(B4713)),"⚠ วันที่ไม่ถูกต้อง",IF(COUNTIFS(Setup!$L$6:$L$60,D4713,Setup!$M$6:$M$60,C4713)=0,"⚠ หมวดไม่ตรงประเภท","✓"))))</f>
        <v/>
      </c>
    </row>
    <row r="4714">
      <c r="B4714" s="113" t="n"/>
      <c r="C4714" s="114" t="n"/>
      <c r="D4714" s="115" t="n"/>
      <c r="E4714" s="116" t="n"/>
      <c r="F4714" s="115" t="n"/>
      <c r="G4714" s="117">
        <f>IF(COUNTA(B4714:E4714)=0,"",IF(COUNTA(B4714:E4714)&lt;4,"⚠ กรอกไม่ครบ",IF(NOT(ISNUMBER(B4714)),"⚠ วันที่ไม่ถูกต้อง",IF(COUNTIFS(Setup!$L$6:$L$60,D4714,Setup!$M$6:$M$60,C4714)=0,"⚠ หมวดไม่ตรงประเภท","✓"))))</f>
        <v/>
      </c>
    </row>
    <row r="4715">
      <c r="B4715" s="113" t="n"/>
      <c r="C4715" s="114" t="n"/>
      <c r="D4715" s="115" t="n"/>
      <c r="E4715" s="116" t="n"/>
      <c r="F4715" s="115" t="n"/>
      <c r="G4715" s="117">
        <f>IF(COUNTA(B4715:E4715)=0,"",IF(COUNTA(B4715:E4715)&lt;4,"⚠ กรอกไม่ครบ",IF(NOT(ISNUMBER(B4715)),"⚠ วันที่ไม่ถูกต้อง",IF(COUNTIFS(Setup!$L$6:$L$60,D4715,Setup!$M$6:$M$60,C4715)=0,"⚠ หมวดไม่ตรงประเภท","✓"))))</f>
        <v/>
      </c>
    </row>
    <row r="4716">
      <c r="B4716" s="113" t="n"/>
      <c r="C4716" s="114" t="n"/>
      <c r="D4716" s="115" t="n"/>
      <c r="E4716" s="116" t="n"/>
      <c r="F4716" s="115" t="n"/>
      <c r="G4716" s="117">
        <f>IF(COUNTA(B4716:E4716)=0,"",IF(COUNTA(B4716:E4716)&lt;4,"⚠ กรอกไม่ครบ",IF(NOT(ISNUMBER(B4716)),"⚠ วันที่ไม่ถูกต้อง",IF(COUNTIFS(Setup!$L$6:$L$60,D4716,Setup!$M$6:$M$60,C4716)=0,"⚠ หมวดไม่ตรงประเภท","✓"))))</f>
        <v/>
      </c>
    </row>
    <row r="4717">
      <c r="B4717" s="113" t="n"/>
      <c r="C4717" s="114" t="n"/>
      <c r="D4717" s="115" t="n"/>
      <c r="E4717" s="116" t="n"/>
      <c r="F4717" s="115" t="n"/>
      <c r="G4717" s="117">
        <f>IF(COUNTA(B4717:E4717)=0,"",IF(COUNTA(B4717:E4717)&lt;4,"⚠ กรอกไม่ครบ",IF(NOT(ISNUMBER(B4717)),"⚠ วันที่ไม่ถูกต้อง",IF(COUNTIFS(Setup!$L$6:$L$60,D4717,Setup!$M$6:$M$60,C4717)=0,"⚠ หมวดไม่ตรงประเภท","✓"))))</f>
        <v/>
      </c>
    </row>
    <row r="4718">
      <c r="B4718" s="113" t="n"/>
      <c r="C4718" s="114" t="n"/>
      <c r="D4718" s="115" t="n"/>
      <c r="E4718" s="116" t="n"/>
      <c r="F4718" s="115" t="n"/>
      <c r="G4718" s="117">
        <f>IF(COUNTA(B4718:E4718)=0,"",IF(COUNTA(B4718:E4718)&lt;4,"⚠ กรอกไม่ครบ",IF(NOT(ISNUMBER(B4718)),"⚠ วันที่ไม่ถูกต้อง",IF(COUNTIFS(Setup!$L$6:$L$60,D4718,Setup!$M$6:$M$60,C4718)=0,"⚠ หมวดไม่ตรงประเภท","✓"))))</f>
        <v/>
      </c>
    </row>
    <row r="4719">
      <c r="B4719" s="113" t="n"/>
      <c r="C4719" s="114" t="n"/>
      <c r="D4719" s="115" t="n"/>
      <c r="E4719" s="116" t="n"/>
      <c r="F4719" s="115" t="n"/>
      <c r="G4719" s="117">
        <f>IF(COUNTA(B4719:E4719)=0,"",IF(COUNTA(B4719:E4719)&lt;4,"⚠ กรอกไม่ครบ",IF(NOT(ISNUMBER(B4719)),"⚠ วันที่ไม่ถูกต้อง",IF(COUNTIFS(Setup!$L$6:$L$60,D4719,Setup!$M$6:$M$60,C4719)=0,"⚠ หมวดไม่ตรงประเภท","✓"))))</f>
        <v/>
      </c>
    </row>
    <row r="4720">
      <c r="B4720" s="113" t="n"/>
      <c r="C4720" s="114" t="n"/>
      <c r="D4720" s="115" t="n"/>
      <c r="E4720" s="116" t="n"/>
      <c r="F4720" s="115" t="n"/>
      <c r="G4720" s="117">
        <f>IF(COUNTA(B4720:E4720)=0,"",IF(COUNTA(B4720:E4720)&lt;4,"⚠ กรอกไม่ครบ",IF(NOT(ISNUMBER(B4720)),"⚠ วันที่ไม่ถูกต้อง",IF(COUNTIFS(Setup!$L$6:$L$60,D4720,Setup!$M$6:$M$60,C4720)=0,"⚠ หมวดไม่ตรงประเภท","✓"))))</f>
        <v/>
      </c>
    </row>
    <row r="4721">
      <c r="B4721" s="113" t="n"/>
      <c r="C4721" s="114" t="n"/>
      <c r="D4721" s="115" t="n"/>
      <c r="E4721" s="116" t="n"/>
      <c r="F4721" s="115" t="n"/>
      <c r="G4721" s="117">
        <f>IF(COUNTA(B4721:E4721)=0,"",IF(COUNTA(B4721:E4721)&lt;4,"⚠ กรอกไม่ครบ",IF(NOT(ISNUMBER(B4721)),"⚠ วันที่ไม่ถูกต้อง",IF(COUNTIFS(Setup!$L$6:$L$60,D4721,Setup!$M$6:$M$60,C4721)=0,"⚠ หมวดไม่ตรงประเภท","✓"))))</f>
        <v/>
      </c>
    </row>
    <row r="4722">
      <c r="B4722" s="113" t="n"/>
      <c r="C4722" s="114" t="n"/>
      <c r="D4722" s="115" t="n"/>
      <c r="E4722" s="116" t="n"/>
      <c r="F4722" s="115" t="n"/>
      <c r="G4722" s="117">
        <f>IF(COUNTA(B4722:E4722)=0,"",IF(COUNTA(B4722:E4722)&lt;4,"⚠ กรอกไม่ครบ",IF(NOT(ISNUMBER(B4722)),"⚠ วันที่ไม่ถูกต้อง",IF(COUNTIFS(Setup!$L$6:$L$60,D4722,Setup!$M$6:$M$60,C4722)=0,"⚠ หมวดไม่ตรงประเภท","✓"))))</f>
        <v/>
      </c>
    </row>
    <row r="4723">
      <c r="B4723" s="113" t="n"/>
      <c r="C4723" s="114" t="n"/>
      <c r="D4723" s="115" t="n"/>
      <c r="E4723" s="116" t="n"/>
      <c r="F4723" s="115" t="n"/>
      <c r="G4723" s="117">
        <f>IF(COUNTA(B4723:E4723)=0,"",IF(COUNTA(B4723:E4723)&lt;4,"⚠ กรอกไม่ครบ",IF(NOT(ISNUMBER(B4723)),"⚠ วันที่ไม่ถูกต้อง",IF(COUNTIFS(Setup!$L$6:$L$60,D4723,Setup!$M$6:$M$60,C4723)=0,"⚠ หมวดไม่ตรงประเภท","✓"))))</f>
        <v/>
      </c>
    </row>
    <row r="4724">
      <c r="B4724" s="113" t="n"/>
      <c r="C4724" s="114" t="n"/>
      <c r="D4724" s="115" t="n"/>
      <c r="E4724" s="116" t="n"/>
      <c r="F4724" s="115" t="n"/>
      <c r="G4724" s="117">
        <f>IF(COUNTA(B4724:E4724)=0,"",IF(COUNTA(B4724:E4724)&lt;4,"⚠ กรอกไม่ครบ",IF(NOT(ISNUMBER(B4724)),"⚠ วันที่ไม่ถูกต้อง",IF(COUNTIFS(Setup!$L$6:$L$60,D4724,Setup!$M$6:$M$60,C4724)=0,"⚠ หมวดไม่ตรงประเภท","✓"))))</f>
        <v/>
      </c>
    </row>
    <row r="4725">
      <c r="B4725" s="113" t="n"/>
      <c r="C4725" s="114" t="n"/>
      <c r="D4725" s="115" t="n"/>
      <c r="E4725" s="116" t="n"/>
      <c r="F4725" s="115" t="n"/>
      <c r="G4725" s="117">
        <f>IF(COUNTA(B4725:E4725)=0,"",IF(COUNTA(B4725:E4725)&lt;4,"⚠ กรอกไม่ครบ",IF(NOT(ISNUMBER(B4725)),"⚠ วันที่ไม่ถูกต้อง",IF(COUNTIFS(Setup!$L$6:$L$60,D4725,Setup!$M$6:$M$60,C4725)=0,"⚠ หมวดไม่ตรงประเภท","✓"))))</f>
        <v/>
      </c>
    </row>
    <row r="4726">
      <c r="B4726" s="113" t="n"/>
      <c r="C4726" s="114" t="n"/>
      <c r="D4726" s="115" t="n"/>
      <c r="E4726" s="116" t="n"/>
      <c r="F4726" s="115" t="n"/>
      <c r="G4726" s="117">
        <f>IF(COUNTA(B4726:E4726)=0,"",IF(COUNTA(B4726:E4726)&lt;4,"⚠ กรอกไม่ครบ",IF(NOT(ISNUMBER(B4726)),"⚠ วันที่ไม่ถูกต้อง",IF(COUNTIFS(Setup!$L$6:$L$60,D4726,Setup!$M$6:$M$60,C4726)=0,"⚠ หมวดไม่ตรงประเภท","✓"))))</f>
        <v/>
      </c>
    </row>
    <row r="4727">
      <c r="B4727" s="113" t="n"/>
      <c r="C4727" s="114" t="n"/>
      <c r="D4727" s="115" t="n"/>
      <c r="E4727" s="116" t="n"/>
      <c r="F4727" s="115" t="n"/>
      <c r="G4727" s="117">
        <f>IF(COUNTA(B4727:E4727)=0,"",IF(COUNTA(B4727:E4727)&lt;4,"⚠ กรอกไม่ครบ",IF(NOT(ISNUMBER(B4727)),"⚠ วันที่ไม่ถูกต้อง",IF(COUNTIFS(Setup!$L$6:$L$60,D4727,Setup!$M$6:$M$60,C4727)=0,"⚠ หมวดไม่ตรงประเภท","✓"))))</f>
        <v/>
      </c>
    </row>
    <row r="4728">
      <c r="B4728" s="113" t="n"/>
      <c r="C4728" s="114" t="n"/>
      <c r="D4728" s="115" t="n"/>
      <c r="E4728" s="116" t="n"/>
      <c r="F4728" s="115" t="n"/>
      <c r="G4728" s="117">
        <f>IF(COUNTA(B4728:E4728)=0,"",IF(COUNTA(B4728:E4728)&lt;4,"⚠ กรอกไม่ครบ",IF(NOT(ISNUMBER(B4728)),"⚠ วันที่ไม่ถูกต้อง",IF(COUNTIFS(Setup!$L$6:$L$60,D4728,Setup!$M$6:$M$60,C4728)=0,"⚠ หมวดไม่ตรงประเภท","✓"))))</f>
        <v/>
      </c>
    </row>
    <row r="4729">
      <c r="B4729" s="113" t="n"/>
      <c r="C4729" s="114" t="n"/>
      <c r="D4729" s="115" t="n"/>
      <c r="E4729" s="116" t="n"/>
      <c r="F4729" s="115" t="n"/>
      <c r="G4729" s="117">
        <f>IF(COUNTA(B4729:E4729)=0,"",IF(COUNTA(B4729:E4729)&lt;4,"⚠ กรอกไม่ครบ",IF(NOT(ISNUMBER(B4729)),"⚠ วันที่ไม่ถูกต้อง",IF(COUNTIFS(Setup!$L$6:$L$60,D4729,Setup!$M$6:$M$60,C4729)=0,"⚠ หมวดไม่ตรงประเภท","✓"))))</f>
        <v/>
      </c>
    </row>
    <row r="4730">
      <c r="B4730" s="113" t="n"/>
      <c r="C4730" s="114" t="n"/>
      <c r="D4730" s="115" t="n"/>
      <c r="E4730" s="116" t="n"/>
      <c r="F4730" s="115" t="n"/>
      <c r="G4730" s="117">
        <f>IF(COUNTA(B4730:E4730)=0,"",IF(COUNTA(B4730:E4730)&lt;4,"⚠ กรอกไม่ครบ",IF(NOT(ISNUMBER(B4730)),"⚠ วันที่ไม่ถูกต้อง",IF(COUNTIFS(Setup!$L$6:$L$60,D4730,Setup!$M$6:$M$60,C4730)=0,"⚠ หมวดไม่ตรงประเภท","✓"))))</f>
        <v/>
      </c>
    </row>
    <row r="4731">
      <c r="B4731" s="113" t="n"/>
      <c r="C4731" s="114" t="n"/>
      <c r="D4731" s="115" t="n"/>
      <c r="E4731" s="116" t="n"/>
      <c r="F4731" s="115" t="n"/>
      <c r="G4731" s="117">
        <f>IF(COUNTA(B4731:E4731)=0,"",IF(COUNTA(B4731:E4731)&lt;4,"⚠ กรอกไม่ครบ",IF(NOT(ISNUMBER(B4731)),"⚠ วันที่ไม่ถูกต้อง",IF(COUNTIFS(Setup!$L$6:$L$60,D4731,Setup!$M$6:$M$60,C4731)=0,"⚠ หมวดไม่ตรงประเภท","✓"))))</f>
        <v/>
      </c>
    </row>
    <row r="4732">
      <c r="B4732" s="113" t="n"/>
      <c r="C4732" s="114" t="n"/>
      <c r="D4732" s="115" t="n"/>
      <c r="E4732" s="116" t="n"/>
      <c r="F4732" s="115" t="n"/>
      <c r="G4732" s="117">
        <f>IF(COUNTA(B4732:E4732)=0,"",IF(COUNTA(B4732:E4732)&lt;4,"⚠ กรอกไม่ครบ",IF(NOT(ISNUMBER(B4732)),"⚠ วันที่ไม่ถูกต้อง",IF(COUNTIFS(Setup!$L$6:$L$60,D4732,Setup!$M$6:$M$60,C4732)=0,"⚠ หมวดไม่ตรงประเภท","✓"))))</f>
        <v/>
      </c>
    </row>
    <row r="4733">
      <c r="B4733" s="113" t="n"/>
      <c r="C4733" s="114" t="n"/>
      <c r="D4733" s="115" t="n"/>
      <c r="E4733" s="116" t="n"/>
      <c r="F4733" s="115" t="n"/>
      <c r="G4733" s="117">
        <f>IF(COUNTA(B4733:E4733)=0,"",IF(COUNTA(B4733:E4733)&lt;4,"⚠ กรอกไม่ครบ",IF(NOT(ISNUMBER(B4733)),"⚠ วันที่ไม่ถูกต้อง",IF(COUNTIFS(Setup!$L$6:$L$60,D4733,Setup!$M$6:$M$60,C4733)=0,"⚠ หมวดไม่ตรงประเภท","✓"))))</f>
        <v/>
      </c>
    </row>
    <row r="4734">
      <c r="B4734" s="113" t="n"/>
      <c r="C4734" s="114" t="n"/>
      <c r="D4734" s="115" t="n"/>
      <c r="E4734" s="116" t="n"/>
      <c r="F4734" s="115" t="n"/>
      <c r="G4734" s="117">
        <f>IF(COUNTA(B4734:E4734)=0,"",IF(COUNTA(B4734:E4734)&lt;4,"⚠ กรอกไม่ครบ",IF(NOT(ISNUMBER(B4734)),"⚠ วันที่ไม่ถูกต้อง",IF(COUNTIFS(Setup!$L$6:$L$60,D4734,Setup!$M$6:$M$60,C4734)=0,"⚠ หมวดไม่ตรงประเภท","✓"))))</f>
        <v/>
      </c>
    </row>
    <row r="4735">
      <c r="B4735" s="113" t="n"/>
      <c r="C4735" s="114" t="n"/>
      <c r="D4735" s="115" t="n"/>
      <c r="E4735" s="116" t="n"/>
      <c r="F4735" s="115" t="n"/>
      <c r="G4735" s="117">
        <f>IF(COUNTA(B4735:E4735)=0,"",IF(COUNTA(B4735:E4735)&lt;4,"⚠ กรอกไม่ครบ",IF(NOT(ISNUMBER(B4735)),"⚠ วันที่ไม่ถูกต้อง",IF(COUNTIFS(Setup!$L$6:$L$60,D4735,Setup!$M$6:$M$60,C4735)=0,"⚠ หมวดไม่ตรงประเภท","✓"))))</f>
        <v/>
      </c>
    </row>
    <row r="4736">
      <c r="B4736" s="113" t="n"/>
      <c r="C4736" s="114" t="n"/>
      <c r="D4736" s="115" t="n"/>
      <c r="E4736" s="116" t="n"/>
      <c r="F4736" s="115" t="n"/>
      <c r="G4736" s="117">
        <f>IF(COUNTA(B4736:E4736)=0,"",IF(COUNTA(B4736:E4736)&lt;4,"⚠ กรอกไม่ครบ",IF(NOT(ISNUMBER(B4736)),"⚠ วันที่ไม่ถูกต้อง",IF(COUNTIFS(Setup!$L$6:$L$60,D4736,Setup!$M$6:$M$60,C4736)=0,"⚠ หมวดไม่ตรงประเภท","✓"))))</f>
        <v/>
      </c>
    </row>
    <row r="4737">
      <c r="B4737" s="113" t="n"/>
      <c r="C4737" s="114" t="n"/>
      <c r="D4737" s="115" t="n"/>
      <c r="E4737" s="116" t="n"/>
      <c r="F4737" s="115" t="n"/>
      <c r="G4737" s="117">
        <f>IF(COUNTA(B4737:E4737)=0,"",IF(COUNTA(B4737:E4737)&lt;4,"⚠ กรอกไม่ครบ",IF(NOT(ISNUMBER(B4737)),"⚠ วันที่ไม่ถูกต้อง",IF(COUNTIFS(Setup!$L$6:$L$60,D4737,Setup!$M$6:$M$60,C4737)=0,"⚠ หมวดไม่ตรงประเภท","✓"))))</f>
        <v/>
      </c>
    </row>
    <row r="4738">
      <c r="B4738" s="113" t="n"/>
      <c r="C4738" s="114" t="n"/>
      <c r="D4738" s="115" t="n"/>
      <c r="E4738" s="116" t="n"/>
      <c r="F4738" s="115" t="n"/>
      <c r="G4738" s="117">
        <f>IF(COUNTA(B4738:E4738)=0,"",IF(COUNTA(B4738:E4738)&lt;4,"⚠ กรอกไม่ครบ",IF(NOT(ISNUMBER(B4738)),"⚠ วันที่ไม่ถูกต้อง",IF(COUNTIFS(Setup!$L$6:$L$60,D4738,Setup!$M$6:$M$60,C4738)=0,"⚠ หมวดไม่ตรงประเภท","✓"))))</f>
        <v/>
      </c>
    </row>
    <row r="4739">
      <c r="B4739" s="113" t="n"/>
      <c r="C4739" s="114" t="n"/>
      <c r="D4739" s="115" t="n"/>
      <c r="E4739" s="116" t="n"/>
      <c r="F4739" s="115" t="n"/>
      <c r="G4739" s="117">
        <f>IF(COUNTA(B4739:E4739)=0,"",IF(COUNTA(B4739:E4739)&lt;4,"⚠ กรอกไม่ครบ",IF(NOT(ISNUMBER(B4739)),"⚠ วันที่ไม่ถูกต้อง",IF(COUNTIFS(Setup!$L$6:$L$60,D4739,Setup!$M$6:$M$60,C4739)=0,"⚠ หมวดไม่ตรงประเภท","✓"))))</f>
        <v/>
      </c>
    </row>
    <row r="4740">
      <c r="B4740" s="113" t="n"/>
      <c r="C4740" s="114" t="n"/>
      <c r="D4740" s="115" t="n"/>
      <c r="E4740" s="116" t="n"/>
      <c r="F4740" s="115" t="n"/>
      <c r="G4740" s="117">
        <f>IF(COUNTA(B4740:E4740)=0,"",IF(COUNTA(B4740:E4740)&lt;4,"⚠ กรอกไม่ครบ",IF(NOT(ISNUMBER(B4740)),"⚠ วันที่ไม่ถูกต้อง",IF(COUNTIFS(Setup!$L$6:$L$60,D4740,Setup!$M$6:$M$60,C4740)=0,"⚠ หมวดไม่ตรงประเภท","✓"))))</f>
        <v/>
      </c>
    </row>
    <row r="4741">
      <c r="B4741" s="113" t="n"/>
      <c r="C4741" s="114" t="n"/>
      <c r="D4741" s="115" t="n"/>
      <c r="E4741" s="116" t="n"/>
      <c r="F4741" s="115" t="n"/>
      <c r="G4741" s="117">
        <f>IF(COUNTA(B4741:E4741)=0,"",IF(COUNTA(B4741:E4741)&lt;4,"⚠ กรอกไม่ครบ",IF(NOT(ISNUMBER(B4741)),"⚠ วันที่ไม่ถูกต้อง",IF(COUNTIFS(Setup!$L$6:$L$60,D4741,Setup!$M$6:$M$60,C4741)=0,"⚠ หมวดไม่ตรงประเภท","✓"))))</f>
        <v/>
      </c>
    </row>
    <row r="4742">
      <c r="B4742" s="113" t="n"/>
      <c r="C4742" s="114" t="n"/>
      <c r="D4742" s="115" t="n"/>
      <c r="E4742" s="116" t="n"/>
      <c r="F4742" s="115" t="n"/>
      <c r="G4742" s="117">
        <f>IF(COUNTA(B4742:E4742)=0,"",IF(COUNTA(B4742:E4742)&lt;4,"⚠ กรอกไม่ครบ",IF(NOT(ISNUMBER(B4742)),"⚠ วันที่ไม่ถูกต้อง",IF(COUNTIFS(Setup!$L$6:$L$60,D4742,Setup!$M$6:$M$60,C4742)=0,"⚠ หมวดไม่ตรงประเภท","✓"))))</f>
        <v/>
      </c>
    </row>
    <row r="4743">
      <c r="B4743" s="113" t="n"/>
      <c r="C4743" s="114" t="n"/>
      <c r="D4743" s="115" t="n"/>
      <c r="E4743" s="116" t="n"/>
      <c r="F4743" s="115" t="n"/>
      <c r="G4743" s="117">
        <f>IF(COUNTA(B4743:E4743)=0,"",IF(COUNTA(B4743:E4743)&lt;4,"⚠ กรอกไม่ครบ",IF(NOT(ISNUMBER(B4743)),"⚠ วันที่ไม่ถูกต้อง",IF(COUNTIFS(Setup!$L$6:$L$60,D4743,Setup!$M$6:$M$60,C4743)=0,"⚠ หมวดไม่ตรงประเภท","✓"))))</f>
        <v/>
      </c>
    </row>
    <row r="4744">
      <c r="B4744" s="113" t="n"/>
      <c r="C4744" s="114" t="n"/>
      <c r="D4744" s="115" t="n"/>
      <c r="E4744" s="116" t="n"/>
      <c r="F4744" s="115" t="n"/>
      <c r="G4744" s="117">
        <f>IF(COUNTA(B4744:E4744)=0,"",IF(COUNTA(B4744:E4744)&lt;4,"⚠ กรอกไม่ครบ",IF(NOT(ISNUMBER(B4744)),"⚠ วันที่ไม่ถูกต้อง",IF(COUNTIFS(Setup!$L$6:$L$60,D4744,Setup!$M$6:$M$60,C4744)=0,"⚠ หมวดไม่ตรงประเภท","✓"))))</f>
        <v/>
      </c>
    </row>
    <row r="4745">
      <c r="B4745" s="113" t="n"/>
      <c r="C4745" s="114" t="n"/>
      <c r="D4745" s="115" t="n"/>
      <c r="E4745" s="116" t="n"/>
      <c r="F4745" s="115" t="n"/>
      <c r="G4745" s="117">
        <f>IF(COUNTA(B4745:E4745)=0,"",IF(COUNTA(B4745:E4745)&lt;4,"⚠ กรอกไม่ครบ",IF(NOT(ISNUMBER(B4745)),"⚠ วันที่ไม่ถูกต้อง",IF(COUNTIFS(Setup!$L$6:$L$60,D4745,Setup!$M$6:$M$60,C4745)=0,"⚠ หมวดไม่ตรงประเภท","✓"))))</f>
        <v/>
      </c>
    </row>
    <row r="4746">
      <c r="B4746" s="113" t="n"/>
      <c r="C4746" s="114" t="n"/>
      <c r="D4746" s="115" t="n"/>
      <c r="E4746" s="116" t="n"/>
      <c r="F4746" s="115" t="n"/>
      <c r="G4746" s="117">
        <f>IF(COUNTA(B4746:E4746)=0,"",IF(COUNTA(B4746:E4746)&lt;4,"⚠ กรอกไม่ครบ",IF(NOT(ISNUMBER(B4746)),"⚠ วันที่ไม่ถูกต้อง",IF(COUNTIFS(Setup!$L$6:$L$60,D4746,Setup!$M$6:$M$60,C4746)=0,"⚠ หมวดไม่ตรงประเภท","✓"))))</f>
        <v/>
      </c>
    </row>
    <row r="4747">
      <c r="B4747" s="113" t="n"/>
      <c r="C4747" s="114" t="n"/>
      <c r="D4747" s="115" t="n"/>
      <c r="E4747" s="116" t="n"/>
      <c r="F4747" s="115" t="n"/>
      <c r="G4747" s="117">
        <f>IF(COUNTA(B4747:E4747)=0,"",IF(COUNTA(B4747:E4747)&lt;4,"⚠ กรอกไม่ครบ",IF(NOT(ISNUMBER(B4747)),"⚠ วันที่ไม่ถูกต้อง",IF(COUNTIFS(Setup!$L$6:$L$60,D4747,Setup!$M$6:$M$60,C4747)=0,"⚠ หมวดไม่ตรงประเภท","✓"))))</f>
        <v/>
      </c>
    </row>
    <row r="4748">
      <c r="B4748" s="113" t="n"/>
      <c r="C4748" s="114" t="n"/>
      <c r="D4748" s="115" t="n"/>
      <c r="E4748" s="116" t="n"/>
      <c r="F4748" s="115" t="n"/>
      <c r="G4748" s="117">
        <f>IF(COUNTA(B4748:E4748)=0,"",IF(COUNTA(B4748:E4748)&lt;4,"⚠ กรอกไม่ครบ",IF(NOT(ISNUMBER(B4748)),"⚠ วันที่ไม่ถูกต้อง",IF(COUNTIFS(Setup!$L$6:$L$60,D4748,Setup!$M$6:$M$60,C4748)=0,"⚠ หมวดไม่ตรงประเภท","✓"))))</f>
        <v/>
      </c>
    </row>
    <row r="4749">
      <c r="B4749" s="113" t="n"/>
      <c r="C4749" s="114" t="n"/>
      <c r="D4749" s="115" t="n"/>
      <c r="E4749" s="116" t="n"/>
      <c r="F4749" s="115" t="n"/>
      <c r="G4749" s="117">
        <f>IF(COUNTA(B4749:E4749)=0,"",IF(COUNTA(B4749:E4749)&lt;4,"⚠ กรอกไม่ครบ",IF(NOT(ISNUMBER(B4749)),"⚠ วันที่ไม่ถูกต้อง",IF(COUNTIFS(Setup!$L$6:$L$60,D4749,Setup!$M$6:$M$60,C4749)=0,"⚠ หมวดไม่ตรงประเภท","✓"))))</f>
        <v/>
      </c>
    </row>
    <row r="4750">
      <c r="B4750" s="113" t="n"/>
      <c r="C4750" s="114" t="n"/>
      <c r="D4750" s="115" t="n"/>
      <c r="E4750" s="116" t="n"/>
      <c r="F4750" s="115" t="n"/>
      <c r="G4750" s="117">
        <f>IF(COUNTA(B4750:E4750)=0,"",IF(COUNTA(B4750:E4750)&lt;4,"⚠ กรอกไม่ครบ",IF(NOT(ISNUMBER(B4750)),"⚠ วันที่ไม่ถูกต้อง",IF(COUNTIFS(Setup!$L$6:$L$60,D4750,Setup!$M$6:$M$60,C4750)=0,"⚠ หมวดไม่ตรงประเภท","✓"))))</f>
        <v/>
      </c>
    </row>
    <row r="4751">
      <c r="B4751" s="113" t="n"/>
      <c r="C4751" s="114" t="n"/>
      <c r="D4751" s="115" t="n"/>
      <c r="E4751" s="116" t="n"/>
      <c r="F4751" s="115" t="n"/>
      <c r="G4751" s="117">
        <f>IF(COUNTA(B4751:E4751)=0,"",IF(COUNTA(B4751:E4751)&lt;4,"⚠ กรอกไม่ครบ",IF(NOT(ISNUMBER(B4751)),"⚠ วันที่ไม่ถูกต้อง",IF(COUNTIFS(Setup!$L$6:$L$60,D4751,Setup!$M$6:$M$60,C4751)=0,"⚠ หมวดไม่ตรงประเภท","✓"))))</f>
        <v/>
      </c>
    </row>
    <row r="4752">
      <c r="B4752" s="113" t="n"/>
      <c r="C4752" s="114" t="n"/>
      <c r="D4752" s="115" t="n"/>
      <c r="E4752" s="116" t="n"/>
      <c r="F4752" s="115" t="n"/>
      <c r="G4752" s="117">
        <f>IF(COUNTA(B4752:E4752)=0,"",IF(COUNTA(B4752:E4752)&lt;4,"⚠ กรอกไม่ครบ",IF(NOT(ISNUMBER(B4752)),"⚠ วันที่ไม่ถูกต้อง",IF(COUNTIFS(Setup!$L$6:$L$60,D4752,Setup!$M$6:$M$60,C4752)=0,"⚠ หมวดไม่ตรงประเภท","✓"))))</f>
        <v/>
      </c>
    </row>
    <row r="4753">
      <c r="B4753" s="113" t="n"/>
      <c r="C4753" s="114" t="n"/>
      <c r="D4753" s="115" t="n"/>
      <c r="E4753" s="116" t="n"/>
      <c r="F4753" s="115" t="n"/>
      <c r="G4753" s="117">
        <f>IF(COUNTA(B4753:E4753)=0,"",IF(COUNTA(B4753:E4753)&lt;4,"⚠ กรอกไม่ครบ",IF(NOT(ISNUMBER(B4753)),"⚠ วันที่ไม่ถูกต้อง",IF(COUNTIFS(Setup!$L$6:$L$60,D4753,Setup!$M$6:$M$60,C4753)=0,"⚠ หมวดไม่ตรงประเภท","✓"))))</f>
        <v/>
      </c>
    </row>
    <row r="4754">
      <c r="B4754" s="113" t="n"/>
      <c r="C4754" s="114" t="n"/>
      <c r="D4754" s="115" t="n"/>
      <c r="E4754" s="116" t="n"/>
      <c r="F4754" s="115" t="n"/>
      <c r="G4754" s="117">
        <f>IF(COUNTA(B4754:E4754)=0,"",IF(COUNTA(B4754:E4754)&lt;4,"⚠ กรอกไม่ครบ",IF(NOT(ISNUMBER(B4754)),"⚠ วันที่ไม่ถูกต้อง",IF(COUNTIFS(Setup!$L$6:$L$60,D4754,Setup!$M$6:$M$60,C4754)=0,"⚠ หมวดไม่ตรงประเภท","✓"))))</f>
        <v/>
      </c>
    </row>
    <row r="4755">
      <c r="B4755" s="113" t="n"/>
      <c r="C4755" s="114" t="n"/>
      <c r="D4755" s="115" t="n"/>
      <c r="E4755" s="116" t="n"/>
      <c r="F4755" s="115" t="n"/>
      <c r="G4755" s="117">
        <f>IF(COUNTA(B4755:E4755)=0,"",IF(COUNTA(B4755:E4755)&lt;4,"⚠ กรอกไม่ครบ",IF(NOT(ISNUMBER(B4755)),"⚠ วันที่ไม่ถูกต้อง",IF(COUNTIFS(Setup!$L$6:$L$60,D4755,Setup!$M$6:$M$60,C4755)=0,"⚠ หมวดไม่ตรงประเภท","✓"))))</f>
        <v/>
      </c>
    </row>
    <row r="4756">
      <c r="B4756" s="113" t="n"/>
      <c r="C4756" s="114" t="n"/>
      <c r="D4756" s="115" t="n"/>
      <c r="E4756" s="116" t="n"/>
      <c r="F4756" s="115" t="n"/>
      <c r="G4756" s="117">
        <f>IF(COUNTA(B4756:E4756)=0,"",IF(COUNTA(B4756:E4756)&lt;4,"⚠ กรอกไม่ครบ",IF(NOT(ISNUMBER(B4756)),"⚠ วันที่ไม่ถูกต้อง",IF(COUNTIFS(Setup!$L$6:$L$60,D4756,Setup!$M$6:$M$60,C4756)=0,"⚠ หมวดไม่ตรงประเภท","✓"))))</f>
        <v/>
      </c>
    </row>
    <row r="4757">
      <c r="B4757" s="113" t="n"/>
      <c r="C4757" s="114" t="n"/>
      <c r="D4757" s="115" t="n"/>
      <c r="E4757" s="116" t="n"/>
      <c r="F4757" s="115" t="n"/>
      <c r="G4757" s="117">
        <f>IF(COUNTA(B4757:E4757)=0,"",IF(COUNTA(B4757:E4757)&lt;4,"⚠ กรอกไม่ครบ",IF(NOT(ISNUMBER(B4757)),"⚠ วันที่ไม่ถูกต้อง",IF(COUNTIFS(Setup!$L$6:$L$60,D4757,Setup!$M$6:$M$60,C4757)=0,"⚠ หมวดไม่ตรงประเภท","✓"))))</f>
        <v/>
      </c>
    </row>
    <row r="4758">
      <c r="B4758" s="113" t="n"/>
      <c r="C4758" s="114" t="n"/>
      <c r="D4758" s="115" t="n"/>
      <c r="E4758" s="116" t="n"/>
      <c r="F4758" s="115" t="n"/>
      <c r="G4758" s="117">
        <f>IF(COUNTA(B4758:E4758)=0,"",IF(COUNTA(B4758:E4758)&lt;4,"⚠ กรอกไม่ครบ",IF(NOT(ISNUMBER(B4758)),"⚠ วันที่ไม่ถูกต้อง",IF(COUNTIFS(Setup!$L$6:$L$60,D4758,Setup!$M$6:$M$60,C4758)=0,"⚠ หมวดไม่ตรงประเภท","✓"))))</f>
        <v/>
      </c>
    </row>
    <row r="4759">
      <c r="B4759" s="113" t="n"/>
      <c r="C4759" s="114" t="n"/>
      <c r="D4759" s="115" t="n"/>
      <c r="E4759" s="116" t="n"/>
      <c r="F4759" s="115" t="n"/>
      <c r="G4759" s="117">
        <f>IF(COUNTA(B4759:E4759)=0,"",IF(COUNTA(B4759:E4759)&lt;4,"⚠ กรอกไม่ครบ",IF(NOT(ISNUMBER(B4759)),"⚠ วันที่ไม่ถูกต้อง",IF(COUNTIFS(Setup!$L$6:$L$60,D4759,Setup!$M$6:$M$60,C4759)=0,"⚠ หมวดไม่ตรงประเภท","✓"))))</f>
        <v/>
      </c>
    </row>
    <row r="4760">
      <c r="B4760" s="113" t="n"/>
      <c r="C4760" s="114" t="n"/>
      <c r="D4760" s="115" t="n"/>
      <c r="E4760" s="116" t="n"/>
      <c r="F4760" s="115" t="n"/>
      <c r="G4760" s="117">
        <f>IF(COUNTA(B4760:E4760)=0,"",IF(COUNTA(B4760:E4760)&lt;4,"⚠ กรอกไม่ครบ",IF(NOT(ISNUMBER(B4760)),"⚠ วันที่ไม่ถูกต้อง",IF(COUNTIFS(Setup!$L$6:$L$60,D4760,Setup!$M$6:$M$60,C4760)=0,"⚠ หมวดไม่ตรงประเภท","✓"))))</f>
        <v/>
      </c>
    </row>
    <row r="4761">
      <c r="B4761" s="113" t="n"/>
      <c r="C4761" s="114" t="n"/>
      <c r="D4761" s="115" t="n"/>
      <c r="E4761" s="116" t="n"/>
      <c r="F4761" s="115" t="n"/>
      <c r="G4761" s="117">
        <f>IF(COUNTA(B4761:E4761)=0,"",IF(COUNTA(B4761:E4761)&lt;4,"⚠ กรอกไม่ครบ",IF(NOT(ISNUMBER(B4761)),"⚠ วันที่ไม่ถูกต้อง",IF(COUNTIFS(Setup!$L$6:$L$60,D4761,Setup!$M$6:$M$60,C4761)=0,"⚠ หมวดไม่ตรงประเภท","✓"))))</f>
        <v/>
      </c>
    </row>
    <row r="4762">
      <c r="B4762" s="113" t="n"/>
      <c r="C4762" s="114" t="n"/>
      <c r="D4762" s="115" t="n"/>
      <c r="E4762" s="116" t="n"/>
      <c r="F4762" s="115" t="n"/>
      <c r="G4762" s="117">
        <f>IF(COUNTA(B4762:E4762)=0,"",IF(COUNTA(B4762:E4762)&lt;4,"⚠ กรอกไม่ครบ",IF(NOT(ISNUMBER(B4762)),"⚠ วันที่ไม่ถูกต้อง",IF(COUNTIFS(Setup!$L$6:$L$60,D4762,Setup!$M$6:$M$60,C4762)=0,"⚠ หมวดไม่ตรงประเภท","✓"))))</f>
        <v/>
      </c>
    </row>
    <row r="4763">
      <c r="B4763" s="113" t="n"/>
      <c r="C4763" s="114" t="n"/>
      <c r="D4763" s="115" t="n"/>
      <c r="E4763" s="116" t="n"/>
      <c r="F4763" s="115" t="n"/>
      <c r="G4763" s="117">
        <f>IF(COUNTA(B4763:E4763)=0,"",IF(COUNTA(B4763:E4763)&lt;4,"⚠ กรอกไม่ครบ",IF(NOT(ISNUMBER(B4763)),"⚠ วันที่ไม่ถูกต้อง",IF(COUNTIFS(Setup!$L$6:$L$60,D4763,Setup!$M$6:$M$60,C4763)=0,"⚠ หมวดไม่ตรงประเภท","✓"))))</f>
        <v/>
      </c>
    </row>
    <row r="4764">
      <c r="B4764" s="113" t="n"/>
      <c r="C4764" s="114" t="n"/>
      <c r="D4764" s="115" t="n"/>
      <c r="E4764" s="116" t="n"/>
      <c r="F4764" s="115" t="n"/>
      <c r="G4764" s="117">
        <f>IF(COUNTA(B4764:E4764)=0,"",IF(COUNTA(B4764:E4764)&lt;4,"⚠ กรอกไม่ครบ",IF(NOT(ISNUMBER(B4764)),"⚠ วันที่ไม่ถูกต้อง",IF(COUNTIFS(Setup!$L$6:$L$60,D4764,Setup!$M$6:$M$60,C4764)=0,"⚠ หมวดไม่ตรงประเภท","✓"))))</f>
        <v/>
      </c>
    </row>
    <row r="4765">
      <c r="B4765" s="113" t="n"/>
      <c r="C4765" s="114" t="n"/>
      <c r="D4765" s="115" t="n"/>
      <c r="E4765" s="116" t="n"/>
      <c r="F4765" s="115" t="n"/>
      <c r="G4765" s="117">
        <f>IF(COUNTA(B4765:E4765)=0,"",IF(COUNTA(B4765:E4765)&lt;4,"⚠ กรอกไม่ครบ",IF(NOT(ISNUMBER(B4765)),"⚠ วันที่ไม่ถูกต้อง",IF(COUNTIFS(Setup!$L$6:$L$60,D4765,Setup!$M$6:$M$60,C4765)=0,"⚠ หมวดไม่ตรงประเภท","✓"))))</f>
        <v/>
      </c>
    </row>
    <row r="4766">
      <c r="B4766" s="113" t="n"/>
      <c r="C4766" s="114" t="n"/>
      <c r="D4766" s="115" t="n"/>
      <c r="E4766" s="116" t="n"/>
      <c r="F4766" s="115" t="n"/>
      <c r="G4766" s="117">
        <f>IF(COUNTA(B4766:E4766)=0,"",IF(COUNTA(B4766:E4766)&lt;4,"⚠ กรอกไม่ครบ",IF(NOT(ISNUMBER(B4766)),"⚠ วันที่ไม่ถูกต้อง",IF(COUNTIFS(Setup!$L$6:$L$60,D4766,Setup!$M$6:$M$60,C4766)=0,"⚠ หมวดไม่ตรงประเภท","✓"))))</f>
        <v/>
      </c>
    </row>
    <row r="4767">
      <c r="B4767" s="113" t="n"/>
      <c r="C4767" s="114" t="n"/>
      <c r="D4767" s="115" t="n"/>
      <c r="E4767" s="116" t="n"/>
      <c r="F4767" s="115" t="n"/>
      <c r="G4767" s="117">
        <f>IF(COUNTA(B4767:E4767)=0,"",IF(COUNTA(B4767:E4767)&lt;4,"⚠ กรอกไม่ครบ",IF(NOT(ISNUMBER(B4767)),"⚠ วันที่ไม่ถูกต้อง",IF(COUNTIFS(Setup!$L$6:$L$60,D4767,Setup!$M$6:$M$60,C4767)=0,"⚠ หมวดไม่ตรงประเภท","✓"))))</f>
        <v/>
      </c>
    </row>
    <row r="4768">
      <c r="B4768" s="113" t="n"/>
      <c r="C4768" s="114" t="n"/>
      <c r="D4768" s="115" t="n"/>
      <c r="E4768" s="116" t="n"/>
      <c r="F4768" s="115" t="n"/>
      <c r="G4768" s="117">
        <f>IF(COUNTA(B4768:E4768)=0,"",IF(COUNTA(B4768:E4768)&lt;4,"⚠ กรอกไม่ครบ",IF(NOT(ISNUMBER(B4768)),"⚠ วันที่ไม่ถูกต้อง",IF(COUNTIFS(Setup!$L$6:$L$60,D4768,Setup!$M$6:$M$60,C4768)=0,"⚠ หมวดไม่ตรงประเภท","✓"))))</f>
        <v/>
      </c>
    </row>
    <row r="4769">
      <c r="B4769" s="113" t="n"/>
      <c r="C4769" s="114" t="n"/>
      <c r="D4769" s="115" t="n"/>
      <c r="E4769" s="116" t="n"/>
      <c r="F4769" s="115" t="n"/>
      <c r="G4769" s="117">
        <f>IF(COUNTA(B4769:E4769)=0,"",IF(COUNTA(B4769:E4769)&lt;4,"⚠ กรอกไม่ครบ",IF(NOT(ISNUMBER(B4769)),"⚠ วันที่ไม่ถูกต้อง",IF(COUNTIFS(Setup!$L$6:$L$60,D4769,Setup!$M$6:$M$60,C4769)=0,"⚠ หมวดไม่ตรงประเภท","✓"))))</f>
        <v/>
      </c>
    </row>
    <row r="4770">
      <c r="B4770" s="113" t="n"/>
      <c r="C4770" s="114" t="n"/>
      <c r="D4770" s="115" t="n"/>
      <c r="E4770" s="116" t="n"/>
      <c r="F4770" s="115" t="n"/>
      <c r="G4770" s="117">
        <f>IF(COUNTA(B4770:E4770)=0,"",IF(COUNTA(B4770:E4770)&lt;4,"⚠ กรอกไม่ครบ",IF(NOT(ISNUMBER(B4770)),"⚠ วันที่ไม่ถูกต้อง",IF(COUNTIFS(Setup!$L$6:$L$60,D4770,Setup!$M$6:$M$60,C4770)=0,"⚠ หมวดไม่ตรงประเภท","✓"))))</f>
        <v/>
      </c>
    </row>
    <row r="4771">
      <c r="B4771" s="113" t="n"/>
      <c r="C4771" s="114" t="n"/>
      <c r="D4771" s="115" t="n"/>
      <c r="E4771" s="116" t="n"/>
      <c r="F4771" s="115" t="n"/>
      <c r="G4771" s="117">
        <f>IF(COUNTA(B4771:E4771)=0,"",IF(COUNTA(B4771:E4771)&lt;4,"⚠ กรอกไม่ครบ",IF(NOT(ISNUMBER(B4771)),"⚠ วันที่ไม่ถูกต้อง",IF(COUNTIFS(Setup!$L$6:$L$60,D4771,Setup!$M$6:$M$60,C4771)=0,"⚠ หมวดไม่ตรงประเภท","✓"))))</f>
        <v/>
      </c>
    </row>
    <row r="4772">
      <c r="B4772" s="113" t="n"/>
      <c r="C4772" s="114" t="n"/>
      <c r="D4772" s="115" t="n"/>
      <c r="E4772" s="116" t="n"/>
      <c r="F4772" s="115" t="n"/>
      <c r="G4772" s="117">
        <f>IF(COUNTA(B4772:E4772)=0,"",IF(COUNTA(B4772:E4772)&lt;4,"⚠ กรอกไม่ครบ",IF(NOT(ISNUMBER(B4772)),"⚠ วันที่ไม่ถูกต้อง",IF(COUNTIFS(Setup!$L$6:$L$60,D4772,Setup!$M$6:$M$60,C4772)=0,"⚠ หมวดไม่ตรงประเภท","✓"))))</f>
        <v/>
      </c>
    </row>
    <row r="4773">
      <c r="B4773" s="113" t="n"/>
      <c r="C4773" s="114" t="n"/>
      <c r="D4773" s="115" t="n"/>
      <c r="E4773" s="116" t="n"/>
      <c r="F4773" s="115" t="n"/>
      <c r="G4773" s="117">
        <f>IF(COUNTA(B4773:E4773)=0,"",IF(COUNTA(B4773:E4773)&lt;4,"⚠ กรอกไม่ครบ",IF(NOT(ISNUMBER(B4773)),"⚠ วันที่ไม่ถูกต้อง",IF(COUNTIFS(Setup!$L$6:$L$60,D4773,Setup!$M$6:$M$60,C4773)=0,"⚠ หมวดไม่ตรงประเภท","✓"))))</f>
        <v/>
      </c>
    </row>
    <row r="4774">
      <c r="B4774" s="113" t="n"/>
      <c r="C4774" s="114" t="n"/>
      <c r="D4774" s="115" t="n"/>
      <c r="E4774" s="116" t="n"/>
      <c r="F4774" s="115" t="n"/>
      <c r="G4774" s="117">
        <f>IF(COUNTA(B4774:E4774)=0,"",IF(COUNTA(B4774:E4774)&lt;4,"⚠ กรอกไม่ครบ",IF(NOT(ISNUMBER(B4774)),"⚠ วันที่ไม่ถูกต้อง",IF(COUNTIFS(Setup!$L$6:$L$60,D4774,Setup!$M$6:$M$60,C4774)=0,"⚠ หมวดไม่ตรงประเภท","✓"))))</f>
        <v/>
      </c>
    </row>
    <row r="4775">
      <c r="B4775" s="113" t="n"/>
      <c r="C4775" s="114" t="n"/>
      <c r="D4775" s="115" t="n"/>
      <c r="E4775" s="116" t="n"/>
      <c r="F4775" s="115" t="n"/>
      <c r="G4775" s="117">
        <f>IF(COUNTA(B4775:E4775)=0,"",IF(COUNTA(B4775:E4775)&lt;4,"⚠ กรอกไม่ครบ",IF(NOT(ISNUMBER(B4775)),"⚠ วันที่ไม่ถูกต้อง",IF(COUNTIFS(Setup!$L$6:$L$60,D4775,Setup!$M$6:$M$60,C4775)=0,"⚠ หมวดไม่ตรงประเภท","✓"))))</f>
        <v/>
      </c>
    </row>
    <row r="4776">
      <c r="B4776" s="113" t="n"/>
      <c r="C4776" s="114" t="n"/>
      <c r="D4776" s="115" t="n"/>
      <c r="E4776" s="116" t="n"/>
      <c r="F4776" s="115" t="n"/>
      <c r="G4776" s="117">
        <f>IF(COUNTA(B4776:E4776)=0,"",IF(COUNTA(B4776:E4776)&lt;4,"⚠ กรอกไม่ครบ",IF(NOT(ISNUMBER(B4776)),"⚠ วันที่ไม่ถูกต้อง",IF(COUNTIFS(Setup!$L$6:$L$60,D4776,Setup!$M$6:$M$60,C4776)=0,"⚠ หมวดไม่ตรงประเภท","✓"))))</f>
        <v/>
      </c>
    </row>
    <row r="4777">
      <c r="B4777" s="113" t="n"/>
      <c r="C4777" s="114" t="n"/>
      <c r="D4777" s="115" t="n"/>
      <c r="E4777" s="116" t="n"/>
      <c r="F4777" s="115" t="n"/>
      <c r="G4777" s="117">
        <f>IF(COUNTA(B4777:E4777)=0,"",IF(COUNTA(B4777:E4777)&lt;4,"⚠ กรอกไม่ครบ",IF(NOT(ISNUMBER(B4777)),"⚠ วันที่ไม่ถูกต้อง",IF(COUNTIFS(Setup!$L$6:$L$60,D4777,Setup!$M$6:$M$60,C4777)=0,"⚠ หมวดไม่ตรงประเภท","✓"))))</f>
        <v/>
      </c>
    </row>
    <row r="4778">
      <c r="B4778" s="113" t="n"/>
      <c r="C4778" s="114" t="n"/>
      <c r="D4778" s="115" t="n"/>
      <c r="E4778" s="116" t="n"/>
      <c r="F4778" s="115" t="n"/>
      <c r="G4778" s="117">
        <f>IF(COUNTA(B4778:E4778)=0,"",IF(COUNTA(B4778:E4778)&lt;4,"⚠ กรอกไม่ครบ",IF(NOT(ISNUMBER(B4778)),"⚠ วันที่ไม่ถูกต้อง",IF(COUNTIFS(Setup!$L$6:$L$60,D4778,Setup!$M$6:$M$60,C4778)=0,"⚠ หมวดไม่ตรงประเภท","✓"))))</f>
        <v/>
      </c>
    </row>
    <row r="4779">
      <c r="B4779" s="113" t="n"/>
      <c r="C4779" s="114" t="n"/>
      <c r="D4779" s="115" t="n"/>
      <c r="E4779" s="116" t="n"/>
      <c r="F4779" s="115" t="n"/>
      <c r="G4779" s="117">
        <f>IF(COUNTA(B4779:E4779)=0,"",IF(COUNTA(B4779:E4779)&lt;4,"⚠ กรอกไม่ครบ",IF(NOT(ISNUMBER(B4779)),"⚠ วันที่ไม่ถูกต้อง",IF(COUNTIFS(Setup!$L$6:$L$60,D4779,Setup!$M$6:$M$60,C4779)=0,"⚠ หมวดไม่ตรงประเภท","✓"))))</f>
        <v/>
      </c>
    </row>
    <row r="4780">
      <c r="B4780" s="113" t="n"/>
      <c r="C4780" s="114" t="n"/>
      <c r="D4780" s="115" t="n"/>
      <c r="E4780" s="116" t="n"/>
      <c r="F4780" s="115" t="n"/>
      <c r="G4780" s="117">
        <f>IF(COUNTA(B4780:E4780)=0,"",IF(COUNTA(B4780:E4780)&lt;4,"⚠ กรอกไม่ครบ",IF(NOT(ISNUMBER(B4780)),"⚠ วันที่ไม่ถูกต้อง",IF(COUNTIFS(Setup!$L$6:$L$60,D4780,Setup!$M$6:$M$60,C4780)=0,"⚠ หมวดไม่ตรงประเภท","✓"))))</f>
        <v/>
      </c>
    </row>
    <row r="4781">
      <c r="B4781" s="113" t="n"/>
      <c r="C4781" s="114" t="n"/>
      <c r="D4781" s="115" t="n"/>
      <c r="E4781" s="116" t="n"/>
      <c r="F4781" s="115" t="n"/>
      <c r="G4781" s="117">
        <f>IF(COUNTA(B4781:E4781)=0,"",IF(COUNTA(B4781:E4781)&lt;4,"⚠ กรอกไม่ครบ",IF(NOT(ISNUMBER(B4781)),"⚠ วันที่ไม่ถูกต้อง",IF(COUNTIFS(Setup!$L$6:$L$60,D4781,Setup!$M$6:$M$60,C4781)=0,"⚠ หมวดไม่ตรงประเภท","✓"))))</f>
        <v/>
      </c>
    </row>
    <row r="4782">
      <c r="B4782" s="113" t="n"/>
      <c r="C4782" s="114" t="n"/>
      <c r="D4782" s="115" t="n"/>
      <c r="E4782" s="116" t="n"/>
      <c r="F4782" s="115" t="n"/>
      <c r="G4782" s="117">
        <f>IF(COUNTA(B4782:E4782)=0,"",IF(COUNTA(B4782:E4782)&lt;4,"⚠ กรอกไม่ครบ",IF(NOT(ISNUMBER(B4782)),"⚠ วันที่ไม่ถูกต้อง",IF(COUNTIFS(Setup!$L$6:$L$60,D4782,Setup!$M$6:$M$60,C4782)=0,"⚠ หมวดไม่ตรงประเภท","✓"))))</f>
        <v/>
      </c>
    </row>
    <row r="4783">
      <c r="B4783" s="113" t="n"/>
      <c r="C4783" s="114" t="n"/>
      <c r="D4783" s="115" t="n"/>
      <c r="E4783" s="116" t="n"/>
      <c r="F4783" s="115" t="n"/>
      <c r="G4783" s="117">
        <f>IF(COUNTA(B4783:E4783)=0,"",IF(COUNTA(B4783:E4783)&lt;4,"⚠ กรอกไม่ครบ",IF(NOT(ISNUMBER(B4783)),"⚠ วันที่ไม่ถูกต้อง",IF(COUNTIFS(Setup!$L$6:$L$60,D4783,Setup!$M$6:$M$60,C4783)=0,"⚠ หมวดไม่ตรงประเภท","✓"))))</f>
        <v/>
      </c>
    </row>
    <row r="4784">
      <c r="B4784" s="113" t="n"/>
      <c r="C4784" s="114" t="n"/>
      <c r="D4784" s="115" t="n"/>
      <c r="E4784" s="116" t="n"/>
      <c r="F4784" s="115" t="n"/>
      <c r="G4784" s="117">
        <f>IF(COUNTA(B4784:E4784)=0,"",IF(COUNTA(B4784:E4784)&lt;4,"⚠ กรอกไม่ครบ",IF(NOT(ISNUMBER(B4784)),"⚠ วันที่ไม่ถูกต้อง",IF(COUNTIFS(Setup!$L$6:$L$60,D4784,Setup!$M$6:$M$60,C4784)=0,"⚠ หมวดไม่ตรงประเภท","✓"))))</f>
        <v/>
      </c>
    </row>
    <row r="4785">
      <c r="B4785" s="113" t="n"/>
      <c r="C4785" s="114" t="n"/>
      <c r="D4785" s="115" t="n"/>
      <c r="E4785" s="116" t="n"/>
      <c r="F4785" s="115" t="n"/>
      <c r="G4785" s="117">
        <f>IF(COUNTA(B4785:E4785)=0,"",IF(COUNTA(B4785:E4785)&lt;4,"⚠ กรอกไม่ครบ",IF(NOT(ISNUMBER(B4785)),"⚠ วันที่ไม่ถูกต้อง",IF(COUNTIFS(Setup!$L$6:$L$60,D4785,Setup!$M$6:$M$60,C4785)=0,"⚠ หมวดไม่ตรงประเภท","✓"))))</f>
        <v/>
      </c>
    </row>
    <row r="4786">
      <c r="B4786" s="113" t="n"/>
      <c r="C4786" s="114" t="n"/>
      <c r="D4786" s="115" t="n"/>
      <c r="E4786" s="116" t="n"/>
      <c r="F4786" s="115" t="n"/>
      <c r="G4786" s="117">
        <f>IF(COUNTA(B4786:E4786)=0,"",IF(COUNTA(B4786:E4786)&lt;4,"⚠ กรอกไม่ครบ",IF(NOT(ISNUMBER(B4786)),"⚠ วันที่ไม่ถูกต้อง",IF(COUNTIFS(Setup!$L$6:$L$60,D4786,Setup!$M$6:$M$60,C4786)=0,"⚠ หมวดไม่ตรงประเภท","✓"))))</f>
        <v/>
      </c>
    </row>
    <row r="4787">
      <c r="B4787" s="113" t="n"/>
      <c r="C4787" s="114" t="n"/>
      <c r="D4787" s="115" t="n"/>
      <c r="E4787" s="116" t="n"/>
      <c r="F4787" s="115" t="n"/>
      <c r="G4787" s="117">
        <f>IF(COUNTA(B4787:E4787)=0,"",IF(COUNTA(B4787:E4787)&lt;4,"⚠ กรอกไม่ครบ",IF(NOT(ISNUMBER(B4787)),"⚠ วันที่ไม่ถูกต้อง",IF(COUNTIFS(Setup!$L$6:$L$60,D4787,Setup!$M$6:$M$60,C4787)=0,"⚠ หมวดไม่ตรงประเภท","✓"))))</f>
        <v/>
      </c>
    </row>
    <row r="4788">
      <c r="B4788" s="113" t="n"/>
      <c r="C4788" s="114" t="n"/>
      <c r="D4788" s="115" t="n"/>
      <c r="E4788" s="116" t="n"/>
      <c r="F4788" s="115" t="n"/>
      <c r="G4788" s="117">
        <f>IF(COUNTA(B4788:E4788)=0,"",IF(COUNTA(B4788:E4788)&lt;4,"⚠ กรอกไม่ครบ",IF(NOT(ISNUMBER(B4788)),"⚠ วันที่ไม่ถูกต้อง",IF(COUNTIFS(Setup!$L$6:$L$60,D4788,Setup!$M$6:$M$60,C4788)=0,"⚠ หมวดไม่ตรงประเภท","✓"))))</f>
        <v/>
      </c>
    </row>
    <row r="4789">
      <c r="B4789" s="113" t="n"/>
      <c r="C4789" s="114" t="n"/>
      <c r="D4789" s="115" t="n"/>
      <c r="E4789" s="116" t="n"/>
      <c r="F4789" s="115" t="n"/>
      <c r="G4789" s="117">
        <f>IF(COUNTA(B4789:E4789)=0,"",IF(COUNTA(B4789:E4789)&lt;4,"⚠ กรอกไม่ครบ",IF(NOT(ISNUMBER(B4789)),"⚠ วันที่ไม่ถูกต้อง",IF(COUNTIFS(Setup!$L$6:$L$60,D4789,Setup!$M$6:$M$60,C4789)=0,"⚠ หมวดไม่ตรงประเภท","✓"))))</f>
        <v/>
      </c>
    </row>
    <row r="4790">
      <c r="B4790" s="113" t="n"/>
      <c r="C4790" s="114" t="n"/>
      <c r="D4790" s="115" t="n"/>
      <c r="E4790" s="116" t="n"/>
      <c r="F4790" s="115" t="n"/>
      <c r="G4790" s="117">
        <f>IF(COUNTA(B4790:E4790)=0,"",IF(COUNTA(B4790:E4790)&lt;4,"⚠ กรอกไม่ครบ",IF(NOT(ISNUMBER(B4790)),"⚠ วันที่ไม่ถูกต้อง",IF(COUNTIFS(Setup!$L$6:$L$60,D4790,Setup!$M$6:$M$60,C4790)=0,"⚠ หมวดไม่ตรงประเภท","✓"))))</f>
        <v/>
      </c>
    </row>
    <row r="4791">
      <c r="B4791" s="113" t="n"/>
      <c r="C4791" s="114" t="n"/>
      <c r="D4791" s="115" t="n"/>
      <c r="E4791" s="116" t="n"/>
      <c r="F4791" s="115" t="n"/>
      <c r="G4791" s="117">
        <f>IF(COUNTA(B4791:E4791)=0,"",IF(COUNTA(B4791:E4791)&lt;4,"⚠ กรอกไม่ครบ",IF(NOT(ISNUMBER(B4791)),"⚠ วันที่ไม่ถูกต้อง",IF(COUNTIFS(Setup!$L$6:$L$60,D4791,Setup!$M$6:$M$60,C4791)=0,"⚠ หมวดไม่ตรงประเภท","✓"))))</f>
        <v/>
      </c>
    </row>
    <row r="4792">
      <c r="B4792" s="113" t="n"/>
      <c r="C4792" s="114" t="n"/>
      <c r="D4792" s="115" t="n"/>
      <c r="E4792" s="116" t="n"/>
      <c r="F4792" s="115" t="n"/>
      <c r="G4792" s="117">
        <f>IF(COUNTA(B4792:E4792)=0,"",IF(COUNTA(B4792:E4792)&lt;4,"⚠ กรอกไม่ครบ",IF(NOT(ISNUMBER(B4792)),"⚠ วันที่ไม่ถูกต้อง",IF(COUNTIFS(Setup!$L$6:$L$60,D4792,Setup!$M$6:$M$60,C4792)=0,"⚠ หมวดไม่ตรงประเภท","✓"))))</f>
        <v/>
      </c>
    </row>
    <row r="4793">
      <c r="B4793" s="113" t="n"/>
      <c r="C4793" s="114" t="n"/>
      <c r="D4793" s="115" t="n"/>
      <c r="E4793" s="116" t="n"/>
      <c r="F4793" s="115" t="n"/>
      <c r="G4793" s="117">
        <f>IF(COUNTA(B4793:E4793)=0,"",IF(COUNTA(B4793:E4793)&lt;4,"⚠ กรอกไม่ครบ",IF(NOT(ISNUMBER(B4793)),"⚠ วันที่ไม่ถูกต้อง",IF(COUNTIFS(Setup!$L$6:$L$60,D4793,Setup!$M$6:$M$60,C4793)=0,"⚠ หมวดไม่ตรงประเภท","✓"))))</f>
        <v/>
      </c>
    </row>
    <row r="4794">
      <c r="B4794" s="113" t="n"/>
      <c r="C4794" s="114" t="n"/>
      <c r="D4794" s="115" t="n"/>
      <c r="E4794" s="116" t="n"/>
      <c r="F4794" s="115" t="n"/>
      <c r="G4794" s="117">
        <f>IF(COUNTA(B4794:E4794)=0,"",IF(COUNTA(B4794:E4794)&lt;4,"⚠ กรอกไม่ครบ",IF(NOT(ISNUMBER(B4794)),"⚠ วันที่ไม่ถูกต้อง",IF(COUNTIFS(Setup!$L$6:$L$60,D4794,Setup!$M$6:$M$60,C4794)=0,"⚠ หมวดไม่ตรงประเภท","✓"))))</f>
        <v/>
      </c>
    </row>
    <row r="4795">
      <c r="B4795" s="113" t="n"/>
      <c r="C4795" s="114" t="n"/>
      <c r="D4795" s="115" t="n"/>
      <c r="E4795" s="116" t="n"/>
      <c r="F4795" s="115" t="n"/>
      <c r="G4795" s="117">
        <f>IF(COUNTA(B4795:E4795)=0,"",IF(COUNTA(B4795:E4795)&lt;4,"⚠ กรอกไม่ครบ",IF(NOT(ISNUMBER(B4795)),"⚠ วันที่ไม่ถูกต้อง",IF(COUNTIFS(Setup!$L$6:$L$60,D4795,Setup!$M$6:$M$60,C4795)=0,"⚠ หมวดไม่ตรงประเภท","✓"))))</f>
        <v/>
      </c>
    </row>
    <row r="4796">
      <c r="B4796" s="113" t="n"/>
      <c r="C4796" s="114" t="n"/>
      <c r="D4796" s="115" t="n"/>
      <c r="E4796" s="116" t="n"/>
      <c r="F4796" s="115" t="n"/>
      <c r="G4796" s="117">
        <f>IF(COUNTA(B4796:E4796)=0,"",IF(COUNTA(B4796:E4796)&lt;4,"⚠ กรอกไม่ครบ",IF(NOT(ISNUMBER(B4796)),"⚠ วันที่ไม่ถูกต้อง",IF(COUNTIFS(Setup!$L$6:$L$60,D4796,Setup!$M$6:$M$60,C4796)=0,"⚠ หมวดไม่ตรงประเภท","✓"))))</f>
        <v/>
      </c>
    </row>
    <row r="4797">
      <c r="B4797" s="113" t="n"/>
      <c r="C4797" s="114" t="n"/>
      <c r="D4797" s="115" t="n"/>
      <c r="E4797" s="116" t="n"/>
      <c r="F4797" s="115" t="n"/>
      <c r="G4797" s="117">
        <f>IF(COUNTA(B4797:E4797)=0,"",IF(COUNTA(B4797:E4797)&lt;4,"⚠ กรอกไม่ครบ",IF(NOT(ISNUMBER(B4797)),"⚠ วันที่ไม่ถูกต้อง",IF(COUNTIFS(Setup!$L$6:$L$60,D4797,Setup!$M$6:$M$60,C4797)=0,"⚠ หมวดไม่ตรงประเภท","✓"))))</f>
        <v/>
      </c>
    </row>
    <row r="4798">
      <c r="B4798" s="113" t="n"/>
      <c r="C4798" s="114" t="n"/>
      <c r="D4798" s="115" t="n"/>
      <c r="E4798" s="116" t="n"/>
      <c r="F4798" s="115" t="n"/>
      <c r="G4798" s="117">
        <f>IF(COUNTA(B4798:E4798)=0,"",IF(COUNTA(B4798:E4798)&lt;4,"⚠ กรอกไม่ครบ",IF(NOT(ISNUMBER(B4798)),"⚠ วันที่ไม่ถูกต้อง",IF(COUNTIFS(Setup!$L$6:$L$60,D4798,Setup!$M$6:$M$60,C4798)=0,"⚠ หมวดไม่ตรงประเภท","✓"))))</f>
        <v/>
      </c>
    </row>
    <row r="4799">
      <c r="B4799" s="113" t="n"/>
      <c r="C4799" s="114" t="n"/>
      <c r="D4799" s="115" t="n"/>
      <c r="E4799" s="116" t="n"/>
      <c r="F4799" s="115" t="n"/>
      <c r="G4799" s="117">
        <f>IF(COUNTA(B4799:E4799)=0,"",IF(COUNTA(B4799:E4799)&lt;4,"⚠ กรอกไม่ครบ",IF(NOT(ISNUMBER(B4799)),"⚠ วันที่ไม่ถูกต้อง",IF(COUNTIFS(Setup!$L$6:$L$60,D4799,Setup!$M$6:$M$60,C4799)=0,"⚠ หมวดไม่ตรงประเภท","✓"))))</f>
        <v/>
      </c>
    </row>
    <row r="4800">
      <c r="B4800" s="113" t="n"/>
      <c r="C4800" s="114" t="n"/>
      <c r="D4800" s="115" t="n"/>
      <c r="E4800" s="116" t="n"/>
      <c r="F4800" s="115" t="n"/>
      <c r="G4800" s="117">
        <f>IF(COUNTA(B4800:E4800)=0,"",IF(COUNTA(B4800:E4800)&lt;4,"⚠ กรอกไม่ครบ",IF(NOT(ISNUMBER(B4800)),"⚠ วันที่ไม่ถูกต้อง",IF(COUNTIFS(Setup!$L$6:$L$60,D4800,Setup!$M$6:$M$60,C4800)=0,"⚠ หมวดไม่ตรงประเภท","✓"))))</f>
        <v/>
      </c>
    </row>
    <row r="4801">
      <c r="B4801" s="113" t="n"/>
      <c r="C4801" s="114" t="n"/>
      <c r="D4801" s="115" t="n"/>
      <c r="E4801" s="116" t="n"/>
      <c r="F4801" s="115" t="n"/>
      <c r="G4801" s="117">
        <f>IF(COUNTA(B4801:E4801)=0,"",IF(COUNTA(B4801:E4801)&lt;4,"⚠ กรอกไม่ครบ",IF(NOT(ISNUMBER(B4801)),"⚠ วันที่ไม่ถูกต้อง",IF(COUNTIFS(Setup!$L$6:$L$60,D4801,Setup!$M$6:$M$60,C4801)=0,"⚠ หมวดไม่ตรงประเภท","✓"))))</f>
        <v/>
      </c>
    </row>
    <row r="4802">
      <c r="B4802" s="113" t="n"/>
      <c r="C4802" s="114" t="n"/>
      <c r="D4802" s="115" t="n"/>
      <c r="E4802" s="116" t="n"/>
      <c r="F4802" s="115" t="n"/>
      <c r="G4802" s="117">
        <f>IF(COUNTA(B4802:E4802)=0,"",IF(COUNTA(B4802:E4802)&lt;4,"⚠ กรอกไม่ครบ",IF(NOT(ISNUMBER(B4802)),"⚠ วันที่ไม่ถูกต้อง",IF(COUNTIFS(Setup!$L$6:$L$60,D4802,Setup!$M$6:$M$60,C4802)=0,"⚠ หมวดไม่ตรงประเภท","✓"))))</f>
        <v/>
      </c>
    </row>
    <row r="4803">
      <c r="B4803" s="113" t="n"/>
      <c r="C4803" s="114" t="n"/>
      <c r="D4803" s="115" t="n"/>
      <c r="E4803" s="116" t="n"/>
      <c r="F4803" s="115" t="n"/>
      <c r="G4803" s="117">
        <f>IF(COUNTA(B4803:E4803)=0,"",IF(COUNTA(B4803:E4803)&lt;4,"⚠ กรอกไม่ครบ",IF(NOT(ISNUMBER(B4803)),"⚠ วันที่ไม่ถูกต้อง",IF(COUNTIFS(Setup!$L$6:$L$60,D4803,Setup!$M$6:$M$60,C4803)=0,"⚠ หมวดไม่ตรงประเภท","✓"))))</f>
        <v/>
      </c>
    </row>
    <row r="4804">
      <c r="B4804" s="113" t="n"/>
      <c r="C4804" s="114" t="n"/>
      <c r="D4804" s="115" t="n"/>
      <c r="E4804" s="116" t="n"/>
      <c r="F4804" s="115" t="n"/>
      <c r="G4804" s="117">
        <f>IF(COUNTA(B4804:E4804)=0,"",IF(COUNTA(B4804:E4804)&lt;4,"⚠ กรอกไม่ครบ",IF(NOT(ISNUMBER(B4804)),"⚠ วันที่ไม่ถูกต้อง",IF(COUNTIFS(Setup!$L$6:$L$60,D4804,Setup!$M$6:$M$60,C4804)=0,"⚠ หมวดไม่ตรงประเภท","✓"))))</f>
        <v/>
      </c>
    </row>
    <row r="4805">
      <c r="B4805" s="113" t="n"/>
      <c r="C4805" s="114" t="n"/>
      <c r="D4805" s="115" t="n"/>
      <c r="E4805" s="116" t="n"/>
      <c r="F4805" s="115" t="n"/>
      <c r="G4805" s="117">
        <f>IF(COUNTA(B4805:E4805)=0,"",IF(COUNTA(B4805:E4805)&lt;4,"⚠ กรอกไม่ครบ",IF(NOT(ISNUMBER(B4805)),"⚠ วันที่ไม่ถูกต้อง",IF(COUNTIFS(Setup!$L$6:$L$60,D4805,Setup!$M$6:$M$60,C4805)=0,"⚠ หมวดไม่ตรงประเภท","✓"))))</f>
        <v/>
      </c>
    </row>
    <row r="4806">
      <c r="B4806" s="113" t="n"/>
      <c r="C4806" s="114" t="n"/>
      <c r="D4806" s="115" t="n"/>
      <c r="E4806" s="116" t="n"/>
      <c r="F4806" s="115" t="n"/>
      <c r="G4806" s="117">
        <f>IF(COUNTA(B4806:E4806)=0,"",IF(COUNTA(B4806:E4806)&lt;4,"⚠ กรอกไม่ครบ",IF(NOT(ISNUMBER(B4806)),"⚠ วันที่ไม่ถูกต้อง",IF(COUNTIFS(Setup!$L$6:$L$60,D4806,Setup!$M$6:$M$60,C4806)=0,"⚠ หมวดไม่ตรงประเภท","✓"))))</f>
        <v/>
      </c>
    </row>
    <row r="4807">
      <c r="B4807" s="113" t="n"/>
      <c r="C4807" s="114" t="n"/>
      <c r="D4807" s="115" t="n"/>
      <c r="E4807" s="116" t="n"/>
      <c r="F4807" s="115" t="n"/>
      <c r="G4807" s="117">
        <f>IF(COUNTA(B4807:E4807)=0,"",IF(COUNTA(B4807:E4807)&lt;4,"⚠ กรอกไม่ครบ",IF(NOT(ISNUMBER(B4807)),"⚠ วันที่ไม่ถูกต้อง",IF(COUNTIFS(Setup!$L$6:$L$60,D4807,Setup!$M$6:$M$60,C4807)=0,"⚠ หมวดไม่ตรงประเภท","✓"))))</f>
        <v/>
      </c>
    </row>
    <row r="4808">
      <c r="B4808" s="113" t="n"/>
      <c r="C4808" s="114" t="n"/>
      <c r="D4808" s="115" t="n"/>
      <c r="E4808" s="116" t="n"/>
      <c r="F4808" s="115" t="n"/>
      <c r="G4808" s="117">
        <f>IF(COUNTA(B4808:E4808)=0,"",IF(COUNTA(B4808:E4808)&lt;4,"⚠ กรอกไม่ครบ",IF(NOT(ISNUMBER(B4808)),"⚠ วันที่ไม่ถูกต้อง",IF(COUNTIFS(Setup!$L$6:$L$60,D4808,Setup!$M$6:$M$60,C4808)=0,"⚠ หมวดไม่ตรงประเภท","✓"))))</f>
        <v/>
      </c>
    </row>
    <row r="4809">
      <c r="B4809" s="113" t="n"/>
      <c r="C4809" s="114" t="n"/>
      <c r="D4809" s="115" t="n"/>
      <c r="E4809" s="116" t="n"/>
      <c r="F4809" s="115" t="n"/>
      <c r="G4809" s="117">
        <f>IF(COUNTA(B4809:E4809)=0,"",IF(COUNTA(B4809:E4809)&lt;4,"⚠ กรอกไม่ครบ",IF(NOT(ISNUMBER(B4809)),"⚠ วันที่ไม่ถูกต้อง",IF(COUNTIFS(Setup!$L$6:$L$60,D4809,Setup!$M$6:$M$60,C4809)=0,"⚠ หมวดไม่ตรงประเภท","✓"))))</f>
        <v/>
      </c>
    </row>
    <row r="4810">
      <c r="B4810" s="113" t="n"/>
      <c r="C4810" s="114" t="n"/>
      <c r="D4810" s="115" t="n"/>
      <c r="E4810" s="116" t="n"/>
      <c r="F4810" s="115" t="n"/>
      <c r="G4810" s="117">
        <f>IF(COUNTA(B4810:E4810)=0,"",IF(COUNTA(B4810:E4810)&lt;4,"⚠ กรอกไม่ครบ",IF(NOT(ISNUMBER(B4810)),"⚠ วันที่ไม่ถูกต้อง",IF(COUNTIFS(Setup!$L$6:$L$60,D4810,Setup!$M$6:$M$60,C4810)=0,"⚠ หมวดไม่ตรงประเภท","✓"))))</f>
        <v/>
      </c>
    </row>
    <row r="4811">
      <c r="B4811" s="113" t="n"/>
      <c r="C4811" s="114" t="n"/>
      <c r="D4811" s="115" t="n"/>
      <c r="E4811" s="116" t="n"/>
      <c r="F4811" s="115" t="n"/>
      <c r="G4811" s="117">
        <f>IF(COUNTA(B4811:E4811)=0,"",IF(COUNTA(B4811:E4811)&lt;4,"⚠ กรอกไม่ครบ",IF(NOT(ISNUMBER(B4811)),"⚠ วันที่ไม่ถูกต้อง",IF(COUNTIFS(Setup!$L$6:$L$60,D4811,Setup!$M$6:$M$60,C4811)=0,"⚠ หมวดไม่ตรงประเภท","✓"))))</f>
        <v/>
      </c>
    </row>
    <row r="4812">
      <c r="B4812" s="113" t="n"/>
      <c r="C4812" s="114" t="n"/>
      <c r="D4812" s="115" t="n"/>
      <c r="E4812" s="116" t="n"/>
      <c r="F4812" s="115" t="n"/>
      <c r="G4812" s="117">
        <f>IF(COUNTA(B4812:E4812)=0,"",IF(COUNTA(B4812:E4812)&lt;4,"⚠ กรอกไม่ครบ",IF(NOT(ISNUMBER(B4812)),"⚠ วันที่ไม่ถูกต้อง",IF(COUNTIFS(Setup!$L$6:$L$60,D4812,Setup!$M$6:$M$60,C4812)=0,"⚠ หมวดไม่ตรงประเภท","✓"))))</f>
        <v/>
      </c>
    </row>
    <row r="4813">
      <c r="B4813" s="113" t="n"/>
      <c r="C4813" s="114" t="n"/>
      <c r="D4813" s="115" t="n"/>
      <c r="E4813" s="116" t="n"/>
      <c r="F4813" s="115" t="n"/>
      <c r="G4813" s="117">
        <f>IF(COUNTA(B4813:E4813)=0,"",IF(COUNTA(B4813:E4813)&lt;4,"⚠ กรอกไม่ครบ",IF(NOT(ISNUMBER(B4813)),"⚠ วันที่ไม่ถูกต้อง",IF(COUNTIFS(Setup!$L$6:$L$60,D4813,Setup!$M$6:$M$60,C4813)=0,"⚠ หมวดไม่ตรงประเภท","✓"))))</f>
        <v/>
      </c>
    </row>
    <row r="4814">
      <c r="B4814" s="113" t="n"/>
      <c r="C4814" s="114" t="n"/>
      <c r="D4814" s="115" t="n"/>
      <c r="E4814" s="116" t="n"/>
      <c r="F4814" s="115" t="n"/>
      <c r="G4814" s="117">
        <f>IF(COUNTA(B4814:E4814)=0,"",IF(COUNTA(B4814:E4814)&lt;4,"⚠ กรอกไม่ครบ",IF(NOT(ISNUMBER(B4814)),"⚠ วันที่ไม่ถูกต้อง",IF(COUNTIFS(Setup!$L$6:$L$60,D4814,Setup!$M$6:$M$60,C4814)=0,"⚠ หมวดไม่ตรงประเภท","✓"))))</f>
        <v/>
      </c>
    </row>
    <row r="4815">
      <c r="B4815" s="113" t="n"/>
      <c r="C4815" s="114" t="n"/>
      <c r="D4815" s="115" t="n"/>
      <c r="E4815" s="116" t="n"/>
      <c r="F4815" s="115" t="n"/>
      <c r="G4815" s="117">
        <f>IF(COUNTA(B4815:E4815)=0,"",IF(COUNTA(B4815:E4815)&lt;4,"⚠ กรอกไม่ครบ",IF(NOT(ISNUMBER(B4815)),"⚠ วันที่ไม่ถูกต้อง",IF(COUNTIFS(Setup!$L$6:$L$60,D4815,Setup!$M$6:$M$60,C4815)=0,"⚠ หมวดไม่ตรงประเภท","✓"))))</f>
        <v/>
      </c>
    </row>
    <row r="4816">
      <c r="B4816" s="113" t="n"/>
      <c r="C4816" s="114" t="n"/>
      <c r="D4816" s="115" t="n"/>
      <c r="E4816" s="116" t="n"/>
      <c r="F4816" s="115" t="n"/>
      <c r="G4816" s="117">
        <f>IF(COUNTA(B4816:E4816)=0,"",IF(COUNTA(B4816:E4816)&lt;4,"⚠ กรอกไม่ครบ",IF(NOT(ISNUMBER(B4816)),"⚠ วันที่ไม่ถูกต้อง",IF(COUNTIFS(Setup!$L$6:$L$60,D4816,Setup!$M$6:$M$60,C4816)=0,"⚠ หมวดไม่ตรงประเภท","✓"))))</f>
        <v/>
      </c>
    </row>
    <row r="4817">
      <c r="B4817" s="113" t="n"/>
      <c r="C4817" s="114" t="n"/>
      <c r="D4817" s="115" t="n"/>
      <c r="E4817" s="116" t="n"/>
      <c r="F4817" s="115" t="n"/>
      <c r="G4817" s="117">
        <f>IF(COUNTA(B4817:E4817)=0,"",IF(COUNTA(B4817:E4817)&lt;4,"⚠ กรอกไม่ครบ",IF(NOT(ISNUMBER(B4817)),"⚠ วันที่ไม่ถูกต้อง",IF(COUNTIFS(Setup!$L$6:$L$60,D4817,Setup!$M$6:$M$60,C4817)=0,"⚠ หมวดไม่ตรงประเภท","✓"))))</f>
        <v/>
      </c>
    </row>
    <row r="4818">
      <c r="B4818" s="113" t="n"/>
      <c r="C4818" s="114" t="n"/>
      <c r="D4818" s="115" t="n"/>
      <c r="E4818" s="116" t="n"/>
      <c r="F4818" s="115" t="n"/>
      <c r="G4818" s="117">
        <f>IF(COUNTA(B4818:E4818)=0,"",IF(COUNTA(B4818:E4818)&lt;4,"⚠ กรอกไม่ครบ",IF(NOT(ISNUMBER(B4818)),"⚠ วันที่ไม่ถูกต้อง",IF(COUNTIFS(Setup!$L$6:$L$60,D4818,Setup!$M$6:$M$60,C4818)=0,"⚠ หมวดไม่ตรงประเภท","✓"))))</f>
        <v/>
      </c>
    </row>
    <row r="4819">
      <c r="B4819" s="113" t="n"/>
      <c r="C4819" s="114" t="n"/>
      <c r="D4819" s="115" t="n"/>
      <c r="E4819" s="116" t="n"/>
      <c r="F4819" s="115" t="n"/>
      <c r="G4819" s="117">
        <f>IF(COUNTA(B4819:E4819)=0,"",IF(COUNTA(B4819:E4819)&lt;4,"⚠ กรอกไม่ครบ",IF(NOT(ISNUMBER(B4819)),"⚠ วันที่ไม่ถูกต้อง",IF(COUNTIFS(Setup!$L$6:$L$60,D4819,Setup!$M$6:$M$60,C4819)=0,"⚠ หมวดไม่ตรงประเภท","✓"))))</f>
        <v/>
      </c>
    </row>
    <row r="4820">
      <c r="B4820" s="113" t="n"/>
      <c r="C4820" s="114" t="n"/>
      <c r="D4820" s="115" t="n"/>
      <c r="E4820" s="116" t="n"/>
      <c r="F4820" s="115" t="n"/>
      <c r="G4820" s="117">
        <f>IF(COUNTA(B4820:E4820)=0,"",IF(COUNTA(B4820:E4820)&lt;4,"⚠ กรอกไม่ครบ",IF(NOT(ISNUMBER(B4820)),"⚠ วันที่ไม่ถูกต้อง",IF(COUNTIFS(Setup!$L$6:$L$60,D4820,Setup!$M$6:$M$60,C4820)=0,"⚠ หมวดไม่ตรงประเภท","✓"))))</f>
        <v/>
      </c>
    </row>
    <row r="4821">
      <c r="B4821" s="113" t="n"/>
      <c r="C4821" s="114" t="n"/>
      <c r="D4821" s="115" t="n"/>
      <c r="E4821" s="116" t="n"/>
      <c r="F4821" s="115" t="n"/>
      <c r="G4821" s="117">
        <f>IF(COUNTA(B4821:E4821)=0,"",IF(COUNTA(B4821:E4821)&lt;4,"⚠ กรอกไม่ครบ",IF(NOT(ISNUMBER(B4821)),"⚠ วันที่ไม่ถูกต้อง",IF(COUNTIFS(Setup!$L$6:$L$60,D4821,Setup!$M$6:$M$60,C4821)=0,"⚠ หมวดไม่ตรงประเภท","✓"))))</f>
        <v/>
      </c>
    </row>
    <row r="4822">
      <c r="B4822" s="113" t="n"/>
      <c r="C4822" s="114" t="n"/>
      <c r="D4822" s="115" t="n"/>
      <c r="E4822" s="116" t="n"/>
      <c r="F4822" s="115" t="n"/>
      <c r="G4822" s="117">
        <f>IF(COUNTA(B4822:E4822)=0,"",IF(COUNTA(B4822:E4822)&lt;4,"⚠ กรอกไม่ครบ",IF(NOT(ISNUMBER(B4822)),"⚠ วันที่ไม่ถูกต้อง",IF(COUNTIFS(Setup!$L$6:$L$60,D4822,Setup!$M$6:$M$60,C4822)=0,"⚠ หมวดไม่ตรงประเภท","✓"))))</f>
        <v/>
      </c>
    </row>
    <row r="4823">
      <c r="B4823" s="113" t="n"/>
      <c r="C4823" s="114" t="n"/>
      <c r="D4823" s="115" t="n"/>
      <c r="E4823" s="116" t="n"/>
      <c r="F4823" s="115" t="n"/>
      <c r="G4823" s="117">
        <f>IF(COUNTA(B4823:E4823)=0,"",IF(COUNTA(B4823:E4823)&lt;4,"⚠ กรอกไม่ครบ",IF(NOT(ISNUMBER(B4823)),"⚠ วันที่ไม่ถูกต้อง",IF(COUNTIFS(Setup!$L$6:$L$60,D4823,Setup!$M$6:$M$60,C4823)=0,"⚠ หมวดไม่ตรงประเภท","✓"))))</f>
        <v/>
      </c>
    </row>
    <row r="4824">
      <c r="B4824" s="113" t="n"/>
      <c r="C4824" s="114" t="n"/>
      <c r="D4824" s="115" t="n"/>
      <c r="E4824" s="116" t="n"/>
      <c r="F4824" s="115" t="n"/>
      <c r="G4824" s="117">
        <f>IF(COUNTA(B4824:E4824)=0,"",IF(COUNTA(B4824:E4824)&lt;4,"⚠ กรอกไม่ครบ",IF(NOT(ISNUMBER(B4824)),"⚠ วันที่ไม่ถูกต้อง",IF(COUNTIFS(Setup!$L$6:$L$60,D4824,Setup!$M$6:$M$60,C4824)=0,"⚠ หมวดไม่ตรงประเภท","✓"))))</f>
        <v/>
      </c>
    </row>
    <row r="4825">
      <c r="B4825" s="113" t="n"/>
      <c r="C4825" s="114" t="n"/>
      <c r="D4825" s="115" t="n"/>
      <c r="E4825" s="116" t="n"/>
      <c r="F4825" s="115" t="n"/>
      <c r="G4825" s="117">
        <f>IF(COUNTA(B4825:E4825)=0,"",IF(COUNTA(B4825:E4825)&lt;4,"⚠ กรอกไม่ครบ",IF(NOT(ISNUMBER(B4825)),"⚠ วันที่ไม่ถูกต้อง",IF(COUNTIFS(Setup!$L$6:$L$60,D4825,Setup!$M$6:$M$60,C4825)=0,"⚠ หมวดไม่ตรงประเภท","✓"))))</f>
        <v/>
      </c>
    </row>
    <row r="4826">
      <c r="B4826" s="113" t="n"/>
      <c r="C4826" s="114" t="n"/>
      <c r="D4826" s="115" t="n"/>
      <c r="E4826" s="116" t="n"/>
      <c r="F4826" s="115" t="n"/>
      <c r="G4826" s="117">
        <f>IF(COUNTA(B4826:E4826)=0,"",IF(COUNTA(B4826:E4826)&lt;4,"⚠ กรอกไม่ครบ",IF(NOT(ISNUMBER(B4826)),"⚠ วันที่ไม่ถูกต้อง",IF(COUNTIFS(Setup!$L$6:$L$60,D4826,Setup!$M$6:$M$60,C4826)=0,"⚠ หมวดไม่ตรงประเภท","✓"))))</f>
        <v/>
      </c>
    </row>
    <row r="4827">
      <c r="B4827" s="113" t="n"/>
      <c r="C4827" s="114" t="n"/>
      <c r="D4827" s="115" t="n"/>
      <c r="E4827" s="116" t="n"/>
      <c r="F4827" s="115" t="n"/>
      <c r="G4827" s="117">
        <f>IF(COUNTA(B4827:E4827)=0,"",IF(COUNTA(B4827:E4827)&lt;4,"⚠ กรอกไม่ครบ",IF(NOT(ISNUMBER(B4827)),"⚠ วันที่ไม่ถูกต้อง",IF(COUNTIFS(Setup!$L$6:$L$60,D4827,Setup!$M$6:$M$60,C4827)=0,"⚠ หมวดไม่ตรงประเภท","✓"))))</f>
        <v/>
      </c>
    </row>
    <row r="4828">
      <c r="B4828" s="113" t="n"/>
      <c r="C4828" s="114" t="n"/>
      <c r="D4828" s="115" t="n"/>
      <c r="E4828" s="116" t="n"/>
      <c r="F4828" s="115" t="n"/>
      <c r="G4828" s="117">
        <f>IF(COUNTA(B4828:E4828)=0,"",IF(COUNTA(B4828:E4828)&lt;4,"⚠ กรอกไม่ครบ",IF(NOT(ISNUMBER(B4828)),"⚠ วันที่ไม่ถูกต้อง",IF(COUNTIFS(Setup!$L$6:$L$60,D4828,Setup!$M$6:$M$60,C4828)=0,"⚠ หมวดไม่ตรงประเภท","✓"))))</f>
        <v/>
      </c>
    </row>
    <row r="4829">
      <c r="B4829" s="113" t="n"/>
      <c r="C4829" s="114" t="n"/>
      <c r="D4829" s="115" t="n"/>
      <c r="E4829" s="116" t="n"/>
      <c r="F4829" s="115" t="n"/>
      <c r="G4829" s="117">
        <f>IF(COUNTA(B4829:E4829)=0,"",IF(COUNTA(B4829:E4829)&lt;4,"⚠ กรอกไม่ครบ",IF(NOT(ISNUMBER(B4829)),"⚠ วันที่ไม่ถูกต้อง",IF(COUNTIFS(Setup!$L$6:$L$60,D4829,Setup!$M$6:$M$60,C4829)=0,"⚠ หมวดไม่ตรงประเภท","✓"))))</f>
        <v/>
      </c>
    </row>
    <row r="4830">
      <c r="B4830" s="113" t="n"/>
      <c r="C4830" s="114" t="n"/>
      <c r="D4830" s="115" t="n"/>
      <c r="E4830" s="116" t="n"/>
      <c r="F4830" s="115" t="n"/>
      <c r="G4830" s="117">
        <f>IF(COUNTA(B4830:E4830)=0,"",IF(COUNTA(B4830:E4830)&lt;4,"⚠ กรอกไม่ครบ",IF(NOT(ISNUMBER(B4830)),"⚠ วันที่ไม่ถูกต้อง",IF(COUNTIFS(Setup!$L$6:$L$60,D4830,Setup!$M$6:$M$60,C4830)=0,"⚠ หมวดไม่ตรงประเภท","✓"))))</f>
        <v/>
      </c>
    </row>
    <row r="4831">
      <c r="B4831" s="113" t="n"/>
      <c r="C4831" s="114" t="n"/>
      <c r="D4831" s="115" t="n"/>
      <c r="E4831" s="116" t="n"/>
      <c r="F4831" s="115" t="n"/>
      <c r="G4831" s="117">
        <f>IF(COUNTA(B4831:E4831)=0,"",IF(COUNTA(B4831:E4831)&lt;4,"⚠ กรอกไม่ครบ",IF(NOT(ISNUMBER(B4831)),"⚠ วันที่ไม่ถูกต้อง",IF(COUNTIFS(Setup!$L$6:$L$60,D4831,Setup!$M$6:$M$60,C4831)=0,"⚠ หมวดไม่ตรงประเภท","✓"))))</f>
        <v/>
      </c>
    </row>
    <row r="4832">
      <c r="B4832" s="113" t="n"/>
      <c r="C4832" s="114" t="n"/>
      <c r="D4832" s="115" t="n"/>
      <c r="E4832" s="116" t="n"/>
      <c r="F4832" s="115" t="n"/>
      <c r="G4832" s="117">
        <f>IF(COUNTA(B4832:E4832)=0,"",IF(COUNTA(B4832:E4832)&lt;4,"⚠ กรอกไม่ครบ",IF(NOT(ISNUMBER(B4832)),"⚠ วันที่ไม่ถูกต้อง",IF(COUNTIFS(Setup!$L$6:$L$60,D4832,Setup!$M$6:$M$60,C4832)=0,"⚠ หมวดไม่ตรงประเภท","✓"))))</f>
        <v/>
      </c>
    </row>
    <row r="4833">
      <c r="B4833" s="113" t="n"/>
      <c r="C4833" s="114" t="n"/>
      <c r="D4833" s="115" t="n"/>
      <c r="E4833" s="116" t="n"/>
      <c r="F4833" s="115" t="n"/>
      <c r="G4833" s="117">
        <f>IF(COUNTA(B4833:E4833)=0,"",IF(COUNTA(B4833:E4833)&lt;4,"⚠ กรอกไม่ครบ",IF(NOT(ISNUMBER(B4833)),"⚠ วันที่ไม่ถูกต้อง",IF(COUNTIFS(Setup!$L$6:$L$60,D4833,Setup!$M$6:$M$60,C4833)=0,"⚠ หมวดไม่ตรงประเภท","✓"))))</f>
        <v/>
      </c>
    </row>
    <row r="4834">
      <c r="B4834" s="113" t="n"/>
      <c r="C4834" s="114" t="n"/>
      <c r="D4834" s="115" t="n"/>
      <c r="E4834" s="116" t="n"/>
      <c r="F4834" s="115" t="n"/>
      <c r="G4834" s="117">
        <f>IF(COUNTA(B4834:E4834)=0,"",IF(COUNTA(B4834:E4834)&lt;4,"⚠ กรอกไม่ครบ",IF(NOT(ISNUMBER(B4834)),"⚠ วันที่ไม่ถูกต้อง",IF(COUNTIFS(Setup!$L$6:$L$60,D4834,Setup!$M$6:$M$60,C4834)=0,"⚠ หมวดไม่ตรงประเภท","✓"))))</f>
        <v/>
      </c>
    </row>
    <row r="4835">
      <c r="B4835" s="113" t="n"/>
      <c r="C4835" s="114" t="n"/>
      <c r="D4835" s="115" t="n"/>
      <c r="E4835" s="116" t="n"/>
      <c r="F4835" s="115" t="n"/>
      <c r="G4835" s="117">
        <f>IF(COUNTA(B4835:E4835)=0,"",IF(COUNTA(B4835:E4835)&lt;4,"⚠ กรอกไม่ครบ",IF(NOT(ISNUMBER(B4835)),"⚠ วันที่ไม่ถูกต้อง",IF(COUNTIFS(Setup!$L$6:$L$60,D4835,Setup!$M$6:$M$60,C4835)=0,"⚠ หมวดไม่ตรงประเภท","✓"))))</f>
        <v/>
      </c>
    </row>
    <row r="4836">
      <c r="B4836" s="113" t="n"/>
      <c r="C4836" s="114" t="n"/>
      <c r="D4836" s="115" t="n"/>
      <c r="E4836" s="116" t="n"/>
      <c r="F4836" s="115" t="n"/>
      <c r="G4836" s="117">
        <f>IF(COUNTA(B4836:E4836)=0,"",IF(COUNTA(B4836:E4836)&lt;4,"⚠ กรอกไม่ครบ",IF(NOT(ISNUMBER(B4836)),"⚠ วันที่ไม่ถูกต้อง",IF(COUNTIFS(Setup!$L$6:$L$60,D4836,Setup!$M$6:$M$60,C4836)=0,"⚠ หมวดไม่ตรงประเภท","✓"))))</f>
        <v/>
      </c>
    </row>
    <row r="4837">
      <c r="B4837" s="113" t="n"/>
      <c r="C4837" s="114" t="n"/>
      <c r="D4837" s="115" t="n"/>
      <c r="E4837" s="116" t="n"/>
      <c r="F4837" s="115" t="n"/>
      <c r="G4837" s="117">
        <f>IF(COUNTA(B4837:E4837)=0,"",IF(COUNTA(B4837:E4837)&lt;4,"⚠ กรอกไม่ครบ",IF(NOT(ISNUMBER(B4837)),"⚠ วันที่ไม่ถูกต้อง",IF(COUNTIFS(Setup!$L$6:$L$60,D4837,Setup!$M$6:$M$60,C4837)=0,"⚠ หมวดไม่ตรงประเภท","✓"))))</f>
        <v/>
      </c>
    </row>
    <row r="4838">
      <c r="B4838" s="113" t="n"/>
      <c r="C4838" s="114" t="n"/>
      <c r="D4838" s="115" t="n"/>
      <c r="E4838" s="116" t="n"/>
      <c r="F4838" s="115" t="n"/>
      <c r="G4838" s="117">
        <f>IF(COUNTA(B4838:E4838)=0,"",IF(COUNTA(B4838:E4838)&lt;4,"⚠ กรอกไม่ครบ",IF(NOT(ISNUMBER(B4838)),"⚠ วันที่ไม่ถูกต้อง",IF(COUNTIFS(Setup!$L$6:$L$60,D4838,Setup!$M$6:$M$60,C4838)=0,"⚠ หมวดไม่ตรงประเภท","✓"))))</f>
        <v/>
      </c>
    </row>
    <row r="4839">
      <c r="B4839" s="113" t="n"/>
      <c r="C4839" s="114" t="n"/>
      <c r="D4839" s="115" t="n"/>
      <c r="E4839" s="116" t="n"/>
      <c r="F4839" s="115" t="n"/>
      <c r="G4839" s="117">
        <f>IF(COUNTA(B4839:E4839)=0,"",IF(COUNTA(B4839:E4839)&lt;4,"⚠ กรอกไม่ครบ",IF(NOT(ISNUMBER(B4839)),"⚠ วันที่ไม่ถูกต้อง",IF(COUNTIFS(Setup!$L$6:$L$60,D4839,Setup!$M$6:$M$60,C4839)=0,"⚠ หมวดไม่ตรงประเภท","✓"))))</f>
        <v/>
      </c>
    </row>
    <row r="4840">
      <c r="B4840" s="113" t="n"/>
      <c r="C4840" s="114" t="n"/>
      <c r="D4840" s="115" t="n"/>
      <c r="E4840" s="116" t="n"/>
      <c r="F4840" s="115" t="n"/>
      <c r="G4840" s="117">
        <f>IF(COUNTA(B4840:E4840)=0,"",IF(COUNTA(B4840:E4840)&lt;4,"⚠ กรอกไม่ครบ",IF(NOT(ISNUMBER(B4840)),"⚠ วันที่ไม่ถูกต้อง",IF(COUNTIFS(Setup!$L$6:$L$60,D4840,Setup!$M$6:$M$60,C4840)=0,"⚠ หมวดไม่ตรงประเภท","✓"))))</f>
        <v/>
      </c>
    </row>
    <row r="4841">
      <c r="B4841" s="113" t="n"/>
      <c r="C4841" s="114" t="n"/>
      <c r="D4841" s="115" t="n"/>
      <c r="E4841" s="116" t="n"/>
      <c r="F4841" s="115" t="n"/>
      <c r="G4841" s="117">
        <f>IF(COUNTA(B4841:E4841)=0,"",IF(COUNTA(B4841:E4841)&lt;4,"⚠ กรอกไม่ครบ",IF(NOT(ISNUMBER(B4841)),"⚠ วันที่ไม่ถูกต้อง",IF(COUNTIFS(Setup!$L$6:$L$60,D4841,Setup!$M$6:$M$60,C4841)=0,"⚠ หมวดไม่ตรงประเภท","✓"))))</f>
        <v/>
      </c>
    </row>
    <row r="4842">
      <c r="B4842" s="113" t="n"/>
      <c r="C4842" s="114" t="n"/>
      <c r="D4842" s="115" t="n"/>
      <c r="E4842" s="116" t="n"/>
      <c r="F4842" s="115" t="n"/>
      <c r="G4842" s="117">
        <f>IF(COUNTA(B4842:E4842)=0,"",IF(COUNTA(B4842:E4842)&lt;4,"⚠ กรอกไม่ครบ",IF(NOT(ISNUMBER(B4842)),"⚠ วันที่ไม่ถูกต้อง",IF(COUNTIFS(Setup!$L$6:$L$60,D4842,Setup!$M$6:$M$60,C4842)=0,"⚠ หมวดไม่ตรงประเภท","✓"))))</f>
        <v/>
      </c>
    </row>
    <row r="4843">
      <c r="B4843" s="113" t="n"/>
      <c r="C4843" s="114" t="n"/>
      <c r="D4843" s="115" t="n"/>
      <c r="E4843" s="116" t="n"/>
      <c r="F4843" s="115" t="n"/>
      <c r="G4843" s="117">
        <f>IF(COUNTA(B4843:E4843)=0,"",IF(COUNTA(B4843:E4843)&lt;4,"⚠ กรอกไม่ครบ",IF(NOT(ISNUMBER(B4843)),"⚠ วันที่ไม่ถูกต้อง",IF(COUNTIFS(Setup!$L$6:$L$60,D4843,Setup!$M$6:$M$60,C4843)=0,"⚠ หมวดไม่ตรงประเภท","✓"))))</f>
        <v/>
      </c>
    </row>
    <row r="4844">
      <c r="B4844" s="113" t="n"/>
      <c r="C4844" s="114" t="n"/>
      <c r="D4844" s="115" t="n"/>
      <c r="E4844" s="116" t="n"/>
      <c r="F4844" s="115" t="n"/>
      <c r="G4844" s="117">
        <f>IF(COUNTA(B4844:E4844)=0,"",IF(COUNTA(B4844:E4844)&lt;4,"⚠ กรอกไม่ครบ",IF(NOT(ISNUMBER(B4844)),"⚠ วันที่ไม่ถูกต้อง",IF(COUNTIFS(Setup!$L$6:$L$60,D4844,Setup!$M$6:$M$60,C4844)=0,"⚠ หมวดไม่ตรงประเภท","✓"))))</f>
        <v/>
      </c>
    </row>
    <row r="4845">
      <c r="B4845" s="113" t="n"/>
      <c r="C4845" s="114" t="n"/>
      <c r="D4845" s="115" t="n"/>
      <c r="E4845" s="116" t="n"/>
      <c r="F4845" s="115" t="n"/>
      <c r="G4845" s="117">
        <f>IF(COUNTA(B4845:E4845)=0,"",IF(COUNTA(B4845:E4845)&lt;4,"⚠ กรอกไม่ครบ",IF(NOT(ISNUMBER(B4845)),"⚠ วันที่ไม่ถูกต้อง",IF(COUNTIFS(Setup!$L$6:$L$60,D4845,Setup!$M$6:$M$60,C4845)=0,"⚠ หมวดไม่ตรงประเภท","✓"))))</f>
        <v/>
      </c>
    </row>
    <row r="4846">
      <c r="B4846" s="113" t="n"/>
      <c r="C4846" s="114" t="n"/>
      <c r="D4846" s="115" t="n"/>
      <c r="E4846" s="116" t="n"/>
      <c r="F4846" s="115" t="n"/>
      <c r="G4846" s="117">
        <f>IF(COUNTA(B4846:E4846)=0,"",IF(COUNTA(B4846:E4846)&lt;4,"⚠ กรอกไม่ครบ",IF(NOT(ISNUMBER(B4846)),"⚠ วันที่ไม่ถูกต้อง",IF(COUNTIFS(Setup!$L$6:$L$60,D4846,Setup!$M$6:$M$60,C4846)=0,"⚠ หมวดไม่ตรงประเภท","✓"))))</f>
        <v/>
      </c>
    </row>
    <row r="4847">
      <c r="B4847" s="113" t="n"/>
      <c r="C4847" s="114" t="n"/>
      <c r="D4847" s="115" t="n"/>
      <c r="E4847" s="116" t="n"/>
      <c r="F4847" s="115" t="n"/>
      <c r="G4847" s="117">
        <f>IF(COUNTA(B4847:E4847)=0,"",IF(COUNTA(B4847:E4847)&lt;4,"⚠ กรอกไม่ครบ",IF(NOT(ISNUMBER(B4847)),"⚠ วันที่ไม่ถูกต้อง",IF(COUNTIFS(Setup!$L$6:$L$60,D4847,Setup!$M$6:$M$60,C4847)=0,"⚠ หมวดไม่ตรงประเภท","✓"))))</f>
        <v/>
      </c>
    </row>
    <row r="4848">
      <c r="B4848" s="113" t="n"/>
      <c r="C4848" s="114" t="n"/>
      <c r="D4848" s="115" t="n"/>
      <c r="E4848" s="116" t="n"/>
      <c r="F4848" s="115" t="n"/>
      <c r="G4848" s="117">
        <f>IF(COUNTA(B4848:E4848)=0,"",IF(COUNTA(B4848:E4848)&lt;4,"⚠ กรอกไม่ครบ",IF(NOT(ISNUMBER(B4848)),"⚠ วันที่ไม่ถูกต้อง",IF(COUNTIFS(Setup!$L$6:$L$60,D4848,Setup!$M$6:$M$60,C4848)=0,"⚠ หมวดไม่ตรงประเภท","✓"))))</f>
        <v/>
      </c>
    </row>
    <row r="4849">
      <c r="B4849" s="113" t="n"/>
      <c r="C4849" s="114" t="n"/>
      <c r="D4849" s="115" t="n"/>
      <c r="E4849" s="116" t="n"/>
      <c r="F4849" s="115" t="n"/>
      <c r="G4849" s="117">
        <f>IF(COUNTA(B4849:E4849)=0,"",IF(COUNTA(B4849:E4849)&lt;4,"⚠ กรอกไม่ครบ",IF(NOT(ISNUMBER(B4849)),"⚠ วันที่ไม่ถูกต้อง",IF(COUNTIFS(Setup!$L$6:$L$60,D4849,Setup!$M$6:$M$60,C4849)=0,"⚠ หมวดไม่ตรงประเภท","✓"))))</f>
        <v/>
      </c>
    </row>
    <row r="4850">
      <c r="B4850" s="113" t="n"/>
      <c r="C4850" s="114" t="n"/>
      <c r="D4850" s="115" t="n"/>
      <c r="E4850" s="116" t="n"/>
      <c r="F4850" s="115" t="n"/>
      <c r="G4850" s="117">
        <f>IF(COUNTA(B4850:E4850)=0,"",IF(COUNTA(B4850:E4850)&lt;4,"⚠ กรอกไม่ครบ",IF(NOT(ISNUMBER(B4850)),"⚠ วันที่ไม่ถูกต้อง",IF(COUNTIFS(Setup!$L$6:$L$60,D4850,Setup!$M$6:$M$60,C4850)=0,"⚠ หมวดไม่ตรงประเภท","✓"))))</f>
        <v/>
      </c>
    </row>
    <row r="4851">
      <c r="B4851" s="113" t="n"/>
      <c r="C4851" s="114" t="n"/>
      <c r="D4851" s="115" t="n"/>
      <c r="E4851" s="116" t="n"/>
      <c r="F4851" s="115" t="n"/>
      <c r="G4851" s="117">
        <f>IF(COUNTA(B4851:E4851)=0,"",IF(COUNTA(B4851:E4851)&lt;4,"⚠ กรอกไม่ครบ",IF(NOT(ISNUMBER(B4851)),"⚠ วันที่ไม่ถูกต้อง",IF(COUNTIFS(Setup!$L$6:$L$60,D4851,Setup!$M$6:$M$60,C4851)=0,"⚠ หมวดไม่ตรงประเภท","✓"))))</f>
        <v/>
      </c>
    </row>
    <row r="4852">
      <c r="B4852" s="113" t="n"/>
      <c r="C4852" s="114" t="n"/>
      <c r="D4852" s="115" t="n"/>
      <c r="E4852" s="116" t="n"/>
      <c r="F4852" s="115" t="n"/>
      <c r="G4852" s="117">
        <f>IF(COUNTA(B4852:E4852)=0,"",IF(COUNTA(B4852:E4852)&lt;4,"⚠ กรอกไม่ครบ",IF(NOT(ISNUMBER(B4852)),"⚠ วันที่ไม่ถูกต้อง",IF(COUNTIFS(Setup!$L$6:$L$60,D4852,Setup!$M$6:$M$60,C4852)=0,"⚠ หมวดไม่ตรงประเภท","✓"))))</f>
        <v/>
      </c>
    </row>
    <row r="4853">
      <c r="B4853" s="113" t="n"/>
      <c r="C4853" s="114" t="n"/>
      <c r="D4853" s="115" t="n"/>
      <c r="E4853" s="116" t="n"/>
      <c r="F4853" s="115" t="n"/>
      <c r="G4853" s="117">
        <f>IF(COUNTA(B4853:E4853)=0,"",IF(COUNTA(B4853:E4853)&lt;4,"⚠ กรอกไม่ครบ",IF(NOT(ISNUMBER(B4853)),"⚠ วันที่ไม่ถูกต้อง",IF(COUNTIFS(Setup!$L$6:$L$60,D4853,Setup!$M$6:$M$60,C4853)=0,"⚠ หมวดไม่ตรงประเภท","✓"))))</f>
        <v/>
      </c>
    </row>
    <row r="4854">
      <c r="B4854" s="113" t="n"/>
      <c r="C4854" s="114" t="n"/>
      <c r="D4854" s="115" t="n"/>
      <c r="E4854" s="116" t="n"/>
      <c r="F4854" s="115" t="n"/>
      <c r="G4854" s="117">
        <f>IF(COUNTA(B4854:E4854)=0,"",IF(COUNTA(B4854:E4854)&lt;4,"⚠ กรอกไม่ครบ",IF(NOT(ISNUMBER(B4854)),"⚠ วันที่ไม่ถูกต้อง",IF(COUNTIFS(Setup!$L$6:$L$60,D4854,Setup!$M$6:$M$60,C4854)=0,"⚠ หมวดไม่ตรงประเภท","✓"))))</f>
        <v/>
      </c>
    </row>
    <row r="4855">
      <c r="B4855" s="113" t="n"/>
      <c r="C4855" s="114" t="n"/>
      <c r="D4855" s="115" t="n"/>
      <c r="E4855" s="116" t="n"/>
      <c r="F4855" s="115" t="n"/>
      <c r="G4855" s="117">
        <f>IF(COUNTA(B4855:E4855)=0,"",IF(COUNTA(B4855:E4855)&lt;4,"⚠ กรอกไม่ครบ",IF(NOT(ISNUMBER(B4855)),"⚠ วันที่ไม่ถูกต้อง",IF(COUNTIFS(Setup!$L$6:$L$60,D4855,Setup!$M$6:$M$60,C4855)=0,"⚠ หมวดไม่ตรงประเภท","✓"))))</f>
        <v/>
      </c>
    </row>
    <row r="4856">
      <c r="B4856" s="113" t="n"/>
      <c r="C4856" s="114" t="n"/>
      <c r="D4856" s="115" t="n"/>
      <c r="E4856" s="116" t="n"/>
      <c r="F4856" s="115" t="n"/>
      <c r="G4856" s="117">
        <f>IF(COUNTA(B4856:E4856)=0,"",IF(COUNTA(B4856:E4856)&lt;4,"⚠ กรอกไม่ครบ",IF(NOT(ISNUMBER(B4856)),"⚠ วันที่ไม่ถูกต้อง",IF(COUNTIFS(Setup!$L$6:$L$60,D4856,Setup!$M$6:$M$60,C4856)=0,"⚠ หมวดไม่ตรงประเภท","✓"))))</f>
        <v/>
      </c>
    </row>
    <row r="4857">
      <c r="B4857" s="113" t="n"/>
      <c r="C4857" s="114" t="n"/>
      <c r="D4857" s="115" t="n"/>
      <c r="E4857" s="116" t="n"/>
      <c r="F4857" s="115" t="n"/>
      <c r="G4857" s="117">
        <f>IF(COUNTA(B4857:E4857)=0,"",IF(COUNTA(B4857:E4857)&lt;4,"⚠ กรอกไม่ครบ",IF(NOT(ISNUMBER(B4857)),"⚠ วันที่ไม่ถูกต้อง",IF(COUNTIFS(Setup!$L$6:$L$60,D4857,Setup!$M$6:$M$60,C4857)=0,"⚠ หมวดไม่ตรงประเภท","✓"))))</f>
        <v/>
      </c>
    </row>
    <row r="4858">
      <c r="B4858" s="113" t="n"/>
      <c r="C4858" s="114" t="n"/>
      <c r="D4858" s="115" t="n"/>
      <c r="E4858" s="116" t="n"/>
      <c r="F4858" s="115" t="n"/>
      <c r="G4858" s="117">
        <f>IF(COUNTA(B4858:E4858)=0,"",IF(COUNTA(B4858:E4858)&lt;4,"⚠ กรอกไม่ครบ",IF(NOT(ISNUMBER(B4858)),"⚠ วันที่ไม่ถูกต้อง",IF(COUNTIFS(Setup!$L$6:$L$60,D4858,Setup!$M$6:$M$60,C4858)=0,"⚠ หมวดไม่ตรงประเภท","✓"))))</f>
        <v/>
      </c>
    </row>
    <row r="4859">
      <c r="B4859" s="113" t="n"/>
      <c r="C4859" s="114" t="n"/>
      <c r="D4859" s="115" t="n"/>
      <c r="E4859" s="116" t="n"/>
      <c r="F4859" s="115" t="n"/>
      <c r="G4859" s="117">
        <f>IF(COUNTA(B4859:E4859)=0,"",IF(COUNTA(B4859:E4859)&lt;4,"⚠ กรอกไม่ครบ",IF(NOT(ISNUMBER(B4859)),"⚠ วันที่ไม่ถูกต้อง",IF(COUNTIFS(Setup!$L$6:$L$60,D4859,Setup!$M$6:$M$60,C4859)=0,"⚠ หมวดไม่ตรงประเภท","✓"))))</f>
        <v/>
      </c>
    </row>
    <row r="4860">
      <c r="B4860" s="113" t="n"/>
      <c r="C4860" s="114" t="n"/>
      <c r="D4860" s="115" t="n"/>
      <c r="E4860" s="116" t="n"/>
      <c r="F4860" s="115" t="n"/>
      <c r="G4860" s="117">
        <f>IF(COUNTA(B4860:E4860)=0,"",IF(COUNTA(B4860:E4860)&lt;4,"⚠ กรอกไม่ครบ",IF(NOT(ISNUMBER(B4860)),"⚠ วันที่ไม่ถูกต้อง",IF(COUNTIFS(Setup!$L$6:$L$60,D4860,Setup!$M$6:$M$60,C4860)=0,"⚠ หมวดไม่ตรงประเภท","✓"))))</f>
        <v/>
      </c>
    </row>
    <row r="4861">
      <c r="B4861" s="113" t="n"/>
      <c r="C4861" s="114" t="n"/>
      <c r="D4861" s="115" t="n"/>
      <c r="E4861" s="116" t="n"/>
      <c r="F4861" s="115" t="n"/>
      <c r="G4861" s="117">
        <f>IF(COUNTA(B4861:E4861)=0,"",IF(COUNTA(B4861:E4861)&lt;4,"⚠ กรอกไม่ครบ",IF(NOT(ISNUMBER(B4861)),"⚠ วันที่ไม่ถูกต้อง",IF(COUNTIFS(Setup!$L$6:$L$60,D4861,Setup!$M$6:$M$60,C4861)=0,"⚠ หมวดไม่ตรงประเภท","✓"))))</f>
        <v/>
      </c>
    </row>
    <row r="4862">
      <c r="B4862" s="113" t="n"/>
      <c r="C4862" s="114" t="n"/>
      <c r="D4862" s="115" t="n"/>
      <c r="E4862" s="116" t="n"/>
      <c r="F4862" s="115" t="n"/>
      <c r="G4862" s="117">
        <f>IF(COUNTA(B4862:E4862)=0,"",IF(COUNTA(B4862:E4862)&lt;4,"⚠ กรอกไม่ครบ",IF(NOT(ISNUMBER(B4862)),"⚠ วันที่ไม่ถูกต้อง",IF(COUNTIFS(Setup!$L$6:$L$60,D4862,Setup!$M$6:$M$60,C4862)=0,"⚠ หมวดไม่ตรงประเภท","✓"))))</f>
        <v/>
      </c>
    </row>
    <row r="4863">
      <c r="B4863" s="113" t="n"/>
      <c r="C4863" s="114" t="n"/>
      <c r="D4863" s="115" t="n"/>
      <c r="E4863" s="116" t="n"/>
      <c r="F4863" s="115" t="n"/>
      <c r="G4863" s="117">
        <f>IF(COUNTA(B4863:E4863)=0,"",IF(COUNTA(B4863:E4863)&lt;4,"⚠ กรอกไม่ครบ",IF(NOT(ISNUMBER(B4863)),"⚠ วันที่ไม่ถูกต้อง",IF(COUNTIFS(Setup!$L$6:$L$60,D4863,Setup!$M$6:$M$60,C4863)=0,"⚠ หมวดไม่ตรงประเภท","✓"))))</f>
        <v/>
      </c>
    </row>
    <row r="4864">
      <c r="B4864" s="113" t="n"/>
      <c r="C4864" s="114" t="n"/>
      <c r="D4864" s="115" t="n"/>
      <c r="E4864" s="116" t="n"/>
      <c r="F4864" s="115" t="n"/>
      <c r="G4864" s="117">
        <f>IF(COUNTA(B4864:E4864)=0,"",IF(COUNTA(B4864:E4864)&lt;4,"⚠ กรอกไม่ครบ",IF(NOT(ISNUMBER(B4864)),"⚠ วันที่ไม่ถูกต้อง",IF(COUNTIFS(Setup!$L$6:$L$60,D4864,Setup!$M$6:$M$60,C4864)=0,"⚠ หมวดไม่ตรงประเภท","✓"))))</f>
        <v/>
      </c>
    </row>
    <row r="4865">
      <c r="B4865" s="113" t="n"/>
      <c r="C4865" s="114" t="n"/>
      <c r="D4865" s="115" t="n"/>
      <c r="E4865" s="116" t="n"/>
      <c r="F4865" s="115" t="n"/>
      <c r="G4865" s="117">
        <f>IF(COUNTA(B4865:E4865)=0,"",IF(COUNTA(B4865:E4865)&lt;4,"⚠ กรอกไม่ครบ",IF(NOT(ISNUMBER(B4865)),"⚠ วันที่ไม่ถูกต้อง",IF(COUNTIFS(Setup!$L$6:$L$60,D4865,Setup!$M$6:$M$60,C4865)=0,"⚠ หมวดไม่ตรงประเภท","✓"))))</f>
        <v/>
      </c>
    </row>
    <row r="4866">
      <c r="B4866" s="113" t="n"/>
      <c r="C4866" s="114" t="n"/>
      <c r="D4866" s="115" t="n"/>
      <c r="E4866" s="116" t="n"/>
      <c r="F4866" s="115" t="n"/>
      <c r="G4866" s="117">
        <f>IF(COUNTA(B4866:E4866)=0,"",IF(COUNTA(B4866:E4866)&lt;4,"⚠ กรอกไม่ครบ",IF(NOT(ISNUMBER(B4866)),"⚠ วันที่ไม่ถูกต้อง",IF(COUNTIFS(Setup!$L$6:$L$60,D4866,Setup!$M$6:$M$60,C4866)=0,"⚠ หมวดไม่ตรงประเภท","✓"))))</f>
        <v/>
      </c>
    </row>
    <row r="4867">
      <c r="B4867" s="113" t="n"/>
      <c r="C4867" s="114" t="n"/>
      <c r="D4867" s="115" t="n"/>
      <c r="E4867" s="116" t="n"/>
      <c r="F4867" s="115" t="n"/>
      <c r="G4867" s="117">
        <f>IF(COUNTA(B4867:E4867)=0,"",IF(COUNTA(B4867:E4867)&lt;4,"⚠ กรอกไม่ครบ",IF(NOT(ISNUMBER(B4867)),"⚠ วันที่ไม่ถูกต้อง",IF(COUNTIFS(Setup!$L$6:$L$60,D4867,Setup!$M$6:$M$60,C4867)=0,"⚠ หมวดไม่ตรงประเภท","✓"))))</f>
        <v/>
      </c>
    </row>
    <row r="4868">
      <c r="B4868" s="113" t="n"/>
      <c r="C4868" s="114" t="n"/>
      <c r="D4868" s="115" t="n"/>
      <c r="E4868" s="116" t="n"/>
      <c r="F4868" s="115" t="n"/>
      <c r="G4868" s="117">
        <f>IF(COUNTA(B4868:E4868)=0,"",IF(COUNTA(B4868:E4868)&lt;4,"⚠ กรอกไม่ครบ",IF(NOT(ISNUMBER(B4868)),"⚠ วันที่ไม่ถูกต้อง",IF(COUNTIFS(Setup!$L$6:$L$60,D4868,Setup!$M$6:$M$60,C4868)=0,"⚠ หมวดไม่ตรงประเภท","✓"))))</f>
        <v/>
      </c>
    </row>
    <row r="4869">
      <c r="B4869" s="113" t="n"/>
      <c r="C4869" s="114" t="n"/>
      <c r="D4869" s="115" t="n"/>
      <c r="E4869" s="116" t="n"/>
      <c r="F4869" s="115" t="n"/>
      <c r="G4869" s="117">
        <f>IF(COUNTA(B4869:E4869)=0,"",IF(COUNTA(B4869:E4869)&lt;4,"⚠ กรอกไม่ครบ",IF(NOT(ISNUMBER(B4869)),"⚠ วันที่ไม่ถูกต้อง",IF(COUNTIFS(Setup!$L$6:$L$60,D4869,Setup!$M$6:$M$60,C4869)=0,"⚠ หมวดไม่ตรงประเภท","✓"))))</f>
        <v/>
      </c>
    </row>
    <row r="4870">
      <c r="B4870" s="113" t="n"/>
      <c r="C4870" s="114" t="n"/>
      <c r="D4870" s="115" t="n"/>
      <c r="E4870" s="116" t="n"/>
      <c r="F4870" s="115" t="n"/>
      <c r="G4870" s="117">
        <f>IF(COUNTA(B4870:E4870)=0,"",IF(COUNTA(B4870:E4870)&lt;4,"⚠ กรอกไม่ครบ",IF(NOT(ISNUMBER(B4870)),"⚠ วันที่ไม่ถูกต้อง",IF(COUNTIFS(Setup!$L$6:$L$60,D4870,Setup!$M$6:$M$60,C4870)=0,"⚠ หมวดไม่ตรงประเภท","✓"))))</f>
        <v/>
      </c>
    </row>
    <row r="4871">
      <c r="B4871" s="113" t="n"/>
      <c r="C4871" s="114" t="n"/>
      <c r="D4871" s="115" t="n"/>
      <c r="E4871" s="116" t="n"/>
      <c r="F4871" s="115" t="n"/>
      <c r="G4871" s="117">
        <f>IF(COUNTA(B4871:E4871)=0,"",IF(COUNTA(B4871:E4871)&lt;4,"⚠ กรอกไม่ครบ",IF(NOT(ISNUMBER(B4871)),"⚠ วันที่ไม่ถูกต้อง",IF(COUNTIFS(Setup!$L$6:$L$60,D4871,Setup!$M$6:$M$60,C4871)=0,"⚠ หมวดไม่ตรงประเภท","✓"))))</f>
        <v/>
      </c>
    </row>
    <row r="4872">
      <c r="B4872" s="113" t="n"/>
      <c r="C4872" s="114" t="n"/>
      <c r="D4872" s="115" t="n"/>
      <c r="E4872" s="116" t="n"/>
      <c r="F4872" s="115" t="n"/>
      <c r="G4872" s="117">
        <f>IF(COUNTA(B4872:E4872)=0,"",IF(COUNTA(B4872:E4872)&lt;4,"⚠ กรอกไม่ครบ",IF(NOT(ISNUMBER(B4872)),"⚠ วันที่ไม่ถูกต้อง",IF(COUNTIFS(Setup!$L$6:$L$60,D4872,Setup!$M$6:$M$60,C4872)=0,"⚠ หมวดไม่ตรงประเภท","✓"))))</f>
        <v/>
      </c>
    </row>
    <row r="4873">
      <c r="B4873" s="113" t="n"/>
      <c r="C4873" s="114" t="n"/>
      <c r="D4873" s="115" t="n"/>
      <c r="E4873" s="116" t="n"/>
      <c r="F4873" s="115" t="n"/>
      <c r="G4873" s="117">
        <f>IF(COUNTA(B4873:E4873)=0,"",IF(COUNTA(B4873:E4873)&lt;4,"⚠ กรอกไม่ครบ",IF(NOT(ISNUMBER(B4873)),"⚠ วันที่ไม่ถูกต้อง",IF(COUNTIFS(Setup!$L$6:$L$60,D4873,Setup!$M$6:$M$60,C4873)=0,"⚠ หมวดไม่ตรงประเภท","✓"))))</f>
        <v/>
      </c>
    </row>
    <row r="4874">
      <c r="B4874" s="113" t="n"/>
      <c r="C4874" s="114" t="n"/>
      <c r="D4874" s="115" t="n"/>
      <c r="E4874" s="116" t="n"/>
      <c r="F4874" s="115" t="n"/>
      <c r="G4874" s="117">
        <f>IF(COUNTA(B4874:E4874)=0,"",IF(COUNTA(B4874:E4874)&lt;4,"⚠ กรอกไม่ครบ",IF(NOT(ISNUMBER(B4874)),"⚠ วันที่ไม่ถูกต้อง",IF(COUNTIFS(Setup!$L$6:$L$60,D4874,Setup!$M$6:$M$60,C4874)=0,"⚠ หมวดไม่ตรงประเภท","✓"))))</f>
        <v/>
      </c>
    </row>
    <row r="4875">
      <c r="B4875" s="113" t="n"/>
      <c r="C4875" s="114" t="n"/>
      <c r="D4875" s="115" t="n"/>
      <c r="E4875" s="116" t="n"/>
      <c r="F4875" s="115" t="n"/>
      <c r="G4875" s="117">
        <f>IF(COUNTA(B4875:E4875)=0,"",IF(COUNTA(B4875:E4875)&lt;4,"⚠ กรอกไม่ครบ",IF(NOT(ISNUMBER(B4875)),"⚠ วันที่ไม่ถูกต้อง",IF(COUNTIFS(Setup!$L$6:$L$60,D4875,Setup!$M$6:$M$60,C4875)=0,"⚠ หมวดไม่ตรงประเภท","✓"))))</f>
        <v/>
      </c>
    </row>
    <row r="4876">
      <c r="B4876" s="113" t="n"/>
      <c r="C4876" s="114" t="n"/>
      <c r="D4876" s="115" t="n"/>
      <c r="E4876" s="116" t="n"/>
      <c r="F4876" s="115" t="n"/>
      <c r="G4876" s="117">
        <f>IF(COUNTA(B4876:E4876)=0,"",IF(COUNTA(B4876:E4876)&lt;4,"⚠ กรอกไม่ครบ",IF(NOT(ISNUMBER(B4876)),"⚠ วันที่ไม่ถูกต้อง",IF(COUNTIFS(Setup!$L$6:$L$60,D4876,Setup!$M$6:$M$60,C4876)=0,"⚠ หมวดไม่ตรงประเภท","✓"))))</f>
        <v/>
      </c>
    </row>
    <row r="4877">
      <c r="B4877" s="113" t="n"/>
      <c r="C4877" s="114" t="n"/>
      <c r="D4877" s="115" t="n"/>
      <c r="E4877" s="116" t="n"/>
      <c r="F4877" s="115" t="n"/>
      <c r="G4877" s="117">
        <f>IF(COUNTA(B4877:E4877)=0,"",IF(COUNTA(B4877:E4877)&lt;4,"⚠ กรอกไม่ครบ",IF(NOT(ISNUMBER(B4877)),"⚠ วันที่ไม่ถูกต้อง",IF(COUNTIFS(Setup!$L$6:$L$60,D4877,Setup!$M$6:$M$60,C4877)=0,"⚠ หมวดไม่ตรงประเภท","✓"))))</f>
        <v/>
      </c>
    </row>
    <row r="4878">
      <c r="B4878" s="113" t="n"/>
      <c r="C4878" s="114" t="n"/>
      <c r="D4878" s="115" t="n"/>
      <c r="E4878" s="116" t="n"/>
      <c r="F4878" s="115" t="n"/>
      <c r="G4878" s="117">
        <f>IF(COUNTA(B4878:E4878)=0,"",IF(COUNTA(B4878:E4878)&lt;4,"⚠ กรอกไม่ครบ",IF(NOT(ISNUMBER(B4878)),"⚠ วันที่ไม่ถูกต้อง",IF(COUNTIFS(Setup!$L$6:$L$60,D4878,Setup!$M$6:$M$60,C4878)=0,"⚠ หมวดไม่ตรงประเภท","✓"))))</f>
        <v/>
      </c>
    </row>
    <row r="4879">
      <c r="B4879" s="113" t="n"/>
      <c r="C4879" s="114" t="n"/>
      <c r="D4879" s="115" t="n"/>
      <c r="E4879" s="116" t="n"/>
      <c r="F4879" s="115" t="n"/>
      <c r="G4879" s="117">
        <f>IF(COUNTA(B4879:E4879)=0,"",IF(COUNTA(B4879:E4879)&lt;4,"⚠ กรอกไม่ครบ",IF(NOT(ISNUMBER(B4879)),"⚠ วันที่ไม่ถูกต้อง",IF(COUNTIFS(Setup!$L$6:$L$60,D4879,Setup!$M$6:$M$60,C4879)=0,"⚠ หมวดไม่ตรงประเภท","✓"))))</f>
        <v/>
      </c>
    </row>
    <row r="4880">
      <c r="B4880" s="113" t="n"/>
      <c r="C4880" s="114" t="n"/>
      <c r="D4880" s="115" t="n"/>
      <c r="E4880" s="116" t="n"/>
      <c r="F4880" s="115" t="n"/>
      <c r="G4880" s="117">
        <f>IF(COUNTA(B4880:E4880)=0,"",IF(COUNTA(B4880:E4880)&lt;4,"⚠ กรอกไม่ครบ",IF(NOT(ISNUMBER(B4880)),"⚠ วันที่ไม่ถูกต้อง",IF(COUNTIFS(Setup!$L$6:$L$60,D4880,Setup!$M$6:$M$60,C4880)=0,"⚠ หมวดไม่ตรงประเภท","✓"))))</f>
        <v/>
      </c>
    </row>
    <row r="4881">
      <c r="B4881" s="113" t="n"/>
      <c r="C4881" s="114" t="n"/>
      <c r="D4881" s="115" t="n"/>
      <c r="E4881" s="116" t="n"/>
      <c r="F4881" s="115" t="n"/>
      <c r="G4881" s="117">
        <f>IF(COUNTA(B4881:E4881)=0,"",IF(COUNTA(B4881:E4881)&lt;4,"⚠ กรอกไม่ครบ",IF(NOT(ISNUMBER(B4881)),"⚠ วันที่ไม่ถูกต้อง",IF(COUNTIFS(Setup!$L$6:$L$60,D4881,Setup!$M$6:$M$60,C4881)=0,"⚠ หมวดไม่ตรงประเภท","✓"))))</f>
        <v/>
      </c>
    </row>
    <row r="4882">
      <c r="B4882" s="113" t="n"/>
      <c r="C4882" s="114" t="n"/>
      <c r="D4882" s="115" t="n"/>
      <c r="E4882" s="116" t="n"/>
      <c r="F4882" s="115" t="n"/>
      <c r="G4882" s="117">
        <f>IF(COUNTA(B4882:E4882)=0,"",IF(COUNTA(B4882:E4882)&lt;4,"⚠ กรอกไม่ครบ",IF(NOT(ISNUMBER(B4882)),"⚠ วันที่ไม่ถูกต้อง",IF(COUNTIFS(Setup!$L$6:$L$60,D4882,Setup!$M$6:$M$60,C4882)=0,"⚠ หมวดไม่ตรงประเภท","✓"))))</f>
        <v/>
      </c>
    </row>
    <row r="4883">
      <c r="B4883" s="113" t="n"/>
      <c r="C4883" s="114" t="n"/>
      <c r="D4883" s="115" t="n"/>
      <c r="E4883" s="116" t="n"/>
      <c r="F4883" s="115" t="n"/>
      <c r="G4883" s="117">
        <f>IF(COUNTA(B4883:E4883)=0,"",IF(COUNTA(B4883:E4883)&lt;4,"⚠ กรอกไม่ครบ",IF(NOT(ISNUMBER(B4883)),"⚠ วันที่ไม่ถูกต้อง",IF(COUNTIFS(Setup!$L$6:$L$60,D4883,Setup!$M$6:$M$60,C4883)=0,"⚠ หมวดไม่ตรงประเภท","✓"))))</f>
        <v/>
      </c>
    </row>
    <row r="4884">
      <c r="B4884" s="113" t="n"/>
      <c r="C4884" s="114" t="n"/>
      <c r="D4884" s="115" t="n"/>
      <c r="E4884" s="116" t="n"/>
      <c r="F4884" s="115" t="n"/>
      <c r="G4884" s="117">
        <f>IF(COUNTA(B4884:E4884)=0,"",IF(COUNTA(B4884:E4884)&lt;4,"⚠ กรอกไม่ครบ",IF(NOT(ISNUMBER(B4884)),"⚠ วันที่ไม่ถูกต้อง",IF(COUNTIFS(Setup!$L$6:$L$60,D4884,Setup!$M$6:$M$60,C4884)=0,"⚠ หมวดไม่ตรงประเภท","✓"))))</f>
        <v/>
      </c>
    </row>
    <row r="4885">
      <c r="B4885" s="113" t="n"/>
      <c r="C4885" s="114" t="n"/>
      <c r="D4885" s="115" t="n"/>
      <c r="E4885" s="116" t="n"/>
      <c r="F4885" s="115" t="n"/>
      <c r="G4885" s="117">
        <f>IF(COUNTA(B4885:E4885)=0,"",IF(COUNTA(B4885:E4885)&lt;4,"⚠ กรอกไม่ครบ",IF(NOT(ISNUMBER(B4885)),"⚠ วันที่ไม่ถูกต้อง",IF(COUNTIFS(Setup!$L$6:$L$60,D4885,Setup!$M$6:$M$60,C4885)=0,"⚠ หมวดไม่ตรงประเภท","✓"))))</f>
        <v/>
      </c>
    </row>
    <row r="4886">
      <c r="B4886" s="113" t="n"/>
      <c r="C4886" s="114" t="n"/>
      <c r="D4886" s="115" t="n"/>
      <c r="E4886" s="116" t="n"/>
      <c r="F4886" s="115" t="n"/>
      <c r="G4886" s="117">
        <f>IF(COUNTA(B4886:E4886)=0,"",IF(COUNTA(B4886:E4886)&lt;4,"⚠ กรอกไม่ครบ",IF(NOT(ISNUMBER(B4886)),"⚠ วันที่ไม่ถูกต้อง",IF(COUNTIFS(Setup!$L$6:$L$60,D4886,Setup!$M$6:$M$60,C4886)=0,"⚠ หมวดไม่ตรงประเภท","✓"))))</f>
        <v/>
      </c>
    </row>
    <row r="4887">
      <c r="B4887" s="113" t="n"/>
      <c r="C4887" s="114" t="n"/>
      <c r="D4887" s="115" t="n"/>
      <c r="E4887" s="116" t="n"/>
      <c r="F4887" s="115" t="n"/>
      <c r="G4887" s="117">
        <f>IF(COUNTA(B4887:E4887)=0,"",IF(COUNTA(B4887:E4887)&lt;4,"⚠ กรอกไม่ครบ",IF(NOT(ISNUMBER(B4887)),"⚠ วันที่ไม่ถูกต้อง",IF(COUNTIFS(Setup!$L$6:$L$60,D4887,Setup!$M$6:$M$60,C4887)=0,"⚠ หมวดไม่ตรงประเภท","✓"))))</f>
        <v/>
      </c>
    </row>
    <row r="4888">
      <c r="B4888" s="113" t="n"/>
      <c r="C4888" s="114" t="n"/>
      <c r="D4888" s="115" t="n"/>
      <c r="E4888" s="116" t="n"/>
      <c r="F4888" s="115" t="n"/>
      <c r="G4888" s="117">
        <f>IF(COUNTA(B4888:E4888)=0,"",IF(COUNTA(B4888:E4888)&lt;4,"⚠ กรอกไม่ครบ",IF(NOT(ISNUMBER(B4888)),"⚠ วันที่ไม่ถูกต้อง",IF(COUNTIFS(Setup!$L$6:$L$60,D4888,Setup!$M$6:$M$60,C4888)=0,"⚠ หมวดไม่ตรงประเภท","✓"))))</f>
        <v/>
      </c>
    </row>
    <row r="4889">
      <c r="B4889" s="113" t="n"/>
      <c r="C4889" s="114" t="n"/>
      <c r="D4889" s="115" t="n"/>
      <c r="E4889" s="116" t="n"/>
      <c r="F4889" s="115" t="n"/>
      <c r="G4889" s="117">
        <f>IF(COUNTA(B4889:E4889)=0,"",IF(COUNTA(B4889:E4889)&lt;4,"⚠ กรอกไม่ครบ",IF(NOT(ISNUMBER(B4889)),"⚠ วันที่ไม่ถูกต้อง",IF(COUNTIFS(Setup!$L$6:$L$60,D4889,Setup!$M$6:$M$60,C4889)=0,"⚠ หมวดไม่ตรงประเภท","✓"))))</f>
        <v/>
      </c>
    </row>
    <row r="4890">
      <c r="B4890" s="113" t="n"/>
      <c r="C4890" s="114" t="n"/>
      <c r="D4890" s="115" t="n"/>
      <c r="E4890" s="116" t="n"/>
      <c r="F4890" s="115" t="n"/>
      <c r="G4890" s="117">
        <f>IF(COUNTA(B4890:E4890)=0,"",IF(COUNTA(B4890:E4890)&lt;4,"⚠ กรอกไม่ครบ",IF(NOT(ISNUMBER(B4890)),"⚠ วันที่ไม่ถูกต้อง",IF(COUNTIFS(Setup!$L$6:$L$60,D4890,Setup!$M$6:$M$60,C4890)=0,"⚠ หมวดไม่ตรงประเภท","✓"))))</f>
        <v/>
      </c>
    </row>
    <row r="4891">
      <c r="B4891" s="113" t="n"/>
      <c r="C4891" s="114" t="n"/>
      <c r="D4891" s="115" t="n"/>
      <c r="E4891" s="116" t="n"/>
      <c r="F4891" s="115" t="n"/>
      <c r="G4891" s="117">
        <f>IF(COUNTA(B4891:E4891)=0,"",IF(COUNTA(B4891:E4891)&lt;4,"⚠ กรอกไม่ครบ",IF(NOT(ISNUMBER(B4891)),"⚠ วันที่ไม่ถูกต้อง",IF(COUNTIFS(Setup!$L$6:$L$60,D4891,Setup!$M$6:$M$60,C4891)=0,"⚠ หมวดไม่ตรงประเภท","✓"))))</f>
        <v/>
      </c>
    </row>
    <row r="4892">
      <c r="B4892" s="113" t="n"/>
      <c r="C4892" s="114" t="n"/>
      <c r="D4892" s="115" t="n"/>
      <c r="E4892" s="116" t="n"/>
      <c r="F4892" s="115" t="n"/>
      <c r="G4892" s="117">
        <f>IF(COUNTA(B4892:E4892)=0,"",IF(COUNTA(B4892:E4892)&lt;4,"⚠ กรอกไม่ครบ",IF(NOT(ISNUMBER(B4892)),"⚠ วันที่ไม่ถูกต้อง",IF(COUNTIFS(Setup!$L$6:$L$60,D4892,Setup!$M$6:$M$60,C4892)=0,"⚠ หมวดไม่ตรงประเภท","✓"))))</f>
        <v/>
      </c>
    </row>
    <row r="4893">
      <c r="B4893" s="113" t="n"/>
      <c r="C4893" s="114" t="n"/>
      <c r="D4893" s="115" t="n"/>
      <c r="E4893" s="116" t="n"/>
      <c r="F4893" s="115" t="n"/>
      <c r="G4893" s="117">
        <f>IF(COUNTA(B4893:E4893)=0,"",IF(COUNTA(B4893:E4893)&lt;4,"⚠ กรอกไม่ครบ",IF(NOT(ISNUMBER(B4893)),"⚠ วันที่ไม่ถูกต้อง",IF(COUNTIFS(Setup!$L$6:$L$60,D4893,Setup!$M$6:$M$60,C4893)=0,"⚠ หมวดไม่ตรงประเภท","✓"))))</f>
        <v/>
      </c>
    </row>
    <row r="4894">
      <c r="B4894" s="113" t="n"/>
      <c r="C4894" s="114" t="n"/>
      <c r="D4894" s="115" t="n"/>
      <c r="E4894" s="116" t="n"/>
      <c r="F4894" s="115" t="n"/>
      <c r="G4894" s="117">
        <f>IF(COUNTA(B4894:E4894)=0,"",IF(COUNTA(B4894:E4894)&lt;4,"⚠ กรอกไม่ครบ",IF(NOT(ISNUMBER(B4894)),"⚠ วันที่ไม่ถูกต้อง",IF(COUNTIFS(Setup!$L$6:$L$60,D4894,Setup!$M$6:$M$60,C4894)=0,"⚠ หมวดไม่ตรงประเภท","✓"))))</f>
        <v/>
      </c>
    </row>
    <row r="4895">
      <c r="B4895" s="113" t="n"/>
      <c r="C4895" s="114" t="n"/>
      <c r="D4895" s="115" t="n"/>
      <c r="E4895" s="116" t="n"/>
      <c r="F4895" s="115" t="n"/>
      <c r="G4895" s="117">
        <f>IF(COUNTA(B4895:E4895)=0,"",IF(COUNTA(B4895:E4895)&lt;4,"⚠ กรอกไม่ครบ",IF(NOT(ISNUMBER(B4895)),"⚠ วันที่ไม่ถูกต้อง",IF(COUNTIFS(Setup!$L$6:$L$60,D4895,Setup!$M$6:$M$60,C4895)=0,"⚠ หมวดไม่ตรงประเภท","✓"))))</f>
        <v/>
      </c>
    </row>
    <row r="4896">
      <c r="B4896" s="113" t="n"/>
      <c r="C4896" s="114" t="n"/>
      <c r="D4896" s="115" t="n"/>
      <c r="E4896" s="116" t="n"/>
      <c r="F4896" s="115" t="n"/>
      <c r="G4896" s="117">
        <f>IF(COUNTA(B4896:E4896)=0,"",IF(COUNTA(B4896:E4896)&lt;4,"⚠ กรอกไม่ครบ",IF(NOT(ISNUMBER(B4896)),"⚠ วันที่ไม่ถูกต้อง",IF(COUNTIFS(Setup!$L$6:$L$60,D4896,Setup!$M$6:$M$60,C4896)=0,"⚠ หมวดไม่ตรงประเภท","✓"))))</f>
        <v/>
      </c>
    </row>
    <row r="4897">
      <c r="B4897" s="113" t="n"/>
      <c r="C4897" s="114" t="n"/>
      <c r="D4897" s="115" t="n"/>
      <c r="E4897" s="116" t="n"/>
      <c r="F4897" s="115" t="n"/>
      <c r="G4897" s="117">
        <f>IF(COUNTA(B4897:E4897)=0,"",IF(COUNTA(B4897:E4897)&lt;4,"⚠ กรอกไม่ครบ",IF(NOT(ISNUMBER(B4897)),"⚠ วันที่ไม่ถูกต้อง",IF(COUNTIFS(Setup!$L$6:$L$60,D4897,Setup!$M$6:$M$60,C4897)=0,"⚠ หมวดไม่ตรงประเภท","✓"))))</f>
        <v/>
      </c>
    </row>
    <row r="4898">
      <c r="B4898" s="113" t="n"/>
      <c r="C4898" s="114" t="n"/>
      <c r="D4898" s="115" t="n"/>
      <c r="E4898" s="116" t="n"/>
      <c r="F4898" s="115" t="n"/>
      <c r="G4898" s="117">
        <f>IF(COUNTA(B4898:E4898)=0,"",IF(COUNTA(B4898:E4898)&lt;4,"⚠ กรอกไม่ครบ",IF(NOT(ISNUMBER(B4898)),"⚠ วันที่ไม่ถูกต้อง",IF(COUNTIFS(Setup!$L$6:$L$60,D4898,Setup!$M$6:$M$60,C4898)=0,"⚠ หมวดไม่ตรงประเภท","✓"))))</f>
        <v/>
      </c>
    </row>
    <row r="4899">
      <c r="B4899" s="113" t="n"/>
      <c r="C4899" s="114" t="n"/>
      <c r="D4899" s="115" t="n"/>
      <c r="E4899" s="116" t="n"/>
      <c r="F4899" s="115" t="n"/>
      <c r="G4899" s="117">
        <f>IF(COUNTA(B4899:E4899)=0,"",IF(COUNTA(B4899:E4899)&lt;4,"⚠ กรอกไม่ครบ",IF(NOT(ISNUMBER(B4899)),"⚠ วันที่ไม่ถูกต้อง",IF(COUNTIFS(Setup!$L$6:$L$60,D4899,Setup!$M$6:$M$60,C4899)=0,"⚠ หมวดไม่ตรงประเภท","✓"))))</f>
        <v/>
      </c>
    </row>
    <row r="4900">
      <c r="B4900" s="113" t="n"/>
      <c r="C4900" s="114" t="n"/>
      <c r="D4900" s="115" t="n"/>
      <c r="E4900" s="116" t="n"/>
      <c r="F4900" s="115" t="n"/>
      <c r="G4900" s="117">
        <f>IF(COUNTA(B4900:E4900)=0,"",IF(COUNTA(B4900:E4900)&lt;4,"⚠ กรอกไม่ครบ",IF(NOT(ISNUMBER(B4900)),"⚠ วันที่ไม่ถูกต้อง",IF(COUNTIFS(Setup!$L$6:$L$60,D4900,Setup!$M$6:$M$60,C4900)=0,"⚠ หมวดไม่ตรงประเภท","✓"))))</f>
        <v/>
      </c>
    </row>
    <row r="4901">
      <c r="B4901" s="113" t="n"/>
      <c r="C4901" s="114" t="n"/>
      <c r="D4901" s="115" t="n"/>
      <c r="E4901" s="116" t="n"/>
      <c r="F4901" s="115" t="n"/>
      <c r="G4901" s="117">
        <f>IF(COUNTA(B4901:E4901)=0,"",IF(COUNTA(B4901:E4901)&lt;4,"⚠ กรอกไม่ครบ",IF(NOT(ISNUMBER(B4901)),"⚠ วันที่ไม่ถูกต้อง",IF(COUNTIFS(Setup!$L$6:$L$60,D4901,Setup!$M$6:$M$60,C4901)=0,"⚠ หมวดไม่ตรงประเภท","✓"))))</f>
        <v/>
      </c>
    </row>
    <row r="4902">
      <c r="B4902" s="113" t="n"/>
      <c r="C4902" s="114" t="n"/>
      <c r="D4902" s="115" t="n"/>
      <c r="E4902" s="116" t="n"/>
      <c r="F4902" s="115" t="n"/>
      <c r="G4902" s="117">
        <f>IF(COUNTA(B4902:E4902)=0,"",IF(COUNTA(B4902:E4902)&lt;4,"⚠ กรอกไม่ครบ",IF(NOT(ISNUMBER(B4902)),"⚠ วันที่ไม่ถูกต้อง",IF(COUNTIFS(Setup!$L$6:$L$60,D4902,Setup!$M$6:$M$60,C4902)=0,"⚠ หมวดไม่ตรงประเภท","✓"))))</f>
        <v/>
      </c>
    </row>
    <row r="4903">
      <c r="B4903" s="113" t="n"/>
      <c r="C4903" s="114" t="n"/>
      <c r="D4903" s="115" t="n"/>
      <c r="E4903" s="116" t="n"/>
      <c r="F4903" s="115" t="n"/>
      <c r="G4903" s="117">
        <f>IF(COUNTA(B4903:E4903)=0,"",IF(COUNTA(B4903:E4903)&lt;4,"⚠ กรอกไม่ครบ",IF(NOT(ISNUMBER(B4903)),"⚠ วันที่ไม่ถูกต้อง",IF(COUNTIFS(Setup!$L$6:$L$60,D4903,Setup!$M$6:$M$60,C4903)=0,"⚠ หมวดไม่ตรงประเภท","✓"))))</f>
        <v/>
      </c>
    </row>
    <row r="4904">
      <c r="B4904" s="113" t="n"/>
      <c r="C4904" s="114" t="n"/>
      <c r="D4904" s="115" t="n"/>
      <c r="E4904" s="116" t="n"/>
      <c r="F4904" s="115" t="n"/>
      <c r="G4904" s="117">
        <f>IF(COUNTA(B4904:E4904)=0,"",IF(COUNTA(B4904:E4904)&lt;4,"⚠ กรอกไม่ครบ",IF(NOT(ISNUMBER(B4904)),"⚠ วันที่ไม่ถูกต้อง",IF(COUNTIFS(Setup!$L$6:$L$60,D4904,Setup!$M$6:$M$60,C4904)=0,"⚠ หมวดไม่ตรงประเภท","✓"))))</f>
        <v/>
      </c>
    </row>
    <row r="4905">
      <c r="B4905" s="113" t="n"/>
      <c r="C4905" s="114" t="n"/>
      <c r="D4905" s="115" t="n"/>
      <c r="E4905" s="116" t="n"/>
      <c r="F4905" s="115" t="n"/>
      <c r="G4905" s="117">
        <f>IF(COUNTA(B4905:E4905)=0,"",IF(COUNTA(B4905:E4905)&lt;4,"⚠ กรอกไม่ครบ",IF(NOT(ISNUMBER(B4905)),"⚠ วันที่ไม่ถูกต้อง",IF(COUNTIFS(Setup!$L$6:$L$60,D4905,Setup!$M$6:$M$60,C4905)=0,"⚠ หมวดไม่ตรงประเภท","✓"))))</f>
        <v/>
      </c>
    </row>
    <row r="4906">
      <c r="B4906" s="113" t="n"/>
      <c r="C4906" s="114" t="n"/>
      <c r="D4906" s="115" t="n"/>
      <c r="E4906" s="116" t="n"/>
      <c r="F4906" s="115" t="n"/>
      <c r="G4906" s="117">
        <f>IF(COUNTA(B4906:E4906)=0,"",IF(COUNTA(B4906:E4906)&lt;4,"⚠ กรอกไม่ครบ",IF(NOT(ISNUMBER(B4906)),"⚠ วันที่ไม่ถูกต้อง",IF(COUNTIFS(Setup!$L$6:$L$60,D4906,Setup!$M$6:$M$60,C4906)=0,"⚠ หมวดไม่ตรงประเภท","✓"))))</f>
        <v/>
      </c>
    </row>
    <row r="4907">
      <c r="B4907" s="113" t="n"/>
      <c r="C4907" s="114" t="n"/>
      <c r="D4907" s="115" t="n"/>
      <c r="E4907" s="116" t="n"/>
      <c r="F4907" s="115" t="n"/>
      <c r="G4907" s="117">
        <f>IF(COUNTA(B4907:E4907)=0,"",IF(COUNTA(B4907:E4907)&lt;4,"⚠ กรอกไม่ครบ",IF(NOT(ISNUMBER(B4907)),"⚠ วันที่ไม่ถูกต้อง",IF(COUNTIFS(Setup!$L$6:$L$60,D4907,Setup!$M$6:$M$60,C4907)=0,"⚠ หมวดไม่ตรงประเภท","✓"))))</f>
        <v/>
      </c>
    </row>
    <row r="4908">
      <c r="B4908" s="113" t="n"/>
      <c r="C4908" s="114" t="n"/>
      <c r="D4908" s="115" t="n"/>
      <c r="E4908" s="116" t="n"/>
      <c r="F4908" s="115" t="n"/>
      <c r="G4908" s="117">
        <f>IF(COUNTA(B4908:E4908)=0,"",IF(COUNTA(B4908:E4908)&lt;4,"⚠ กรอกไม่ครบ",IF(NOT(ISNUMBER(B4908)),"⚠ วันที่ไม่ถูกต้อง",IF(COUNTIFS(Setup!$L$6:$L$60,D4908,Setup!$M$6:$M$60,C4908)=0,"⚠ หมวดไม่ตรงประเภท","✓"))))</f>
        <v/>
      </c>
    </row>
    <row r="4909">
      <c r="B4909" s="113" t="n"/>
      <c r="C4909" s="114" t="n"/>
      <c r="D4909" s="115" t="n"/>
      <c r="E4909" s="116" t="n"/>
      <c r="F4909" s="115" t="n"/>
      <c r="G4909" s="117">
        <f>IF(COUNTA(B4909:E4909)=0,"",IF(COUNTA(B4909:E4909)&lt;4,"⚠ กรอกไม่ครบ",IF(NOT(ISNUMBER(B4909)),"⚠ วันที่ไม่ถูกต้อง",IF(COUNTIFS(Setup!$L$6:$L$60,D4909,Setup!$M$6:$M$60,C4909)=0,"⚠ หมวดไม่ตรงประเภท","✓"))))</f>
        <v/>
      </c>
    </row>
    <row r="4910">
      <c r="B4910" s="113" t="n"/>
      <c r="C4910" s="114" t="n"/>
      <c r="D4910" s="115" t="n"/>
      <c r="E4910" s="116" t="n"/>
      <c r="F4910" s="115" t="n"/>
      <c r="G4910" s="117">
        <f>IF(COUNTA(B4910:E4910)=0,"",IF(COUNTA(B4910:E4910)&lt;4,"⚠ กรอกไม่ครบ",IF(NOT(ISNUMBER(B4910)),"⚠ วันที่ไม่ถูกต้อง",IF(COUNTIFS(Setup!$L$6:$L$60,D4910,Setup!$M$6:$M$60,C4910)=0,"⚠ หมวดไม่ตรงประเภท","✓"))))</f>
        <v/>
      </c>
    </row>
    <row r="4911">
      <c r="B4911" s="113" t="n"/>
      <c r="C4911" s="114" t="n"/>
      <c r="D4911" s="115" t="n"/>
      <c r="E4911" s="116" t="n"/>
      <c r="F4911" s="115" t="n"/>
      <c r="G4911" s="117">
        <f>IF(COUNTA(B4911:E4911)=0,"",IF(COUNTA(B4911:E4911)&lt;4,"⚠ กรอกไม่ครบ",IF(NOT(ISNUMBER(B4911)),"⚠ วันที่ไม่ถูกต้อง",IF(COUNTIFS(Setup!$L$6:$L$60,D4911,Setup!$M$6:$M$60,C4911)=0,"⚠ หมวดไม่ตรงประเภท","✓"))))</f>
        <v/>
      </c>
    </row>
    <row r="4912">
      <c r="B4912" s="113" t="n"/>
      <c r="C4912" s="114" t="n"/>
      <c r="D4912" s="115" t="n"/>
      <c r="E4912" s="116" t="n"/>
      <c r="F4912" s="115" t="n"/>
      <c r="G4912" s="117">
        <f>IF(COUNTA(B4912:E4912)=0,"",IF(COUNTA(B4912:E4912)&lt;4,"⚠ กรอกไม่ครบ",IF(NOT(ISNUMBER(B4912)),"⚠ วันที่ไม่ถูกต้อง",IF(COUNTIFS(Setup!$L$6:$L$60,D4912,Setup!$M$6:$M$60,C4912)=0,"⚠ หมวดไม่ตรงประเภท","✓"))))</f>
        <v/>
      </c>
    </row>
    <row r="4913">
      <c r="B4913" s="113" t="n"/>
      <c r="C4913" s="114" t="n"/>
      <c r="D4913" s="115" t="n"/>
      <c r="E4913" s="116" t="n"/>
      <c r="F4913" s="115" t="n"/>
      <c r="G4913" s="117">
        <f>IF(COUNTA(B4913:E4913)=0,"",IF(COUNTA(B4913:E4913)&lt;4,"⚠ กรอกไม่ครบ",IF(NOT(ISNUMBER(B4913)),"⚠ วันที่ไม่ถูกต้อง",IF(COUNTIFS(Setup!$L$6:$L$60,D4913,Setup!$M$6:$M$60,C4913)=0,"⚠ หมวดไม่ตรงประเภท","✓"))))</f>
        <v/>
      </c>
    </row>
    <row r="4914">
      <c r="B4914" s="113" t="n"/>
      <c r="C4914" s="114" t="n"/>
      <c r="D4914" s="115" t="n"/>
      <c r="E4914" s="116" t="n"/>
      <c r="F4914" s="115" t="n"/>
      <c r="G4914" s="117">
        <f>IF(COUNTA(B4914:E4914)=0,"",IF(COUNTA(B4914:E4914)&lt;4,"⚠ กรอกไม่ครบ",IF(NOT(ISNUMBER(B4914)),"⚠ วันที่ไม่ถูกต้อง",IF(COUNTIFS(Setup!$L$6:$L$60,D4914,Setup!$M$6:$M$60,C4914)=0,"⚠ หมวดไม่ตรงประเภท","✓"))))</f>
        <v/>
      </c>
    </row>
    <row r="4915">
      <c r="B4915" s="113" t="n"/>
      <c r="C4915" s="114" t="n"/>
      <c r="D4915" s="115" t="n"/>
      <c r="E4915" s="116" t="n"/>
      <c r="F4915" s="115" t="n"/>
      <c r="G4915" s="117">
        <f>IF(COUNTA(B4915:E4915)=0,"",IF(COUNTA(B4915:E4915)&lt;4,"⚠ กรอกไม่ครบ",IF(NOT(ISNUMBER(B4915)),"⚠ วันที่ไม่ถูกต้อง",IF(COUNTIFS(Setup!$L$6:$L$60,D4915,Setup!$M$6:$M$60,C4915)=0,"⚠ หมวดไม่ตรงประเภท","✓"))))</f>
        <v/>
      </c>
    </row>
    <row r="4916">
      <c r="B4916" s="113" t="n"/>
      <c r="C4916" s="114" t="n"/>
      <c r="D4916" s="115" t="n"/>
      <c r="E4916" s="116" t="n"/>
      <c r="F4916" s="115" t="n"/>
      <c r="G4916" s="117">
        <f>IF(COUNTA(B4916:E4916)=0,"",IF(COUNTA(B4916:E4916)&lt;4,"⚠ กรอกไม่ครบ",IF(NOT(ISNUMBER(B4916)),"⚠ วันที่ไม่ถูกต้อง",IF(COUNTIFS(Setup!$L$6:$L$60,D4916,Setup!$M$6:$M$60,C4916)=0,"⚠ หมวดไม่ตรงประเภท","✓"))))</f>
        <v/>
      </c>
    </row>
    <row r="4917">
      <c r="B4917" s="113" t="n"/>
      <c r="C4917" s="114" t="n"/>
      <c r="D4917" s="115" t="n"/>
      <c r="E4917" s="116" t="n"/>
      <c r="F4917" s="115" t="n"/>
      <c r="G4917" s="117">
        <f>IF(COUNTA(B4917:E4917)=0,"",IF(COUNTA(B4917:E4917)&lt;4,"⚠ กรอกไม่ครบ",IF(NOT(ISNUMBER(B4917)),"⚠ วันที่ไม่ถูกต้อง",IF(COUNTIFS(Setup!$L$6:$L$60,D4917,Setup!$M$6:$M$60,C4917)=0,"⚠ หมวดไม่ตรงประเภท","✓"))))</f>
        <v/>
      </c>
    </row>
    <row r="4918">
      <c r="B4918" s="113" t="n"/>
      <c r="C4918" s="114" t="n"/>
      <c r="D4918" s="115" t="n"/>
      <c r="E4918" s="116" t="n"/>
      <c r="F4918" s="115" t="n"/>
      <c r="G4918" s="117">
        <f>IF(COUNTA(B4918:E4918)=0,"",IF(COUNTA(B4918:E4918)&lt;4,"⚠ กรอกไม่ครบ",IF(NOT(ISNUMBER(B4918)),"⚠ วันที่ไม่ถูกต้อง",IF(COUNTIFS(Setup!$L$6:$L$60,D4918,Setup!$M$6:$M$60,C4918)=0,"⚠ หมวดไม่ตรงประเภท","✓"))))</f>
        <v/>
      </c>
    </row>
    <row r="4919">
      <c r="B4919" s="113" t="n"/>
      <c r="C4919" s="114" t="n"/>
      <c r="D4919" s="115" t="n"/>
      <c r="E4919" s="116" t="n"/>
      <c r="F4919" s="115" t="n"/>
      <c r="G4919" s="117">
        <f>IF(COUNTA(B4919:E4919)=0,"",IF(COUNTA(B4919:E4919)&lt;4,"⚠ กรอกไม่ครบ",IF(NOT(ISNUMBER(B4919)),"⚠ วันที่ไม่ถูกต้อง",IF(COUNTIFS(Setup!$L$6:$L$60,D4919,Setup!$M$6:$M$60,C4919)=0,"⚠ หมวดไม่ตรงประเภท","✓"))))</f>
        <v/>
      </c>
    </row>
    <row r="4920">
      <c r="B4920" s="113" t="n"/>
      <c r="C4920" s="114" t="n"/>
      <c r="D4920" s="115" t="n"/>
      <c r="E4920" s="116" t="n"/>
      <c r="F4920" s="115" t="n"/>
      <c r="G4920" s="117">
        <f>IF(COUNTA(B4920:E4920)=0,"",IF(COUNTA(B4920:E4920)&lt;4,"⚠ กรอกไม่ครบ",IF(NOT(ISNUMBER(B4920)),"⚠ วันที่ไม่ถูกต้อง",IF(COUNTIFS(Setup!$L$6:$L$60,D4920,Setup!$M$6:$M$60,C4920)=0,"⚠ หมวดไม่ตรงประเภท","✓"))))</f>
        <v/>
      </c>
    </row>
    <row r="4921">
      <c r="B4921" s="113" t="n"/>
      <c r="C4921" s="114" t="n"/>
      <c r="D4921" s="115" t="n"/>
      <c r="E4921" s="116" t="n"/>
      <c r="F4921" s="115" t="n"/>
      <c r="G4921" s="117">
        <f>IF(COUNTA(B4921:E4921)=0,"",IF(COUNTA(B4921:E4921)&lt;4,"⚠ กรอกไม่ครบ",IF(NOT(ISNUMBER(B4921)),"⚠ วันที่ไม่ถูกต้อง",IF(COUNTIFS(Setup!$L$6:$L$60,D4921,Setup!$M$6:$M$60,C4921)=0,"⚠ หมวดไม่ตรงประเภท","✓"))))</f>
        <v/>
      </c>
    </row>
    <row r="4922">
      <c r="B4922" s="113" t="n"/>
      <c r="C4922" s="114" t="n"/>
      <c r="D4922" s="115" t="n"/>
      <c r="E4922" s="116" t="n"/>
      <c r="F4922" s="115" t="n"/>
      <c r="G4922" s="117">
        <f>IF(COUNTA(B4922:E4922)=0,"",IF(COUNTA(B4922:E4922)&lt;4,"⚠ กรอกไม่ครบ",IF(NOT(ISNUMBER(B4922)),"⚠ วันที่ไม่ถูกต้อง",IF(COUNTIFS(Setup!$L$6:$L$60,D4922,Setup!$M$6:$M$60,C4922)=0,"⚠ หมวดไม่ตรงประเภท","✓"))))</f>
        <v/>
      </c>
    </row>
    <row r="4923">
      <c r="B4923" s="113" t="n"/>
      <c r="C4923" s="114" t="n"/>
      <c r="D4923" s="115" t="n"/>
      <c r="E4923" s="116" t="n"/>
      <c r="F4923" s="115" t="n"/>
      <c r="G4923" s="117">
        <f>IF(COUNTA(B4923:E4923)=0,"",IF(COUNTA(B4923:E4923)&lt;4,"⚠ กรอกไม่ครบ",IF(NOT(ISNUMBER(B4923)),"⚠ วันที่ไม่ถูกต้อง",IF(COUNTIFS(Setup!$L$6:$L$60,D4923,Setup!$M$6:$M$60,C4923)=0,"⚠ หมวดไม่ตรงประเภท","✓"))))</f>
        <v/>
      </c>
    </row>
    <row r="4924">
      <c r="B4924" s="113" t="n"/>
      <c r="C4924" s="114" t="n"/>
      <c r="D4924" s="115" t="n"/>
      <c r="E4924" s="116" t="n"/>
      <c r="F4924" s="115" t="n"/>
      <c r="G4924" s="117">
        <f>IF(COUNTA(B4924:E4924)=0,"",IF(COUNTA(B4924:E4924)&lt;4,"⚠ กรอกไม่ครบ",IF(NOT(ISNUMBER(B4924)),"⚠ วันที่ไม่ถูกต้อง",IF(COUNTIFS(Setup!$L$6:$L$60,D4924,Setup!$M$6:$M$60,C4924)=0,"⚠ หมวดไม่ตรงประเภท","✓"))))</f>
        <v/>
      </c>
    </row>
    <row r="4925">
      <c r="B4925" s="113" t="n"/>
      <c r="C4925" s="114" t="n"/>
      <c r="D4925" s="115" t="n"/>
      <c r="E4925" s="116" t="n"/>
      <c r="F4925" s="115" t="n"/>
      <c r="G4925" s="117">
        <f>IF(COUNTA(B4925:E4925)=0,"",IF(COUNTA(B4925:E4925)&lt;4,"⚠ กรอกไม่ครบ",IF(NOT(ISNUMBER(B4925)),"⚠ วันที่ไม่ถูกต้อง",IF(COUNTIFS(Setup!$L$6:$L$60,D4925,Setup!$M$6:$M$60,C4925)=0,"⚠ หมวดไม่ตรงประเภท","✓"))))</f>
        <v/>
      </c>
    </row>
    <row r="4926">
      <c r="B4926" s="113" t="n"/>
      <c r="C4926" s="114" t="n"/>
      <c r="D4926" s="115" t="n"/>
      <c r="E4926" s="116" t="n"/>
      <c r="F4926" s="115" t="n"/>
      <c r="G4926" s="117">
        <f>IF(COUNTA(B4926:E4926)=0,"",IF(COUNTA(B4926:E4926)&lt;4,"⚠ กรอกไม่ครบ",IF(NOT(ISNUMBER(B4926)),"⚠ วันที่ไม่ถูกต้อง",IF(COUNTIFS(Setup!$L$6:$L$60,D4926,Setup!$M$6:$M$60,C4926)=0,"⚠ หมวดไม่ตรงประเภท","✓"))))</f>
        <v/>
      </c>
    </row>
    <row r="4927">
      <c r="B4927" s="113" t="n"/>
      <c r="C4927" s="114" t="n"/>
      <c r="D4927" s="115" t="n"/>
      <c r="E4927" s="116" t="n"/>
      <c r="F4927" s="115" t="n"/>
      <c r="G4927" s="117">
        <f>IF(COUNTA(B4927:E4927)=0,"",IF(COUNTA(B4927:E4927)&lt;4,"⚠ กรอกไม่ครบ",IF(NOT(ISNUMBER(B4927)),"⚠ วันที่ไม่ถูกต้อง",IF(COUNTIFS(Setup!$L$6:$L$60,D4927,Setup!$M$6:$M$60,C4927)=0,"⚠ หมวดไม่ตรงประเภท","✓"))))</f>
        <v/>
      </c>
    </row>
    <row r="4928">
      <c r="B4928" s="113" t="n"/>
      <c r="C4928" s="114" t="n"/>
      <c r="D4928" s="115" t="n"/>
      <c r="E4928" s="116" t="n"/>
      <c r="F4928" s="115" t="n"/>
      <c r="G4928" s="117">
        <f>IF(COUNTA(B4928:E4928)=0,"",IF(COUNTA(B4928:E4928)&lt;4,"⚠ กรอกไม่ครบ",IF(NOT(ISNUMBER(B4928)),"⚠ วันที่ไม่ถูกต้อง",IF(COUNTIFS(Setup!$L$6:$L$60,D4928,Setup!$M$6:$M$60,C4928)=0,"⚠ หมวดไม่ตรงประเภท","✓"))))</f>
        <v/>
      </c>
    </row>
    <row r="4929">
      <c r="B4929" s="113" t="n"/>
      <c r="C4929" s="114" t="n"/>
      <c r="D4929" s="115" t="n"/>
      <c r="E4929" s="116" t="n"/>
      <c r="F4929" s="115" t="n"/>
      <c r="G4929" s="117">
        <f>IF(COUNTA(B4929:E4929)=0,"",IF(COUNTA(B4929:E4929)&lt;4,"⚠ กรอกไม่ครบ",IF(NOT(ISNUMBER(B4929)),"⚠ วันที่ไม่ถูกต้อง",IF(COUNTIFS(Setup!$L$6:$L$60,D4929,Setup!$M$6:$M$60,C4929)=0,"⚠ หมวดไม่ตรงประเภท","✓"))))</f>
        <v/>
      </c>
    </row>
    <row r="4930">
      <c r="B4930" s="113" t="n"/>
      <c r="C4930" s="114" t="n"/>
      <c r="D4930" s="115" t="n"/>
      <c r="E4930" s="116" t="n"/>
      <c r="F4930" s="115" t="n"/>
      <c r="G4930" s="117">
        <f>IF(COUNTA(B4930:E4930)=0,"",IF(COUNTA(B4930:E4930)&lt;4,"⚠ กรอกไม่ครบ",IF(NOT(ISNUMBER(B4930)),"⚠ วันที่ไม่ถูกต้อง",IF(COUNTIFS(Setup!$L$6:$L$60,D4930,Setup!$M$6:$M$60,C4930)=0,"⚠ หมวดไม่ตรงประเภท","✓"))))</f>
        <v/>
      </c>
    </row>
    <row r="4931">
      <c r="B4931" s="113" t="n"/>
      <c r="C4931" s="114" t="n"/>
      <c r="D4931" s="115" t="n"/>
      <c r="E4931" s="116" t="n"/>
      <c r="F4931" s="115" t="n"/>
      <c r="G4931" s="117">
        <f>IF(COUNTA(B4931:E4931)=0,"",IF(COUNTA(B4931:E4931)&lt;4,"⚠ กรอกไม่ครบ",IF(NOT(ISNUMBER(B4931)),"⚠ วันที่ไม่ถูกต้อง",IF(COUNTIFS(Setup!$L$6:$L$60,D4931,Setup!$M$6:$M$60,C4931)=0,"⚠ หมวดไม่ตรงประเภท","✓"))))</f>
        <v/>
      </c>
    </row>
    <row r="4932">
      <c r="B4932" s="113" t="n"/>
      <c r="C4932" s="114" t="n"/>
      <c r="D4932" s="115" t="n"/>
      <c r="E4932" s="116" t="n"/>
      <c r="F4932" s="115" t="n"/>
      <c r="G4932" s="117">
        <f>IF(COUNTA(B4932:E4932)=0,"",IF(COUNTA(B4932:E4932)&lt;4,"⚠ กรอกไม่ครบ",IF(NOT(ISNUMBER(B4932)),"⚠ วันที่ไม่ถูกต้อง",IF(COUNTIFS(Setup!$L$6:$L$60,D4932,Setup!$M$6:$M$60,C4932)=0,"⚠ หมวดไม่ตรงประเภท","✓"))))</f>
        <v/>
      </c>
    </row>
    <row r="4933">
      <c r="B4933" s="113" t="n"/>
      <c r="C4933" s="114" t="n"/>
      <c r="D4933" s="115" t="n"/>
      <c r="E4933" s="116" t="n"/>
      <c r="F4933" s="115" t="n"/>
      <c r="G4933" s="117">
        <f>IF(COUNTA(B4933:E4933)=0,"",IF(COUNTA(B4933:E4933)&lt;4,"⚠ กรอกไม่ครบ",IF(NOT(ISNUMBER(B4933)),"⚠ วันที่ไม่ถูกต้อง",IF(COUNTIFS(Setup!$L$6:$L$60,D4933,Setup!$M$6:$M$60,C4933)=0,"⚠ หมวดไม่ตรงประเภท","✓"))))</f>
        <v/>
      </c>
    </row>
    <row r="4934">
      <c r="B4934" s="113" t="n"/>
      <c r="C4934" s="114" t="n"/>
      <c r="D4934" s="115" t="n"/>
      <c r="E4934" s="116" t="n"/>
      <c r="F4934" s="115" t="n"/>
      <c r="G4934" s="117">
        <f>IF(COUNTA(B4934:E4934)=0,"",IF(COUNTA(B4934:E4934)&lt;4,"⚠ กรอกไม่ครบ",IF(NOT(ISNUMBER(B4934)),"⚠ วันที่ไม่ถูกต้อง",IF(COUNTIFS(Setup!$L$6:$L$60,D4934,Setup!$M$6:$M$60,C4934)=0,"⚠ หมวดไม่ตรงประเภท","✓"))))</f>
        <v/>
      </c>
    </row>
    <row r="4935">
      <c r="B4935" s="113" t="n"/>
      <c r="C4935" s="114" t="n"/>
      <c r="D4935" s="115" t="n"/>
      <c r="E4935" s="116" t="n"/>
      <c r="F4935" s="115" t="n"/>
      <c r="G4935" s="117">
        <f>IF(COUNTA(B4935:E4935)=0,"",IF(COUNTA(B4935:E4935)&lt;4,"⚠ กรอกไม่ครบ",IF(NOT(ISNUMBER(B4935)),"⚠ วันที่ไม่ถูกต้อง",IF(COUNTIFS(Setup!$L$6:$L$60,D4935,Setup!$M$6:$M$60,C4935)=0,"⚠ หมวดไม่ตรงประเภท","✓"))))</f>
        <v/>
      </c>
    </row>
    <row r="4936">
      <c r="B4936" s="113" t="n"/>
      <c r="C4936" s="114" t="n"/>
      <c r="D4936" s="115" t="n"/>
      <c r="E4936" s="116" t="n"/>
      <c r="F4936" s="115" t="n"/>
      <c r="G4936" s="117">
        <f>IF(COUNTA(B4936:E4936)=0,"",IF(COUNTA(B4936:E4936)&lt;4,"⚠ กรอกไม่ครบ",IF(NOT(ISNUMBER(B4936)),"⚠ วันที่ไม่ถูกต้อง",IF(COUNTIFS(Setup!$L$6:$L$60,D4936,Setup!$M$6:$M$60,C4936)=0,"⚠ หมวดไม่ตรงประเภท","✓"))))</f>
        <v/>
      </c>
    </row>
    <row r="4937">
      <c r="B4937" s="113" t="n"/>
      <c r="C4937" s="114" t="n"/>
      <c r="D4937" s="115" t="n"/>
      <c r="E4937" s="116" t="n"/>
      <c r="F4937" s="115" t="n"/>
      <c r="G4937" s="117">
        <f>IF(COUNTA(B4937:E4937)=0,"",IF(COUNTA(B4937:E4937)&lt;4,"⚠ กรอกไม่ครบ",IF(NOT(ISNUMBER(B4937)),"⚠ วันที่ไม่ถูกต้อง",IF(COUNTIFS(Setup!$L$6:$L$60,D4937,Setup!$M$6:$M$60,C4937)=0,"⚠ หมวดไม่ตรงประเภท","✓"))))</f>
        <v/>
      </c>
    </row>
    <row r="4938">
      <c r="B4938" s="113" t="n"/>
      <c r="C4938" s="114" t="n"/>
      <c r="D4938" s="115" t="n"/>
      <c r="E4938" s="116" t="n"/>
      <c r="F4938" s="115" t="n"/>
      <c r="G4938" s="117">
        <f>IF(COUNTA(B4938:E4938)=0,"",IF(COUNTA(B4938:E4938)&lt;4,"⚠ กรอกไม่ครบ",IF(NOT(ISNUMBER(B4938)),"⚠ วันที่ไม่ถูกต้อง",IF(COUNTIFS(Setup!$L$6:$L$60,D4938,Setup!$M$6:$M$60,C4938)=0,"⚠ หมวดไม่ตรงประเภท","✓"))))</f>
        <v/>
      </c>
    </row>
    <row r="4939">
      <c r="B4939" s="113" t="n"/>
      <c r="C4939" s="114" t="n"/>
      <c r="D4939" s="115" t="n"/>
      <c r="E4939" s="116" t="n"/>
      <c r="F4939" s="115" t="n"/>
      <c r="G4939" s="117">
        <f>IF(COUNTA(B4939:E4939)=0,"",IF(COUNTA(B4939:E4939)&lt;4,"⚠ กรอกไม่ครบ",IF(NOT(ISNUMBER(B4939)),"⚠ วันที่ไม่ถูกต้อง",IF(COUNTIFS(Setup!$L$6:$L$60,D4939,Setup!$M$6:$M$60,C4939)=0,"⚠ หมวดไม่ตรงประเภท","✓"))))</f>
        <v/>
      </c>
    </row>
    <row r="4940">
      <c r="B4940" s="113" t="n"/>
      <c r="C4940" s="114" t="n"/>
      <c r="D4940" s="115" t="n"/>
      <c r="E4940" s="116" t="n"/>
      <c r="F4940" s="115" t="n"/>
      <c r="G4940" s="117">
        <f>IF(COUNTA(B4940:E4940)=0,"",IF(COUNTA(B4940:E4940)&lt;4,"⚠ กรอกไม่ครบ",IF(NOT(ISNUMBER(B4940)),"⚠ วันที่ไม่ถูกต้อง",IF(COUNTIFS(Setup!$L$6:$L$60,D4940,Setup!$M$6:$M$60,C4940)=0,"⚠ หมวดไม่ตรงประเภท","✓"))))</f>
        <v/>
      </c>
    </row>
    <row r="4941">
      <c r="B4941" s="113" t="n"/>
      <c r="C4941" s="114" t="n"/>
      <c r="D4941" s="115" t="n"/>
      <c r="E4941" s="116" t="n"/>
      <c r="F4941" s="115" t="n"/>
      <c r="G4941" s="117">
        <f>IF(COUNTA(B4941:E4941)=0,"",IF(COUNTA(B4941:E4941)&lt;4,"⚠ กรอกไม่ครบ",IF(NOT(ISNUMBER(B4941)),"⚠ วันที่ไม่ถูกต้อง",IF(COUNTIFS(Setup!$L$6:$L$60,D4941,Setup!$M$6:$M$60,C4941)=0,"⚠ หมวดไม่ตรงประเภท","✓"))))</f>
        <v/>
      </c>
    </row>
    <row r="4942">
      <c r="B4942" s="113" t="n"/>
      <c r="C4942" s="114" t="n"/>
      <c r="D4942" s="115" t="n"/>
      <c r="E4942" s="116" t="n"/>
      <c r="F4942" s="115" t="n"/>
      <c r="G4942" s="117">
        <f>IF(COUNTA(B4942:E4942)=0,"",IF(COUNTA(B4942:E4942)&lt;4,"⚠ กรอกไม่ครบ",IF(NOT(ISNUMBER(B4942)),"⚠ วันที่ไม่ถูกต้อง",IF(COUNTIFS(Setup!$L$6:$L$60,D4942,Setup!$M$6:$M$60,C4942)=0,"⚠ หมวดไม่ตรงประเภท","✓"))))</f>
        <v/>
      </c>
    </row>
    <row r="4943">
      <c r="B4943" s="113" t="n"/>
      <c r="C4943" s="114" t="n"/>
      <c r="D4943" s="115" t="n"/>
      <c r="E4943" s="116" t="n"/>
      <c r="F4943" s="115" t="n"/>
      <c r="G4943" s="117">
        <f>IF(COUNTA(B4943:E4943)=0,"",IF(COUNTA(B4943:E4943)&lt;4,"⚠ กรอกไม่ครบ",IF(NOT(ISNUMBER(B4943)),"⚠ วันที่ไม่ถูกต้อง",IF(COUNTIFS(Setup!$L$6:$L$60,D4943,Setup!$M$6:$M$60,C4943)=0,"⚠ หมวดไม่ตรงประเภท","✓"))))</f>
        <v/>
      </c>
    </row>
    <row r="4944">
      <c r="B4944" s="113" t="n"/>
      <c r="C4944" s="114" t="n"/>
      <c r="D4944" s="115" t="n"/>
      <c r="E4944" s="116" t="n"/>
      <c r="F4944" s="115" t="n"/>
      <c r="G4944" s="117">
        <f>IF(COUNTA(B4944:E4944)=0,"",IF(COUNTA(B4944:E4944)&lt;4,"⚠ กรอกไม่ครบ",IF(NOT(ISNUMBER(B4944)),"⚠ วันที่ไม่ถูกต้อง",IF(COUNTIFS(Setup!$L$6:$L$60,D4944,Setup!$M$6:$M$60,C4944)=0,"⚠ หมวดไม่ตรงประเภท","✓"))))</f>
        <v/>
      </c>
    </row>
    <row r="4945">
      <c r="B4945" s="113" t="n"/>
      <c r="C4945" s="114" t="n"/>
      <c r="D4945" s="115" t="n"/>
      <c r="E4945" s="116" t="n"/>
      <c r="F4945" s="115" t="n"/>
      <c r="G4945" s="117">
        <f>IF(COUNTA(B4945:E4945)=0,"",IF(COUNTA(B4945:E4945)&lt;4,"⚠ กรอกไม่ครบ",IF(NOT(ISNUMBER(B4945)),"⚠ วันที่ไม่ถูกต้อง",IF(COUNTIFS(Setup!$L$6:$L$60,D4945,Setup!$M$6:$M$60,C4945)=0,"⚠ หมวดไม่ตรงประเภท","✓"))))</f>
        <v/>
      </c>
    </row>
    <row r="4946">
      <c r="B4946" s="113" t="n"/>
      <c r="C4946" s="114" t="n"/>
      <c r="D4946" s="115" t="n"/>
      <c r="E4946" s="116" t="n"/>
      <c r="F4946" s="115" t="n"/>
      <c r="G4946" s="117">
        <f>IF(COUNTA(B4946:E4946)=0,"",IF(COUNTA(B4946:E4946)&lt;4,"⚠ กรอกไม่ครบ",IF(NOT(ISNUMBER(B4946)),"⚠ วันที่ไม่ถูกต้อง",IF(COUNTIFS(Setup!$L$6:$L$60,D4946,Setup!$M$6:$M$60,C4946)=0,"⚠ หมวดไม่ตรงประเภท","✓"))))</f>
        <v/>
      </c>
    </row>
    <row r="4947">
      <c r="B4947" s="113" t="n"/>
      <c r="C4947" s="114" t="n"/>
      <c r="D4947" s="115" t="n"/>
      <c r="E4947" s="116" t="n"/>
      <c r="F4947" s="115" t="n"/>
      <c r="G4947" s="117">
        <f>IF(COUNTA(B4947:E4947)=0,"",IF(COUNTA(B4947:E4947)&lt;4,"⚠ กรอกไม่ครบ",IF(NOT(ISNUMBER(B4947)),"⚠ วันที่ไม่ถูกต้อง",IF(COUNTIFS(Setup!$L$6:$L$60,D4947,Setup!$M$6:$M$60,C4947)=0,"⚠ หมวดไม่ตรงประเภท","✓"))))</f>
        <v/>
      </c>
    </row>
    <row r="4948">
      <c r="B4948" s="113" t="n"/>
      <c r="C4948" s="114" t="n"/>
      <c r="D4948" s="115" t="n"/>
      <c r="E4948" s="116" t="n"/>
      <c r="F4948" s="115" t="n"/>
      <c r="G4948" s="117">
        <f>IF(COUNTA(B4948:E4948)=0,"",IF(COUNTA(B4948:E4948)&lt;4,"⚠ กรอกไม่ครบ",IF(NOT(ISNUMBER(B4948)),"⚠ วันที่ไม่ถูกต้อง",IF(COUNTIFS(Setup!$L$6:$L$60,D4948,Setup!$M$6:$M$60,C4948)=0,"⚠ หมวดไม่ตรงประเภท","✓"))))</f>
        <v/>
      </c>
    </row>
    <row r="4949">
      <c r="B4949" s="113" t="n"/>
      <c r="C4949" s="114" t="n"/>
      <c r="D4949" s="115" t="n"/>
      <c r="E4949" s="116" t="n"/>
      <c r="F4949" s="115" t="n"/>
      <c r="G4949" s="117">
        <f>IF(COUNTA(B4949:E4949)=0,"",IF(COUNTA(B4949:E4949)&lt;4,"⚠ กรอกไม่ครบ",IF(NOT(ISNUMBER(B4949)),"⚠ วันที่ไม่ถูกต้อง",IF(COUNTIFS(Setup!$L$6:$L$60,D4949,Setup!$M$6:$M$60,C4949)=0,"⚠ หมวดไม่ตรงประเภท","✓"))))</f>
        <v/>
      </c>
    </row>
    <row r="4950">
      <c r="B4950" s="113" t="n"/>
      <c r="C4950" s="114" t="n"/>
      <c r="D4950" s="115" t="n"/>
      <c r="E4950" s="116" t="n"/>
      <c r="F4950" s="115" t="n"/>
      <c r="G4950" s="117">
        <f>IF(COUNTA(B4950:E4950)=0,"",IF(COUNTA(B4950:E4950)&lt;4,"⚠ กรอกไม่ครบ",IF(NOT(ISNUMBER(B4950)),"⚠ วันที่ไม่ถูกต้อง",IF(COUNTIFS(Setup!$L$6:$L$60,D4950,Setup!$M$6:$M$60,C4950)=0,"⚠ หมวดไม่ตรงประเภท","✓"))))</f>
        <v/>
      </c>
    </row>
    <row r="4951">
      <c r="B4951" s="113" t="n"/>
      <c r="C4951" s="114" t="n"/>
      <c r="D4951" s="115" t="n"/>
      <c r="E4951" s="116" t="n"/>
      <c r="F4951" s="115" t="n"/>
      <c r="G4951" s="117">
        <f>IF(COUNTA(B4951:E4951)=0,"",IF(COUNTA(B4951:E4951)&lt;4,"⚠ กรอกไม่ครบ",IF(NOT(ISNUMBER(B4951)),"⚠ วันที่ไม่ถูกต้อง",IF(COUNTIFS(Setup!$L$6:$L$60,D4951,Setup!$M$6:$M$60,C4951)=0,"⚠ หมวดไม่ตรงประเภท","✓"))))</f>
        <v/>
      </c>
    </row>
    <row r="4952">
      <c r="B4952" s="113" t="n"/>
      <c r="C4952" s="114" t="n"/>
      <c r="D4952" s="115" t="n"/>
      <c r="E4952" s="116" t="n"/>
      <c r="F4952" s="115" t="n"/>
      <c r="G4952" s="117">
        <f>IF(COUNTA(B4952:E4952)=0,"",IF(COUNTA(B4952:E4952)&lt;4,"⚠ กรอกไม่ครบ",IF(NOT(ISNUMBER(B4952)),"⚠ วันที่ไม่ถูกต้อง",IF(COUNTIFS(Setup!$L$6:$L$60,D4952,Setup!$M$6:$M$60,C4952)=0,"⚠ หมวดไม่ตรงประเภท","✓"))))</f>
        <v/>
      </c>
    </row>
    <row r="4953">
      <c r="B4953" s="113" t="n"/>
      <c r="C4953" s="114" t="n"/>
      <c r="D4953" s="115" t="n"/>
      <c r="E4953" s="116" t="n"/>
      <c r="F4953" s="115" t="n"/>
      <c r="G4953" s="117">
        <f>IF(COUNTA(B4953:E4953)=0,"",IF(COUNTA(B4953:E4953)&lt;4,"⚠ กรอกไม่ครบ",IF(NOT(ISNUMBER(B4953)),"⚠ วันที่ไม่ถูกต้อง",IF(COUNTIFS(Setup!$L$6:$L$60,D4953,Setup!$M$6:$M$60,C4953)=0,"⚠ หมวดไม่ตรงประเภท","✓"))))</f>
        <v/>
      </c>
    </row>
    <row r="4954">
      <c r="B4954" s="113" t="n"/>
      <c r="C4954" s="114" t="n"/>
      <c r="D4954" s="115" t="n"/>
      <c r="E4954" s="116" t="n"/>
      <c r="F4954" s="115" t="n"/>
      <c r="G4954" s="117">
        <f>IF(COUNTA(B4954:E4954)=0,"",IF(COUNTA(B4954:E4954)&lt;4,"⚠ กรอกไม่ครบ",IF(NOT(ISNUMBER(B4954)),"⚠ วันที่ไม่ถูกต้อง",IF(COUNTIFS(Setup!$L$6:$L$60,D4954,Setup!$M$6:$M$60,C4954)=0,"⚠ หมวดไม่ตรงประเภท","✓"))))</f>
        <v/>
      </c>
    </row>
    <row r="4955">
      <c r="B4955" s="113" t="n"/>
      <c r="C4955" s="114" t="n"/>
      <c r="D4955" s="115" t="n"/>
      <c r="E4955" s="116" t="n"/>
      <c r="F4955" s="115" t="n"/>
      <c r="G4955" s="117">
        <f>IF(COUNTA(B4955:E4955)=0,"",IF(COUNTA(B4955:E4955)&lt;4,"⚠ กรอกไม่ครบ",IF(NOT(ISNUMBER(B4955)),"⚠ วันที่ไม่ถูกต้อง",IF(COUNTIFS(Setup!$L$6:$L$60,D4955,Setup!$M$6:$M$60,C4955)=0,"⚠ หมวดไม่ตรงประเภท","✓"))))</f>
        <v/>
      </c>
    </row>
    <row r="4956">
      <c r="B4956" s="113" t="n"/>
      <c r="C4956" s="114" t="n"/>
      <c r="D4956" s="115" t="n"/>
      <c r="E4956" s="116" t="n"/>
      <c r="F4956" s="115" t="n"/>
      <c r="G4956" s="117">
        <f>IF(COUNTA(B4956:E4956)=0,"",IF(COUNTA(B4956:E4956)&lt;4,"⚠ กรอกไม่ครบ",IF(NOT(ISNUMBER(B4956)),"⚠ วันที่ไม่ถูกต้อง",IF(COUNTIFS(Setup!$L$6:$L$60,D4956,Setup!$M$6:$M$60,C4956)=0,"⚠ หมวดไม่ตรงประเภท","✓"))))</f>
        <v/>
      </c>
    </row>
    <row r="4957">
      <c r="B4957" s="113" t="n"/>
      <c r="C4957" s="114" t="n"/>
      <c r="D4957" s="115" t="n"/>
      <c r="E4957" s="116" t="n"/>
      <c r="F4957" s="115" t="n"/>
      <c r="G4957" s="117">
        <f>IF(COUNTA(B4957:E4957)=0,"",IF(COUNTA(B4957:E4957)&lt;4,"⚠ กรอกไม่ครบ",IF(NOT(ISNUMBER(B4957)),"⚠ วันที่ไม่ถูกต้อง",IF(COUNTIFS(Setup!$L$6:$L$60,D4957,Setup!$M$6:$M$60,C4957)=0,"⚠ หมวดไม่ตรงประเภท","✓"))))</f>
        <v/>
      </c>
    </row>
    <row r="4958">
      <c r="B4958" s="113" t="n"/>
      <c r="C4958" s="114" t="n"/>
      <c r="D4958" s="115" t="n"/>
      <c r="E4958" s="116" t="n"/>
      <c r="F4958" s="115" t="n"/>
      <c r="G4958" s="117">
        <f>IF(COUNTA(B4958:E4958)=0,"",IF(COUNTA(B4958:E4958)&lt;4,"⚠ กรอกไม่ครบ",IF(NOT(ISNUMBER(B4958)),"⚠ วันที่ไม่ถูกต้อง",IF(COUNTIFS(Setup!$L$6:$L$60,D4958,Setup!$M$6:$M$60,C4958)=0,"⚠ หมวดไม่ตรงประเภท","✓"))))</f>
        <v/>
      </c>
    </row>
    <row r="4959">
      <c r="B4959" s="113" t="n"/>
      <c r="C4959" s="114" t="n"/>
      <c r="D4959" s="115" t="n"/>
      <c r="E4959" s="116" t="n"/>
      <c r="F4959" s="115" t="n"/>
      <c r="G4959" s="117">
        <f>IF(COUNTA(B4959:E4959)=0,"",IF(COUNTA(B4959:E4959)&lt;4,"⚠ กรอกไม่ครบ",IF(NOT(ISNUMBER(B4959)),"⚠ วันที่ไม่ถูกต้อง",IF(COUNTIFS(Setup!$L$6:$L$60,D4959,Setup!$M$6:$M$60,C4959)=0,"⚠ หมวดไม่ตรงประเภท","✓"))))</f>
        <v/>
      </c>
    </row>
    <row r="4960">
      <c r="B4960" s="113" t="n"/>
      <c r="C4960" s="114" t="n"/>
      <c r="D4960" s="115" t="n"/>
      <c r="E4960" s="116" t="n"/>
      <c r="F4960" s="115" t="n"/>
      <c r="G4960" s="117">
        <f>IF(COUNTA(B4960:E4960)=0,"",IF(COUNTA(B4960:E4960)&lt;4,"⚠ กรอกไม่ครบ",IF(NOT(ISNUMBER(B4960)),"⚠ วันที่ไม่ถูกต้อง",IF(COUNTIFS(Setup!$L$6:$L$60,D4960,Setup!$M$6:$M$60,C4960)=0,"⚠ หมวดไม่ตรงประเภท","✓"))))</f>
        <v/>
      </c>
    </row>
    <row r="4961">
      <c r="B4961" s="113" t="n"/>
      <c r="C4961" s="114" t="n"/>
      <c r="D4961" s="115" t="n"/>
      <c r="E4961" s="116" t="n"/>
      <c r="F4961" s="115" t="n"/>
      <c r="G4961" s="117">
        <f>IF(COUNTA(B4961:E4961)=0,"",IF(COUNTA(B4961:E4961)&lt;4,"⚠ กรอกไม่ครบ",IF(NOT(ISNUMBER(B4961)),"⚠ วันที่ไม่ถูกต้อง",IF(COUNTIFS(Setup!$L$6:$L$60,D4961,Setup!$M$6:$M$60,C4961)=0,"⚠ หมวดไม่ตรงประเภท","✓"))))</f>
        <v/>
      </c>
    </row>
    <row r="4962">
      <c r="B4962" s="113" t="n"/>
      <c r="C4962" s="114" t="n"/>
      <c r="D4962" s="115" t="n"/>
      <c r="E4962" s="116" t="n"/>
      <c r="F4962" s="115" t="n"/>
      <c r="G4962" s="117">
        <f>IF(COUNTA(B4962:E4962)=0,"",IF(COUNTA(B4962:E4962)&lt;4,"⚠ กรอกไม่ครบ",IF(NOT(ISNUMBER(B4962)),"⚠ วันที่ไม่ถูกต้อง",IF(COUNTIFS(Setup!$L$6:$L$60,D4962,Setup!$M$6:$M$60,C4962)=0,"⚠ หมวดไม่ตรงประเภท","✓"))))</f>
        <v/>
      </c>
    </row>
    <row r="4963">
      <c r="B4963" s="113" t="n"/>
      <c r="C4963" s="114" t="n"/>
      <c r="D4963" s="115" t="n"/>
      <c r="E4963" s="116" t="n"/>
      <c r="F4963" s="115" t="n"/>
      <c r="G4963" s="117">
        <f>IF(COUNTA(B4963:E4963)=0,"",IF(COUNTA(B4963:E4963)&lt;4,"⚠ กรอกไม่ครบ",IF(NOT(ISNUMBER(B4963)),"⚠ วันที่ไม่ถูกต้อง",IF(COUNTIFS(Setup!$L$6:$L$60,D4963,Setup!$M$6:$M$60,C4963)=0,"⚠ หมวดไม่ตรงประเภท","✓"))))</f>
        <v/>
      </c>
    </row>
    <row r="4964">
      <c r="B4964" s="113" t="n"/>
      <c r="C4964" s="114" t="n"/>
      <c r="D4964" s="115" t="n"/>
      <c r="E4964" s="116" t="n"/>
      <c r="F4964" s="115" t="n"/>
      <c r="G4964" s="117">
        <f>IF(COUNTA(B4964:E4964)=0,"",IF(COUNTA(B4964:E4964)&lt;4,"⚠ กรอกไม่ครบ",IF(NOT(ISNUMBER(B4964)),"⚠ วันที่ไม่ถูกต้อง",IF(COUNTIFS(Setup!$L$6:$L$60,D4964,Setup!$M$6:$M$60,C4964)=0,"⚠ หมวดไม่ตรงประเภท","✓"))))</f>
        <v/>
      </c>
    </row>
    <row r="4965">
      <c r="B4965" s="113" t="n"/>
      <c r="C4965" s="114" t="n"/>
      <c r="D4965" s="115" t="n"/>
      <c r="E4965" s="116" t="n"/>
      <c r="F4965" s="115" t="n"/>
      <c r="G4965" s="117">
        <f>IF(COUNTA(B4965:E4965)=0,"",IF(COUNTA(B4965:E4965)&lt;4,"⚠ กรอกไม่ครบ",IF(NOT(ISNUMBER(B4965)),"⚠ วันที่ไม่ถูกต้อง",IF(COUNTIFS(Setup!$L$6:$L$60,D4965,Setup!$M$6:$M$60,C4965)=0,"⚠ หมวดไม่ตรงประเภท","✓"))))</f>
        <v/>
      </c>
    </row>
    <row r="4966">
      <c r="B4966" s="113" t="n"/>
      <c r="C4966" s="114" t="n"/>
      <c r="D4966" s="115" t="n"/>
      <c r="E4966" s="116" t="n"/>
      <c r="F4966" s="115" t="n"/>
      <c r="G4966" s="117">
        <f>IF(COUNTA(B4966:E4966)=0,"",IF(COUNTA(B4966:E4966)&lt;4,"⚠ กรอกไม่ครบ",IF(NOT(ISNUMBER(B4966)),"⚠ วันที่ไม่ถูกต้อง",IF(COUNTIFS(Setup!$L$6:$L$60,D4966,Setup!$M$6:$M$60,C4966)=0,"⚠ หมวดไม่ตรงประเภท","✓"))))</f>
        <v/>
      </c>
    </row>
    <row r="4967">
      <c r="B4967" s="113" t="n"/>
      <c r="C4967" s="114" t="n"/>
      <c r="D4967" s="115" t="n"/>
      <c r="E4967" s="116" t="n"/>
      <c r="F4967" s="115" t="n"/>
      <c r="G4967" s="117">
        <f>IF(COUNTA(B4967:E4967)=0,"",IF(COUNTA(B4967:E4967)&lt;4,"⚠ กรอกไม่ครบ",IF(NOT(ISNUMBER(B4967)),"⚠ วันที่ไม่ถูกต้อง",IF(COUNTIFS(Setup!$L$6:$L$60,D4967,Setup!$M$6:$M$60,C4967)=0,"⚠ หมวดไม่ตรงประเภท","✓"))))</f>
        <v/>
      </c>
    </row>
    <row r="4968">
      <c r="B4968" s="113" t="n"/>
      <c r="C4968" s="114" t="n"/>
      <c r="D4968" s="115" t="n"/>
      <c r="E4968" s="116" t="n"/>
      <c r="F4968" s="115" t="n"/>
      <c r="G4968" s="117">
        <f>IF(COUNTA(B4968:E4968)=0,"",IF(COUNTA(B4968:E4968)&lt;4,"⚠ กรอกไม่ครบ",IF(NOT(ISNUMBER(B4968)),"⚠ วันที่ไม่ถูกต้อง",IF(COUNTIFS(Setup!$L$6:$L$60,D4968,Setup!$M$6:$M$60,C4968)=0,"⚠ หมวดไม่ตรงประเภท","✓"))))</f>
        <v/>
      </c>
    </row>
    <row r="4969">
      <c r="B4969" s="113" t="n"/>
      <c r="C4969" s="114" t="n"/>
      <c r="D4969" s="115" t="n"/>
      <c r="E4969" s="116" t="n"/>
      <c r="F4969" s="115" t="n"/>
      <c r="G4969" s="117">
        <f>IF(COUNTA(B4969:E4969)=0,"",IF(COUNTA(B4969:E4969)&lt;4,"⚠ กรอกไม่ครบ",IF(NOT(ISNUMBER(B4969)),"⚠ วันที่ไม่ถูกต้อง",IF(COUNTIFS(Setup!$L$6:$L$60,D4969,Setup!$M$6:$M$60,C4969)=0,"⚠ หมวดไม่ตรงประเภท","✓"))))</f>
        <v/>
      </c>
    </row>
    <row r="4970">
      <c r="B4970" s="113" t="n"/>
      <c r="C4970" s="114" t="n"/>
      <c r="D4970" s="115" t="n"/>
      <c r="E4970" s="116" t="n"/>
      <c r="F4970" s="115" t="n"/>
      <c r="G4970" s="117">
        <f>IF(COUNTA(B4970:E4970)=0,"",IF(COUNTA(B4970:E4970)&lt;4,"⚠ กรอกไม่ครบ",IF(NOT(ISNUMBER(B4970)),"⚠ วันที่ไม่ถูกต้อง",IF(COUNTIFS(Setup!$L$6:$L$60,D4970,Setup!$M$6:$M$60,C4970)=0,"⚠ หมวดไม่ตรงประเภท","✓"))))</f>
        <v/>
      </c>
    </row>
    <row r="4971">
      <c r="B4971" s="113" t="n"/>
      <c r="C4971" s="114" t="n"/>
      <c r="D4971" s="115" t="n"/>
      <c r="E4971" s="116" t="n"/>
      <c r="F4971" s="115" t="n"/>
      <c r="G4971" s="117">
        <f>IF(COUNTA(B4971:E4971)=0,"",IF(COUNTA(B4971:E4971)&lt;4,"⚠ กรอกไม่ครบ",IF(NOT(ISNUMBER(B4971)),"⚠ วันที่ไม่ถูกต้อง",IF(COUNTIFS(Setup!$L$6:$L$60,D4971,Setup!$M$6:$M$60,C4971)=0,"⚠ หมวดไม่ตรงประเภท","✓"))))</f>
        <v/>
      </c>
    </row>
    <row r="4972">
      <c r="B4972" s="113" t="n"/>
      <c r="C4972" s="114" t="n"/>
      <c r="D4972" s="115" t="n"/>
      <c r="E4972" s="116" t="n"/>
      <c r="F4972" s="115" t="n"/>
      <c r="G4972" s="117">
        <f>IF(COUNTA(B4972:E4972)=0,"",IF(COUNTA(B4972:E4972)&lt;4,"⚠ กรอกไม่ครบ",IF(NOT(ISNUMBER(B4972)),"⚠ วันที่ไม่ถูกต้อง",IF(COUNTIFS(Setup!$L$6:$L$60,D4972,Setup!$M$6:$M$60,C4972)=0,"⚠ หมวดไม่ตรงประเภท","✓"))))</f>
        <v/>
      </c>
    </row>
    <row r="4973">
      <c r="B4973" s="113" t="n"/>
      <c r="C4973" s="114" t="n"/>
      <c r="D4973" s="115" t="n"/>
      <c r="E4973" s="116" t="n"/>
      <c r="F4973" s="115" t="n"/>
      <c r="G4973" s="117">
        <f>IF(COUNTA(B4973:E4973)=0,"",IF(COUNTA(B4973:E4973)&lt;4,"⚠ กรอกไม่ครบ",IF(NOT(ISNUMBER(B4973)),"⚠ วันที่ไม่ถูกต้อง",IF(COUNTIFS(Setup!$L$6:$L$60,D4973,Setup!$M$6:$M$60,C4973)=0,"⚠ หมวดไม่ตรงประเภท","✓"))))</f>
        <v/>
      </c>
    </row>
    <row r="4974">
      <c r="B4974" s="113" t="n"/>
      <c r="C4974" s="114" t="n"/>
      <c r="D4974" s="115" t="n"/>
      <c r="E4974" s="116" t="n"/>
      <c r="F4974" s="115" t="n"/>
      <c r="G4974" s="117">
        <f>IF(COUNTA(B4974:E4974)=0,"",IF(COUNTA(B4974:E4974)&lt;4,"⚠ กรอกไม่ครบ",IF(NOT(ISNUMBER(B4974)),"⚠ วันที่ไม่ถูกต้อง",IF(COUNTIFS(Setup!$L$6:$L$60,D4974,Setup!$M$6:$M$60,C4974)=0,"⚠ หมวดไม่ตรงประเภท","✓"))))</f>
        <v/>
      </c>
    </row>
    <row r="4975">
      <c r="B4975" s="113" t="n"/>
      <c r="C4975" s="114" t="n"/>
      <c r="D4975" s="115" t="n"/>
      <c r="E4975" s="116" t="n"/>
      <c r="F4975" s="115" t="n"/>
      <c r="G4975" s="117">
        <f>IF(COUNTA(B4975:E4975)=0,"",IF(COUNTA(B4975:E4975)&lt;4,"⚠ กรอกไม่ครบ",IF(NOT(ISNUMBER(B4975)),"⚠ วันที่ไม่ถูกต้อง",IF(COUNTIFS(Setup!$L$6:$L$60,D4975,Setup!$M$6:$M$60,C4975)=0,"⚠ หมวดไม่ตรงประเภท","✓"))))</f>
        <v/>
      </c>
    </row>
    <row r="4976">
      <c r="B4976" s="113" t="n"/>
      <c r="C4976" s="114" t="n"/>
      <c r="D4976" s="115" t="n"/>
      <c r="E4976" s="116" t="n"/>
      <c r="F4976" s="115" t="n"/>
      <c r="G4976" s="117">
        <f>IF(COUNTA(B4976:E4976)=0,"",IF(COUNTA(B4976:E4976)&lt;4,"⚠ กรอกไม่ครบ",IF(NOT(ISNUMBER(B4976)),"⚠ วันที่ไม่ถูกต้อง",IF(COUNTIFS(Setup!$L$6:$L$60,D4976,Setup!$M$6:$M$60,C4976)=0,"⚠ หมวดไม่ตรงประเภท","✓"))))</f>
        <v/>
      </c>
    </row>
    <row r="4977">
      <c r="B4977" s="113" t="n"/>
      <c r="C4977" s="114" t="n"/>
      <c r="D4977" s="115" t="n"/>
      <c r="E4977" s="116" t="n"/>
      <c r="F4977" s="115" t="n"/>
      <c r="G4977" s="117">
        <f>IF(COUNTA(B4977:E4977)=0,"",IF(COUNTA(B4977:E4977)&lt;4,"⚠ กรอกไม่ครบ",IF(NOT(ISNUMBER(B4977)),"⚠ วันที่ไม่ถูกต้อง",IF(COUNTIFS(Setup!$L$6:$L$60,D4977,Setup!$M$6:$M$60,C4977)=0,"⚠ หมวดไม่ตรงประเภท","✓"))))</f>
        <v/>
      </c>
    </row>
    <row r="4978">
      <c r="B4978" s="113" t="n"/>
      <c r="C4978" s="114" t="n"/>
      <c r="D4978" s="115" t="n"/>
      <c r="E4978" s="116" t="n"/>
      <c r="F4978" s="115" t="n"/>
      <c r="G4978" s="117">
        <f>IF(COUNTA(B4978:E4978)=0,"",IF(COUNTA(B4978:E4978)&lt;4,"⚠ กรอกไม่ครบ",IF(NOT(ISNUMBER(B4978)),"⚠ วันที่ไม่ถูกต้อง",IF(COUNTIFS(Setup!$L$6:$L$60,D4978,Setup!$M$6:$M$60,C4978)=0,"⚠ หมวดไม่ตรงประเภท","✓"))))</f>
        <v/>
      </c>
    </row>
    <row r="4979">
      <c r="B4979" s="113" t="n"/>
      <c r="C4979" s="114" t="n"/>
      <c r="D4979" s="115" t="n"/>
      <c r="E4979" s="116" t="n"/>
      <c r="F4979" s="115" t="n"/>
      <c r="G4979" s="117">
        <f>IF(COUNTA(B4979:E4979)=0,"",IF(COUNTA(B4979:E4979)&lt;4,"⚠ กรอกไม่ครบ",IF(NOT(ISNUMBER(B4979)),"⚠ วันที่ไม่ถูกต้อง",IF(COUNTIFS(Setup!$L$6:$L$60,D4979,Setup!$M$6:$M$60,C4979)=0,"⚠ หมวดไม่ตรงประเภท","✓"))))</f>
        <v/>
      </c>
    </row>
    <row r="4980">
      <c r="B4980" s="113" t="n"/>
      <c r="C4980" s="114" t="n"/>
      <c r="D4980" s="115" t="n"/>
      <c r="E4980" s="116" t="n"/>
      <c r="F4980" s="115" t="n"/>
      <c r="G4980" s="117">
        <f>IF(COUNTA(B4980:E4980)=0,"",IF(COUNTA(B4980:E4980)&lt;4,"⚠ กรอกไม่ครบ",IF(NOT(ISNUMBER(B4980)),"⚠ วันที่ไม่ถูกต้อง",IF(COUNTIFS(Setup!$L$6:$L$60,D4980,Setup!$M$6:$M$60,C4980)=0,"⚠ หมวดไม่ตรงประเภท","✓"))))</f>
        <v/>
      </c>
    </row>
    <row r="4981">
      <c r="B4981" s="113" t="n"/>
      <c r="C4981" s="114" t="n"/>
      <c r="D4981" s="115" t="n"/>
      <c r="E4981" s="116" t="n"/>
      <c r="F4981" s="115" t="n"/>
      <c r="G4981" s="117">
        <f>IF(COUNTA(B4981:E4981)=0,"",IF(COUNTA(B4981:E4981)&lt;4,"⚠ กรอกไม่ครบ",IF(NOT(ISNUMBER(B4981)),"⚠ วันที่ไม่ถูกต้อง",IF(COUNTIFS(Setup!$L$6:$L$60,D4981,Setup!$M$6:$M$60,C4981)=0,"⚠ หมวดไม่ตรงประเภท","✓"))))</f>
        <v/>
      </c>
    </row>
    <row r="4982">
      <c r="B4982" s="113" t="n"/>
      <c r="C4982" s="114" t="n"/>
      <c r="D4982" s="115" t="n"/>
      <c r="E4982" s="116" t="n"/>
      <c r="F4982" s="115" t="n"/>
      <c r="G4982" s="117">
        <f>IF(COUNTA(B4982:E4982)=0,"",IF(COUNTA(B4982:E4982)&lt;4,"⚠ กรอกไม่ครบ",IF(NOT(ISNUMBER(B4982)),"⚠ วันที่ไม่ถูกต้อง",IF(COUNTIFS(Setup!$L$6:$L$60,D4982,Setup!$M$6:$M$60,C4982)=0,"⚠ หมวดไม่ตรงประเภท","✓"))))</f>
        <v/>
      </c>
    </row>
    <row r="4983">
      <c r="B4983" s="113" t="n"/>
      <c r="C4983" s="114" t="n"/>
      <c r="D4983" s="115" t="n"/>
      <c r="E4983" s="116" t="n"/>
      <c r="F4983" s="115" t="n"/>
      <c r="G4983" s="117">
        <f>IF(COUNTA(B4983:E4983)=0,"",IF(COUNTA(B4983:E4983)&lt;4,"⚠ กรอกไม่ครบ",IF(NOT(ISNUMBER(B4983)),"⚠ วันที่ไม่ถูกต้อง",IF(COUNTIFS(Setup!$L$6:$L$60,D4983,Setup!$M$6:$M$60,C4983)=0,"⚠ หมวดไม่ตรงประเภท","✓"))))</f>
        <v/>
      </c>
    </row>
    <row r="4984">
      <c r="B4984" s="113" t="n"/>
      <c r="C4984" s="114" t="n"/>
      <c r="D4984" s="115" t="n"/>
      <c r="E4984" s="116" t="n"/>
      <c r="F4984" s="115" t="n"/>
      <c r="G4984" s="117">
        <f>IF(COUNTA(B4984:E4984)=0,"",IF(COUNTA(B4984:E4984)&lt;4,"⚠ กรอกไม่ครบ",IF(NOT(ISNUMBER(B4984)),"⚠ วันที่ไม่ถูกต้อง",IF(COUNTIFS(Setup!$L$6:$L$60,D4984,Setup!$M$6:$M$60,C4984)=0,"⚠ หมวดไม่ตรงประเภท","✓"))))</f>
        <v/>
      </c>
    </row>
    <row r="4985">
      <c r="B4985" s="113" t="n"/>
      <c r="C4985" s="114" t="n"/>
      <c r="D4985" s="115" t="n"/>
      <c r="E4985" s="116" t="n"/>
      <c r="F4985" s="115" t="n"/>
      <c r="G4985" s="117">
        <f>IF(COUNTA(B4985:E4985)=0,"",IF(COUNTA(B4985:E4985)&lt;4,"⚠ กรอกไม่ครบ",IF(NOT(ISNUMBER(B4985)),"⚠ วันที่ไม่ถูกต้อง",IF(COUNTIFS(Setup!$L$6:$L$60,D4985,Setup!$M$6:$M$60,C4985)=0,"⚠ หมวดไม่ตรงประเภท","✓"))))</f>
        <v/>
      </c>
    </row>
    <row r="4986">
      <c r="B4986" s="113" t="n"/>
      <c r="C4986" s="114" t="n"/>
      <c r="D4986" s="115" t="n"/>
      <c r="E4986" s="116" t="n"/>
      <c r="F4986" s="115" t="n"/>
      <c r="G4986" s="117">
        <f>IF(COUNTA(B4986:E4986)=0,"",IF(COUNTA(B4986:E4986)&lt;4,"⚠ กรอกไม่ครบ",IF(NOT(ISNUMBER(B4986)),"⚠ วันที่ไม่ถูกต้อง",IF(COUNTIFS(Setup!$L$6:$L$60,D4986,Setup!$M$6:$M$60,C4986)=0,"⚠ หมวดไม่ตรงประเภท","✓"))))</f>
        <v/>
      </c>
    </row>
    <row r="4987">
      <c r="B4987" s="113" t="n"/>
      <c r="C4987" s="114" t="n"/>
      <c r="D4987" s="115" t="n"/>
      <c r="E4987" s="116" t="n"/>
      <c r="F4987" s="115" t="n"/>
      <c r="G4987" s="117">
        <f>IF(COUNTA(B4987:E4987)=0,"",IF(COUNTA(B4987:E4987)&lt;4,"⚠ กรอกไม่ครบ",IF(NOT(ISNUMBER(B4987)),"⚠ วันที่ไม่ถูกต้อง",IF(COUNTIFS(Setup!$L$6:$L$60,D4987,Setup!$M$6:$M$60,C4987)=0,"⚠ หมวดไม่ตรงประเภท","✓"))))</f>
        <v/>
      </c>
    </row>
    <row r="4988">
      <c r="B4988" s="113" t="n"/>
      <c r="C4988" s="114" t="n"/>
      <c r="D4988" s="115" t="n"/>
      <c r="E4988" s="116" t="n"/>
      <c r="F4988" s="115" t="n"/>
      <c r="G4988" s="117">
        <f>IF(COUNTA(B4988:E4988)=0,"",IF(COUNTA(B4988:E4988)&lt;4,"⚠ กรอกไม่ครบ",IF(NOT(ISNUMBER(B4988)),"⚠ วันที่ไม่ถูกต้อง",IF(COUNTIFS(Setup!$L$6:$L$60,D4988,Setup!$M$6:$M$60,C4988)=0,"⚠ หมวดไม่ตรงประเภท","✓"))))</f>
        <v/>
      </c>
    </row>
    <row r="4989">
      <c r="B4989" s="113" t="n"/>
      <c r="C4989" s="114" t="n"/>
      <c r="D4989" s="115" t="n"/>
      <c r="E4989" s="116" t="n"/>
      <c r="F4989" s="115" t="n"/>
      <c r="G4989" s="117">
        <f>IF(COUNTA(B4989:E4989)=0,"",IF(COUNTA(B4989:E4989)&lt;4,"⚠ กรอกไม่ครบ",IF(NOT(ISNUMBER(B4989)),"⚠ วันที่ไม่ถูกต้อง",IF(COUNTIFS(Setup!$L$6:$L$60,D4989,Setup!$M$6:$M$60,C4989)=0,"⚠ หมวดไม่ตรงประเภท","✓"))))</f>
        <v/>
      </c>
    </row>
    <row r="4990">
      <c r="B4990" s="113" t="n"/>
      <c r="C4990" s="114" t="n"/>
      <c r="D4990" s="115" t="n"/>
      <c r="E4990" s="116" t="n"/>
      <c r="F4990" s="115" t="n"/>
      <c r="G4990" s="117">
        <f>IF(COUNTA(B4990:E4990)=0,"",IF(COUNTA(B4990:E4990)&lt;4,"⚠ กรอกไม่ครบ",IF(NOT(ISNUMBER(B4990)),"⚠ วันที่ไม่ถูกต้อง",IF(COUNTIFS(Setup!$L$6:$L$60,D4990,Setup!$M$6:$M$60,C4990)=0,"⚠ หมวดไม่ตรงประเภท","✓"))))</f>
        <v/>
      </c>
    </row>
    <row r="4991">
      <c r="B4991" s="113" t="n"/>
      <c r="C4991" s="114" t="n"/>
      <c r="D4991" s="115" t="n"/>
      <c r="E4991" s="116" t="n"/>
      <c r="F4991" s="115" t="n"/>
      <c r="G4991" s="117">
        <f>IF(COUNTA(B4991:E4991)=0,"",IF(COUNTA(B4991:E4991)&lt;4,"⚠ กรอกไม่ครบ",IF(NOT(ISNUMBER(B4991)),"⚠ วันที่ไม่ถูกต้อง",IF(COUNTIFS(Setup!$L$6:$L$60,D4991,Setup!$M$6:$M$60,C4991)=0,"⚠ หมวดไม่ตรงประเภท","✓"))))</f>
        <v/>
      </c>
    </row>
    <row r="4992">
      <c r="B4992" s="113" t="n"/>
      <c r="C4992" s="114" t="n"/>
      <c r="D4992" s="115" t="n"/>
      <c r="E4992" s="116" t="n"/>
      <c r="F4992" s="115" t="n"/>
      <c r="G4992" s="117">
        <f>IF(COUNTA(B4992:E4992)=0,"",IF(COUNTA(B4992:E4992)&lt;4,"⚠ กรอกไม่ครบ",IF(NOT(ISNUMBER(B4992)),"⚠ วันที่ไม่ถูกต้อง",IF(COUNTIFS(Setup!$L$6:$L$60,D4992,Setup!$M$6:$M$60,C4992)=0,"⚠ หมวดไม่ตรงประเภท","✓"))))</f>
        <v/>
      </c>
    </row>
    <row r="4993">
      <c r="B4993" s="113" t="n"/>
      <c r="C4993" s="114" t="n"/>
      <c r="D4993" s="115" t="n"/>
      <c r="E4993" s="116" t="n"/>
      <c r="F4993" s="115" t="n"/>
      <c r="G4993" s="117">
        <f>IF(COUNTA(B4993:E4993)=0,"",IF(COUNTA(B4993:E4993)&lt;4,"⚠ กรอกไม่ครบ",IF(NOT(ISNUMBER(B4993)),"⚠ วันที่ไม่ถูกต้อง",IF(COUNTIFS(Setup!$L$6:$L$60,D4993,Setup!$M$6:$M$60,C4993)=0,"⚠ หมวดไม่ตรงประเภท","✓"))))</f>
        <v/>
      </c>
    </row>
    <row r="4994">
      <c r="B4994" s="113" t="n"/>
      <c r="C4994" s="114" t="n"/>
      <c r="D4994" s="115" t="n"/>
      <c r="E4994" s="116" t="n"/>
      <c r="F4994" s="115" t="n"/>
      <c r="G4994" s="117">
        <f>IF(COUNTA(B4994:E4994)=0,"",IF(COUNTA(B4994:E4994)&lt;4,"⚠ กรอกไม่ครบ",IF(NOT(ISNUMBER(B4994)),"⚠ วันที่ไม่ถูกต้อง",IF(COUNTIFS(Setup!$L$6:$L$60,D4994,Setup!$M$6:$M$60,C4994)=0,"⚠ หมวดไม่ตรงประเภท","✓"))))</f>
        <v/>
      </c>
    </row>
    <row r="4995">
      <c r="B4995" s="113" t="n"/>
      <c r="C4995" s="114" t="n"/>
      <c r="D4995" s="115" t="n"/>
      <c r="E4995" s="116" t="n"/>
      <c r="F4995" s="115" t="n"/>
      <c r="G4995" s="117">
        <f>IF(COUNTA(B4995:E4995)=0,"",IF(COUNTA(B4995:E4995)&lt;4,"⚠ กรอกไม่ครบ",IF(NOT(ISNUMBER(B4995)),"⚠ วันที่ไม่ถูกต้อง",IF(COUNTIFS(Setup!$L$6:$L$60,D4995,Setup!$M$6:$M$60,C4995)=0,"⚠ หมวดไม่ตรงประเภท","✓"))))</f>
        <v/>
      </c>
    </row>
    <row r="4996">
      <c r="B4996" s="113" t="n"/>
      <c r="C4996" s="114" t="n"/>
      <c r="D4996" s="115" t="n"/>
      <c r="E4996" s="116" t="n"/>
      <c r="F4996" s="115" t="n"/>
      <c r="G4996" s="117">
        <f>IF(COUNTA(B4996:E4996)=0,"",IF(COUNTA(B4996:E4996)&lt;4,"⚠ กรอกไม่ครบ",IF(NOT(ISNUMBER(B4996)),"⚠ วันที่ไม่ถูกต้อง",IF(COUNTIFS(Setup!$L$6:$L$60,D4996,Setup!$M$6:$M$60,C4996)=0,"⚠ หมวดไม่ตรงประเภท","✓"))))</f>
        <v/>
      </c>
    </row>
    <row r="4997">
      <c r="B4997" s="113" t="n"/>
      <c r="C4997" s="114" t="n"/>
      <c r="D4997" s="115" t="n"/>
      <c r="E4997" s="116" t="n"/>
      <c r="F4997" s="115" t="n"/>
      <c r="G4997" s="117">
        <f>IF(COUNTA(B4997:E4997)=0,"",IF(COUNTA(B4997:E4997)&lt;4,"⚠ กรอกไม่ครบ",IF(NOT(ISNUMBER(B4997)),"⚠ วันที่ไม่ถูกต้อง",IF(COUNTIFS(Setup!$L$6:$L$60,D4997,Setup!$M$6:$M$60,C4997)=0,"⚠ หมวดไม่ตรงประเภท","✓"))))</f>
        <v/>
      </c>
    </row>
    <row r="4998">
      <c r="B4998" s="113" t="n"/>
      <c r="C4998" s="114" t="n"/>
      <c r="D4998" s="115" t="n"/>
      <c r="E4998" s="116" t="n"/>
      <c r="F4998" s="115" t="n"/>
      <c r="G4998" s="117">
        <f>IF(COUNTA(B4998:E4998)=0,"",IF(COUNTA(B4998:E4998)&lt;4,"⚠ กรอกไม่ครบ",IF(NOT(ISNUMBER(B4998)),"⚠ วันที่ไม่ถูกต้อง",IF(COUNTIFS(Setup!$L$6:$L$60,D4998,Setup!$M$6:$M$60,C4998)=0,"⚠ หมวดไม่ตรงประเภท","✓"))))</f>
        <v/>
      </c>
    </row>
    <row r="4999">
      <c r="B4999" s="113" t="n"/>
      <c r="C4999" s="114" t="n"/>
      <c r="D4999" s="115" t="n"/>
      <c r="E4999" s="116" t="n"/>
      <c r="F4999" s="115" t="n"/>
      <c r="G4999" s="117">
        <f>IF(COUNTA(B4999:E4999)=0,"",IF(COUNTA(B4999:E4999)&lt;4,"⚠ กรอกไม่ครบ",IF(NOT(ISNUMBER(B4999)),"⚠ วันที่ไม่ถูกต้อง",IF(COUNTIFS(Setup!$L$6:$L$60,D4999,Setup!$M$6:$M$60,C4999)=0,"⚠ หมวดไม่ตรงประเภท","✓"))))</f>
        <v/>
      </c>
    </row>
    <row r="5000">
      <c r="B5000" s="113" t="n"/>
      <c r="C5000" s="114" t="n"/>
      <c r="D5000" s="115" t="n"/>
      <c r="E5000" s="116" t="n"/>
      <c r="F5000" s="115" t="n"/>
      <c r="G5000" s="117">
        <f>IF(COUNTA(B5000:E5000)=0,"",IF(COUNTA(B5000:E5000)&lt;4,"⚠ กรอกไม่ครบ",IF(NOT(ISNUMBER(B5000)),"⚠ วันที่ไม่ถูกต้อง",IF(COUNTIFS(Setup!$L$6:$L$60,D5000,Setup!$M$6:$M$60,C5000)=0,"⚠ หมวดไม่ตรงประเภท","✓"))))</f>
        <v/>
      </c>
    </row>
    <row r="5001">
      <c r="B5001" s="113" t="n"/>
      <c r="C5001" s="114" t="n"/>
      <c r="D5001" s="115" t="n"/>
      <c r="E5001" s="116" t="n"/>
      <c r="F5001" s="115" t="n"/>
      <c r="G5001" s="117">
        <f>IF(COUNTA(B5001:E5001)=0,"",IF(COUNTA(B5001:E5001)&lt;4,"⚠ กรอกไม่ครบ",IF(NOT(ISNUMBER(B5001)),"⚠ วันที่ไม่ถูกต้อง",IF(COUNTIFS(Setup!$L$6:$L$60,D5001,Setup!$M$6:$M$60,C5001)=0,"⚠ หมวดไม่ตรงประเภท","✓"))))</f>
        <v/>
      </c>
    </row>
    <row r="5002">
      <c r="B5002" s="113" t="n"/>
      <c r="C5002" s="114" t="n"/>
      <c r="D5002" s="115" t="n"/>
      <c r="E5002" s="116" t="n"/>
      <c r="F5002" s="115" t="n"/>
      <c r="G5002" s="117">
        <f>IF(COUNTA(B5002:E5002)=0,"",IF(COUNTA(B5002:E5002)&lt;4,"⚠ กรอกไม่ครบ",IF(NOT(ISNUMBER(B5002)),"⚠ วันที่ไม่ถูกต้อง",IF(COUNTIFS(Setup!$L$6:$L$60,D5002,Setup!$M$6:$M$60,C5002)=0,"⚠ หมวดไม่ตรงประเภท","✓"))))</f>
        <v/>
      </c>
    </row>
    <row r="5003">
      <c r="B5003" s="113" t="n"/>
      <c r="C5003" s="114" t="n"/>
      <c r="D5003" s="115" t="n"/>
      <c r="E5003" s="116" t="n"/>
      <c r="F5003" s="115" t="n"/>
      <c r="G5003" s="117">
        <f>IF(COUNTA(B5003:E5003)=0,"",IF(COUNTA(B5003:E5003)&lt;4,"⚠ กรอกไม่ครบ",IF(NOT(ISNUMBER(B5003)),"⚠ วันที่ไม่ถูกต้อง",IF(COUNTIFS(Setup!$L$6:$L$60,D5003,Setup!$M$6:$M$60,C5003)=0,"⚠ หมวดไม่ตรงประเภท","✓"))))</f>
        <v/>
      </c>
    </row>
    <row r="5004">
      <c r="B5004" s="113" t="n"/>
      <c r="C5004" s="114" t="n"/>
      <c r="D5004" s="115" t="n"/>
      <c r="E5004" s="116" t="n"/>
      <c r="F5004" s="115" t="n"/>
      <c r="G5004" s="117">
        <f>IF(COUNTA(B5004:E5004)=0,"",IF(COUNTA(B5004:E5004)&lt;4,"⚠ กรอกไม่ครบ",IF(NOT(ISNUMBER(B5004)),"⚠ วันที่ไม่ถูกต้อง",IF(COUNTIFS(Setup!$L$6:$L$60,D5004,Setup!$M$6:$M$60,C5004)=0,"⚠ หมวดไม่ตรงประเภท","✓"))))</f>
        <v/>
      </c>
    </row>
    <row r="5005">
      <c r="B5005" s="113" t="n"/>
      <c r="C5005" s="114" t="n"/>
      <c r="D5005" s="115" t="n"/>
      <c r="E5005" s="116" t="n"/>
      <c r="F5005" s="115" t="n"/>
      <c r="G5005" s="117">
        <f>IF(COUNTA(B5005:E5005)=0,"",IF(COUNTA(B5005:E5005)&lt;4,"⚠ กรอกไม่ครบ",IF(NOT(ISNUMBER(B5005)),"⚠ วันที่ไม่ถูกต้อง",IF(COUNTIFS(Setup!$L$6:$L$60,D5005,Setup!$M$6:$M$60,C5005)=0,"⚠ หมวดไม่ตรงประเภท","✓"))))</f>
        <v/>
      </c>
    </row>
  </sheetData>
  <autoFilter ref="B5:G5005"/>
  <mergeCells count="3">
    <mergeCell ref="B3:G3"/>
    <mergeCell ref="B2:G2"/>
    <mergeCell ref="B4:G4"/>
  </mergeCells>
  <conditionalFormatting sqref="C6:C5005">
    <cfRule type="expression" priority="1" dxfId="2">
      <formula>$C6="รายรับ"</formula>
    </cfRule>
    <cfRule type="expression" priority="3" dxfId="3">
      <formula>$C6="รายจ่าย"</formula>
    </cfRule>
    <cfRule type="expression" priority="5" dxfId="4">
      <formula>$C6="เงินออม"</formula>
    </cfRule>
  </conditionalFormatting>
  <conditionalFormatting sqref="E6:E5005">
    <cfRule type="expression" priority="2" dxfId="5">
      <formula>$C6="รายรับ"</formula>
    </cfRule>
    <cfRule type="expression" priority="4" dxfId="6">
      <formula>$C6="รายจ่าย"</formula>
    </cfRule>
    <cfRule type="expression" priority="6" dxfId="7">
      <formula>$C6="เงินออม"</formula>
    </cfRule>
  </conditionalFormatting>
  <conditionalFormatting sqref="G6:G5005">
    <cfRule type="expression" priority="7" dxfId="0">
      <formula>LEFT($G6,1)="⚠"</formula>
    </cfRule>
    <cfRule type="expression" priority="8" dxfId="8">
      <formula>$G6="✓"</formula>
    </cfRule>
  </conditionalFormatting>
  <dataValidations count="4">
    <dataValidation sqref="B6:B5005" showDropDown="0" showInputMessage="0" showErrorMessage="1" allowBlank="1" errorTitle="วันที่ไม่ถูกต้อง" error="กรุณากรอกวันที่ เช่น 25/09/2026" type="date" operator="greaterThan">
      <formula1>36526</formula1>
    </dataValidation>
    <dataValidation sqref="C6:C5005" showDropDown="0" showInputMessage="0" showErrorMessage="1" allowBlank="1" errorTitle="เลือกประเภท" error="เลือกจาก Drop-down: รายรับ / รายจ่าย / เงินออม" type="list">
      <formula1>"รายรับ,รายจ่าย,เงินออม"</formula1>
    </dataValidation>
    <dataValidation sqref="D6:D5005" showDropDown="0" showInputMessage="0" showErrorMessage="1" allowBlank="1" errorTitle="ไม่พบหมวดหมู่นี้" error="เลือกจาก Drop-down หรือเพิ่มหมวดหมู่ใหม่ที่หน้า Setup ก่อน" type="list">
      <formula1>Setup!$L$6:$L$60</formula1>
    </dataValidation>
    <dataValidation sqref="E6:E5005" showDropDown="0" showInputMessage="0" showErrorMessage="1" allowBlank="1" errorTitle="จำนวนเงินไม่ถูกต้อง" error="กรอกเป็นตัวเลขบวก (ไม่ต้องใส่เครื่องหมายลบ)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B2:M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8" customHeight="1"/>
  <cols>
    <col width="2" customWidth="1" min="1" max="1"/>
    <col width="30" customWidth="1" min="2" max="2"/>
    <col width="3" customWidth="1" min="3" max="3"/>
    <col width="30" customWidth="1" min="4" max="4"/>
    <col width="3" customWidth="1" min="5" max="5"/>
    <col width="30" customWidth="1" min="6" max="6"/>
    <col width="5" customWidth="1" min="7" max="7"/>
    <col width="10" customWidth="1" min="8" max="8"/>
    <col width="14" customWidth="1" min="9" max="9"/>
    <col width="9" customWidth="1" min="10" max="10"/>
    <col width="3" customWidth="1" min="11" max="11"/>
    <col width="24" customWidth="1" min="12" max="12"/>
    <col width="11" customWidth="1" min="13" max="13"/>
  </cols>
  <sheetData>
    <row r="1" ht="8" customHeight="1"/>
    <row r="2" ht="38" customHeight="1">
      <c r="B2" s="1" t="inlineStr">
        <is>
          <t>🧾 Setup — ตั้งค่าหมวดหมู่รายรับ รายจ่าย เงินออม</t>
        </is>
      </c>
      <c r="C2" s="1" t="n"/>
      <c r="D2" s="1" t="n"/>
      <c r="E2" s="1" t="n"/>
      <c r="F2" s="1" t="n"/>
    </row>
    <row r="3" ht="34" customHeight="1">
      <c r="B3" s="110" t="inlineStr">
        <is>
          <t>พิมพ์ชื่อหมวดหมู่ในช่องสีเหลือง เพิ่มหมวดใหม่ต่อท้ายได้เลย (ห้ามเว้นแถวว่างคั่นกลาง) · ระบบจะนำไปทำ Drop-down ในหน้า Transaction และสรุปใน Dashboard อัตโนมัติ</t>
        </is>
      </c>
      <c r="C3" s="110" t="n"/>
      <c r="D3" s="110" t="n"/>
      <c r="E3" s="110" t="n"/>
      <c r="F3" s="110" t="n"/>
    </row>
    <row r="4" ht="20" customHeight="1">
      <c r="H4" s="43" t="inlineStr">
        <is>
          <t>⚙️ ข้อมูลระบบ (ไม่ต้องแก้ไข)</t>
        </is>
      </c>
      <c r="I4" s="43" t="n"/>
      <c r="J4" s="43" t="n"/>
      <c r="K4" s="43" t="n"/>
      <c r="L4" s="43" t="n"/>
      <c r="M4" s="43" t="n"/>
    </row>
    <row r="5" ht="30" customHeight="1">
      <c r="B5" s="48">
        <f>"💰 หมวดหมู่รายรับ  ("&amp;COUNTA(B6:B20)&amp;"/15)"</f>
        <v/>
      </c>
      <c r="D5" s="49">
        <f>"💸 หมวดหมู่รายจ่าย  ("&amp;COUNTA(D6:D30)&amp;"/25)"</f>
        <v/>
      </c>
      <c r="F5" s="50">
        <f>"🏦 หมวดหมู่เงินออม  ("&amp;COUNTA(F6:F20)&amp;"/15)"</f>
        <v/>
      </c>
      <c r="H5" s="101" t="inlineStr">
        <is>
          <t>ปี (ค.ศ.)</t>
        </is>
      </c>
      <c r="I5" s="101" t="inlineStr">
        <is>
          <t>เดือน</t>
        </is>
      </c>
      <c r="J5" s="101" t="inlineStr">
        <is>
          <t>ย่อ</t>
        </is>
      </c>
      <c r="L5" s="101" t="inlineStr">
        <is>
          <t>รายการหมวดหมู่รวม
(ใช้ทำ Drop-down)</t>
        </is>
      </c>
      <c r="M5" s="101" t="inlineStr">
        <is>
          <t>ประเภท</t>
        </is>
      </c>
    </row>
    <row r="6">
      <c r="B6" s="118" t="inlineStr">
        <is>
          <t>เงินเดือน</t>
        </is>
      </c>
      <c r="D6" s="118" t="inlineStr">
        <is>
          <t>ค่าอาหาร</t>
        </is>
      </c>
      <c r="F6" s="118" t="inlineStr">
        <is>
          <t>เงินฝากออมทรัพย์</t>
        </is>
      </c>
      <c r="H6" s="119" t="n">
        <v>2024</v>
      </c>
      <c r="I6" s="119" t="inlineStr">
        <is>
          <t>มกราคม</t>
        </is>
      </c>
      <c r="J6" s="119" t="inlineStr">
        <is>
          <t>ม.ค.</t>
        </is>
      </c>
      <c r="L6" s="46">
        <f>IF(1&lt;=COUNTA($B$6:$B$20),INDEX($B$6:$B$20,1),IF(1&lt;=COUNTA($B$6:$B$20)+COUNTA($D$6:$D$30),INDEX($D$6:$D$30,1-COUNTA($B$6:$B$20)),IF(1&lt;=COUNTA($B$6:$B$20)+COUNTA($D$6:$D$30)+COUNTA($F$6:$F$20),INDEX($F$6:$F$20,1-COUNTA($B$6:$B$20)-COUNTA($D$6:$D$30)),"")))</f>
        <v/>
      </c>
      <c r="M6" s="46">
        <f>IF(1&lt;=COUNTA($B$6:$B$20),"รายรับ",IF(1&lt;=COUNTA($B$6:$B$20)+COUNTA($D$6:$D$30),"รายจ่าย",IF(1&lt;=COUNTA($B$6:$B$20)+COUNTA($D$6:$D$30)+COUNTA($F$6:$F$20),"เงินออม","")))</f>
        <v/>
      </c>
    </row>
    <row r="7">
      <c r="B7" s="118" t="inlineStr">
        <is>
          <t>โบนัส</t>
        </is>
      </c>
      <c r="D7" s="118" t="inlineStr">
        <is>
          <t>ค่าเดินทาง</t>
        </is>
      </c>
      <c r="F7" s="118" t="inlineStr">
        <is>
          <t>เงินสำรองฉุกเฉิน</t>
        </is>
      </c>
      <c r="H7" s="119" t="n">
        <v>2025</v>
      </c>
      <c r="I7" s="119" t="inlineStr">
        <is>
          <t>กุมภาพันธ์</t>
        </is>
      </c>
      <c r="J7" s="119" t="inlineStr">
        <is>
          <t>ก.พ.</t>
        </is>
      </c>
      <c r="L7" s="46">
        <f>IF(2&lt;=COUNTA($B$6:$B$20),INDEX($B$6:$B$20,2),IF(2&lt;=COUNTA($B$6:$B$20)+COUNTA($D$6:$D$30),INDEX($D$6:$D$30,2-COUNTA($B$6:$B$20)),IF(2&lt;=COUNTA($B$6:$B$20)+COUNTA($D$6:$D$30)+COUNTA($F$6:$F$20),INDEX($F$6:$F$20,2-COUNTA($B$6:$B$20)-COUNTA($D$6:$D$30)),"")))</f>
        <v/>
      </c>
      <c r="M7" s="46">
        <f>IF(2&lt;=COUNTA($B$6:$B$20),"รายรับ",IF(2&lt;=COUNTA($B$6:$B$20)+COUNTA($D$6:$D$30),"รายจ่าย",IF(2&lt;=COUNTA($B$6:$B$20)+COUNTA($D$6:$D$30)+COUNTA($F$6:$F$20),"เงินออม","")))</f>
        <v/>
      </c>
    </row>
    <row r="8">
      <c r="B8" s="118" t="inlineStr">
        <is>
          <t>ค่าล่วงเวลา (OT)</t>
        </is>
      </c>
      <c r="D8" s="118" t="inlineStr">
        <is>
          <t>ค่าที่พัก/ค่าเช่า</t>
        </is>
      </c>
      <c r="F8" s="118" t="inlineStr">
        <is>
          <t>กองทุน SSF/RMF</t>
        </is>
      </c>
      <c r="H8" s="119" t="n">
        <v>2026</v>
      </c>
      <c r="I8" s="119" t="inlineStr">
        <is>
          <t>มีนาคม</t>
        </is>
      </c>
      <c r="J8" s="119" t="inlineStr">
        <is>
          <t>มี.ค.</t>
        </is>
      </c>
      <c r="L8" s="46">
        <f>IF(3&lt;=COUNTA($B$6:$B$20),INDEX($B$6:$B$20,3),IF(3&lt;=COUNTA($B$6:$B$20)+COUNTA($D$6:$D$30),INDEX($D$6:$D$30,3-COUNTA($B$6:$B$20)),IF(3&lt;=COUNTA($B$6:$B$20)+COUNTA($D$6:$D$30)+COUNTA($F$6:$F$20),INDEX($F$6:$F$20,3-COUNTA($B$6:$B$20)-COUNTA($D$6:$D$30)),"")))</f>
        <v/>
      </c>
      <c r="M8" s="46">
        <f>IF(3&lt;=COUNTA($B$6:$B$20),"รายรับ",IF(3&lt;=COUNTA($B$6:$B$20)+COUNTA($D$6:$D$30),"รายจ่าย",IF(3&lt;=COUNTA($B$6:$B$20)+COUNTA($D$6:$D$30)+COUNTA($F$6:$F$20),"เงินออม","")))</f>
        <v/>
      </c>
    </row>
    <row r="9">
      <c r="B9" s="118" t="inlineStr">
        <is>
          <t>ฟรีแลนซ์/งานเสริม</t>
        </is>
      </c>
      <c r="D9" s="118" t="inlineStr">
        <is>
          <t>ค่าน้ำ-ค่าไฟ</t>
        </is>
      </c>
      <c r="F9" s="118" t="inlineStr">
        <is>
          <t>หุ้น/ETF</t>
        </is>
      </c>
      <c r="H9" s="119" t="n">
        <v>2027</v>
      </c>
      <c r="I9" s="119" t="inlineStr">
        <is>
          <t>เมษายน</t>
        </is>
      </c>
      <c r="J9" s="119" t="inlineStr">
        <is>
          <t>เม.ย.</t>
        </is>
      </c>
      <c r="L9" s="46">
        <f>IF(4&lt;=COUNTA($B$6:$B$20),INDEX($B$6:$B$20,4),IF(4&lt;=COUNTA($B$6:$B$20)+COUNTA($D$6:$D$30),INDEX($D$6:$D$30,4-COUNTA($B$6:$B$20)),IF(4&lt;=COUNTA($B$6:$B$20)+COUNTA($D$6:$D$30)+COUNTA($F$6:$F$20),INDEX($F$6:$F$20,4-COUNTA($B$6:$B$20)-COUNTA($D$6:$D$30)),"")))</f>
        <v/>
      </c>
      <c r="M9" s="46">
        <f>IF(4&lt;=COUNTA($B$6:$B$20),"รายรับ",IF(4&lt;=COUNTA($B$6:$B$20)+COUNTA($D$6:$D$30),"รายจ่าย",IF(4&lt;=COUNTA($B$6:$B$20)+COUNTA($D$6:$D$30)+COUNTA($F$6:$F$20),"เงินออม","")))</f>
        <v/>
      </c>
    </row>
    <row r="10">
      <c r="B10" s="118" t="inlineStr">
        <is>
          <t>ขายของออนไลน์</t>
        </is>
      </c>
      <c r="D10" s="118" t="inlineStr">
        <is>
          <t>ค่าโทรศัพท์/เน็ต</t>
        </is>
      </c>
      <c r="F10" s="118" t="inlineStr">
        <is>
          <t>ออมทอง</t>
        </is>
      </c>
      <c r="H10" s="119" t="n">
        <v>2028</v>
      </c>
      <c r="I10" s="119" t="inlineStr">
        <is>
          <t>พฤษภาคม</t>
        </is>
      </c>
      <c r="J10" s="119" t="inlineStr">
        <is>
          <t>พ.ค.</t>
        </is>
      </c>
      <c r="L10" s="46">
        <f>IF(5&lt;=COUNTA($B$6:$B$20),INDEX($B$6:$B$20,5),IF(5&lt;=COUNTA($B$6:$B$20)+COUNTA($D$6:$D$30),INDEX($D$6:$D$30,5-COUNTA($B$6:$B$20)),IF(5&lt;=COUNTA($B$6:$B$20)+COUNTA($D$6:$D$30)+COUNTA($F$6:$F$20),INDEX($F$6:$F$20,5-COUNTA($B$6:$B$20)-COUNTA($D$6:$D$30)),"")))</f>
        <v/>
      </c>
      <c r="M10" s="46">
        <f>IF(5&lt;=COUNTA($B$6:$B$20),"รายรับ",IF(5&lt;=COUNTA($B$6:$B$20)+COUNTA($D$6:$D$30),"รายจ่าย",IF(5&lt;=COUNTA($B$6:$B$20)+COUNTA($D$6:$D$30)+COUNTA($F$6:$F$20),"เงินออม","")))</f>
        <v/>
      </c>
    </row>
    <row r="11">
      <c r="B11" s="118" t="inlineStr">
        <is>
          <t>ดอกเบี้ย/ปันผล</t>
        </is>
      </c>
      <c r="D11" s="118" t="inlineStr">
        <is>
          <t>ของใช้ในบ้าน</t>
        </is>
      </c>
      <c r="F11" s="118" t="inlineStr">
        <is>
          <t>ออมเพื่อเกษียณ</t>
        </is>
      </c>
      <c r="H11" s="119" t="n">
        <v>2029</v>
      </c>
      <c r="I11" s="119" t="inlineStr">
        <is>
          <t>มิถุนายน</t>
        </is>
      </c>
      <c r="J11" s="119" t="inlineStr">
        <is>
          <t>มิ.ย.</t>
        </is>
      </c>
      <c r="L11" s="46">
        <f>IF(6&lt;=COUNTA($B$6:$B$20),INDEX($B$6:$B$20,6),IF(6&lt;=COUNTA($B$6:$B$20)+COUNTA($D$6:$D$30),INDEX($D$6:$D$30,6-COUNTA($B$6:$B$20)),IF(6&lt;=COUNTA($B$6:$B$20)+COUNTA($D$6:$D$30)+COUNTA($F$6:$F$20),INDEX($F$6:$F$20,6-COUNTA($B$6:$B$20)-COUNTA($D$6:$D$30)),"")))</f>
        <v/>
      </c>
      <c r="M11" s="46">
        <f>IF(6&lt;=COUNTA($B$6:$B$20),"รายรับ",IF(6&lt;=COUNTA($B$6:$B$20)+COUNTA($D$6:$D$30),"รายจ่าย",IF(6&lt;=COUNTA($B$6:$B$20)+COUNTA($D$6:$D$30)+COUNTA($F$6:$F$20),"เงินออม","")))</f>
        <v/>
      </c>
    </row>
    <row r="12">
      <c r="B12" s="118" t="inlineStr">
        <is>
          <t>เงินคืนภาษี</t>
        </is>
      </c>
      <c r="D12" s="118" t="inlineStr">
        <is>
          <t>ช้อปปิ้ง</t>
        </is>
      </c>
      <c r="F12" s="118" t="inlineStr">
        <is>
          <t>ออมอื่นๆ</t>
        </is>
      </c>
      <c r="H12" s="119" t="n">
        <v>2030</v>
      </c>
      <c r="I12" s="119" t="inlineStr">
        <is>
          <t>กรกฎาคม</t>
        </is>
      </c>
      <c r="J12" s="119" t="inlineStr">
        <is>
          <t>ก.ค.</t>
        </is>
      </c>
      <c r="L12" s="46">
        <f>IF(7&lt;=COUNTA($B$6:$B$20),INDEX($B$6:$B$20,7),IF(7&lt;=COUNTA($B$6:$B$20)+COUNTA($D$6:$D$30),INDEX($D$6:$D$30,7-COUNTA($B$6:$B$20)),IF(7&lt;=COUNTA($B$6:$B$20)+COUNTA($D$6:$D$30)+COUNTA($F$6:$F$20),INDEX($F$6:$F$20,7-COUNTA($B$6:$B$20)-COUNTA($D$6:$D$30)),"")))</f>
        <v/>
      </c>
      <c r="M12" s="46">
        <f>IF(7&lt;=COUNTA($B$6:$B$20),"รายรับ",IF(7&lt;=COUNTA($B$6:$B$20)+COUNTA($D$6:$D$30),"รายจ่าย",IF(7&lt;=COUNTA($B$6:$B$20)+COUNTA($D$6:$D$30)+COUNTA($F$6:$F$20),"เงินออม","")))</f>
        <v/>
      </c>
    </row>
    <row r="13">
      <c r="B13" s="118" t="inlineStr">
        <is>
          <t>รายรับอื่นๆ</t>
        </is>
      </c>
      <c r="D13" s="118" t="inlineStr">
        <is>
          <t>สุขภาพ/ยา</t>
        </is>
      </c>
      <c r="F13" s="118" t="n"/>
      <c r="H13" s="119" t="n">
        <v>2031</v>
      </c>
      <c r="I13" s="119" t="inlineStr">
        <is>
          <t>สิงหาคม</t>
        </is>
      </c>
      <c r="J13" s="119" t="inlineStr">
        <is>
          <t>ส.ค.</t>
        </is>
      </c>
      <c r="L13" s="46">
        <f>IF(8&lt;=COUNTA($B$6:$B$20),INDEX($B$6:$B$20,8),IF(8&lt;=COUNTA($B$6:$B$20)+COUNTA($D$6:$D$30),INDEX($D$6:$D$30,8-COUNTA($B$6:$B$20)),IF(8&lt;=COUNTA($B$6:$B$20)+COUNTA($D$6:$D$30)+COUNTA($F$6:$F$20),INDEX($F$6:$F$20,8-COUNTA($B$6:$B$20)-COUNTA($D$6:$D$30)),"")))</f>
        <v/>
      </c>
      <c r="M13" s="46">
        <f>IF(8&lt;=COUNTA($B$6:$B$20),"รายรับ",IF(8&lt;=COUNTA($B$6:$B$20)+COUNTA($D$6:$D$30),"รายจ่าย",IF(8&lt;=COUNTA($B$6:$B$20)+COUNTA($D$6:$D$30)+COUNTA($F$6:$F$20),"เงินออม","")))</f>
        <v/>
      </c>
    </row>
    <row r="14">
      <c r="B14" s="118" t="n"/>
      <c r="D14" s="118" t="inlineStr">
        <is>
          <t>ประกันภัย</t>
        </is>
      </c>
      <c r="F14" s="118" t="n"/>
      <c r="H14" s="119" t="n">
        <v>2032</v>
      </c>
      <c r="I14" s="119" t="inlineStr">
        <is>
          <t>กันยายน</t>
        </is>
      </c>
      <c r="J14" s="119" t="inlineStr">
        <is>
          <t>ก.ย.</t>
        </is>
      </c>
      <c r="L14" s="46">
        <f>IF(9&lt;=COUNTA($B$6:$B$20),INDEX($B$6:$B$20,9),IF(9&lt;=COUNTA($B$6:$B$20)+COUNTA($D$6:$D$30),INDEX($D$6:$D$30,9-COUNTA($B$6:$B$20)),IF(9&lt;=COUNTA($B$6:$B$20)+COUNTA($D$6:$D$30)+COUNTA($F$6:$F$20),INDEX($F$6:$F$20,9-COUNTA($B$6:$B$20)-COUNTA($D$6:$D$30)),"")))</f>
        <v/>
      </c>
      <c r="M14" s="46">
        <f>IF(9&lt;=COUNTA($B$6:$B$20),"รายรับ",IF(9&lt;=COUNTA($B$6:$B$20)+COUNTA($D$6:$D$30),"รายจ่าย",IF(9&lt;=COUNTA($B$6:$B$20)+COUNTA($D$6:$D$30)+COUNTA($F$6:$F$20),"เงินออม","")))</f>
        <v/>
      </c>
    </row>
    <row r="15">
      <c r="B15" s="118" t="n"/>
      <c r="D15" s="118" t="inlineStr">
        <is>
          <t>สังสรรค์/บันเทิง</t>
        </is>
      </c>
      <c r="F15" s="118" t="n"/>
      <c r="H15" s="119" t="n">
        <v>2033</v>
      </c>
      <c r="I15" s="119" t="inlineStr">
        <is>
          <t>ตุลาคม</t>
        </is>
      </c>
      <c r="J15" s="119" t="inlineStr">
        <is>
          <t>ต.ค.</t>
        </is>
      </c>
      <c r="L15" s="46">
        <f>IF(10&lt;=COUNTA($B$6:$B$20),INDEX($B$6:$B$20,10),IF(10&lt;=COUNTA($B$6:$B$20)+COUNTA($D$6:$D$30),INDEX($D$6:$D$30,10-COUNTA($B$6:$B$20)),IF(10&lt;=COUNTA($B$6:$B$20)+COUNTA($D$6:$D$30)+COUNTA($F$6:$F$20),INDEX($F$6:$F$20,10-COUNTA($B$6:$B$20)-COUNTA($D$6:$D$30)),"")))</f>
        <v/>
      </c>
      <c r="M15" s="46">
        <f>IF(10&lt;=COUNTA($B$6:$B$20),"รายรับ",IF(10&lt;=COUNTA($B$6:$B$20)+COUNTA($D$6:$D$30),"รายจ่าย",IF(10&lt;=COUNTA($B$6:$B$20)+COUNTA($D$6:$D$30)+COUNTA($F$6:$F$20),"เงินออม","")))</f>
        <v/>
      </c>
    </row>
    <row r="16">
      <c r="B16" s="118" t="n"/>
      <c r="D16" s="118" t="inlineStr">
        <is>
          <t>การศึกษา</t>
        </is>
      </c>
      <c r="F16" s="118" t="n"/>
      <c r="H16" s="119" t="n">
        <v>2034</v>
      </c>
      <c r="I16" s="119" t="inlineStr">
        <is>
          <t>พฤศจิกายน</t>
        </is>
      </c>
      <c r="J16" s="119" t="inlineStr">
        <is>
          <t>พ.ย.</t>
        </is>
      </c>
      <c r="L16" s="46">
        <f>IF(11&lt;=COUNTA($B$6:$B$20),INDEX($B$6:$B$20,11),IF(11&lt;=COUNTA($B$6:$B$20)+COUNTA($D$6:$D$30),INDEX($D$6:$D$30,11-COUNTA($B$6:$B$20)),IF(11&lt;=COUNTA($B$6:$B$20)+COUNTA($D$6:$D$30)+COUNTA($F$6:$F$20),INDEX($F$6:$F$20,11-COUNTA($B$6:$B$20)-COUNTA($D$6:$D$30)),"")))</f>
        <v/>
      </c>
      <c r="M16" s="46">
        <f>IF(11&lt;=COUNTA($B$6:$B$20),"รายรับ",IF(11&lt;=COUNTA($B$6:$B$20)+COUNTA($D$6:$D$30),"รายจ่าย",IF(11&lt;=COUNTA($B$6:$B$20)+COUNTA($D$6:$D$30)+COUNTA($F$6:$F$20),"เงินออม","")))</f>
        <v/>
      </c>
    </row>
    <row r="17">
      <c r="B17" s="118" t="n"/>
      <c r="D17" s="118" t="inlineStr">
        <is>
          <t>ผ่อนชำระ/หนี้</t>
        </is>
      </c>
      <c r="F17" s="118" t="n"/>
      <c r="H17" s="119" t="n">
        <v>2035</v>
      </c>
      <c r="I17" s="119" t="inlineStr">
        <is>
          <t>ธันวาคม</t>
        </is>
      </c>
      <c r="J17" s="119" t="inlineStr">
        <is>
          <t>ธ.ค.</t>
        </is>
      </c>
      <c r="L17" s="46">
        <f>IF(12&lt;=COUNTA($B$6:$B$20),INDEX($B$6:$B$20,12),IF(12&lt;=COUNTA($B$6:$B$20)+COUNTA($D$6:$D$30),INDEX($D$6:$D$30,12-COUNTA($B$6:$B$20)),IF(12&lt;=COUNTA($B$6:$B$20)+COUNTA($D$6:$D$30)+COUNTA($F$6:$F$20),INDEX($F$6:$F$20,12-COUNTA($B$6:$B$20)-COUNTA($D$6:$D$30)),"")))</f>
        <v/>
      </c>
      <c r="M17" s="46">
        <f>IF(12&lt;=COUNTA($B$6:$B$20),"รายรับ",IF(12&lt;=COUNTA($B$6:$B$20)+COUNTA($D$6:$D$30),"รายจ่าย",IF(12&lt;=COUNTA($B$6:$B$20)+COUNTA($D$6:$D$30)+COUNTA($F$6:$F$20),"เงินออม","")))</f>
        <v/>
      </c>
    </row>
    <row r="18">
      <c r="B18" s="118" t="n"/>
      <c r="D18" s="118" t="inlineStr">
        <is>
          <t>ให้ครอบครัว</t>
        </is>
      </c>
      <c r="F18" s="118" t="n"/>
      <c r="L18" s="46">
        <f>IF(13&lt;=COUNTA($B$6:$B$20),INDEX($B$6:$B$20,13),IF(13&lt;=COUNTA($B$6:$B$20)+COUNTA($D$6:$D$30),INDEX($D$6:$D$30,13-COUNTA($B$6:$B$20)),IF(13&lt;=COUNTA($B$6:$B$20)+COUNTA($D$6:$D$30)+COUNTA($F$6:$F$20),INDEX($F$6:$F$20,13-COUNTA($B$6:$B$20)-COUNTA($D$6:$D$30)),"")))</f>
        <v/>
      </c>
      <c r="M18" s="46">
        <f>IF(13&lt;=COUNTA($B$6:$B$20),"รายรับ",IF(13&lt;=COUNTA($B$6:$B$20)+COUNTA($D$6:$D$30),"รายจ่าย",IF(13&lt;=COUNTA($B$6:$B$20)+COUNTA($D$6:$D$30)+COUNTA($F$6:$F$20),"เงินออม","")))</f>
        <v/>
      </c>
    </row>
    <row r="19">
      <c r="B19" s="118" t="n"/>
      <c r="D19" s="118" t="inlineStr">
        <is>
          <t>ท่องเที่ยว</t>
        </is>
      </c>
      <c r="F19" s="118" t="n"/>
      <c r="L19" s="46">
        <f>IF(14&lt;=COUNTA($B$6:$B$20),INDEX($B$6:$B$20,14),IF(14&lt;=COUNTA($B$6:$B$20)+COUNTA($D$6:$D$30),INDEX($D$6:$D$30,14-COUNTA($B$6:$B$20)),IF(14&lt;=COUNTA($B$6:$B$20)+COUNTA($D$6:$D$30)+COUNTA($F$6:$F$20),INDEX($F$6:$F$20,14-COUNTA($B$6:$B$20)-COUNTA($D$6:$D$30)),"")))</f>
        <v/>
      </c>
      <c r="M19" s="46">
        <f>IF(14&lt;=COUNTA($B$6:$B$20),"รายรับ",IF(14&lt;=COUNTA($B$6:$B$20)+COUNTA($D$6:$D$30),"รายจ่าย",IF(14&lt;=COUNTA($B$6:$B$20)+COUNTA($D$6:$D$30)+COUNTA($F$6:$F$20),"เงินออม","")))</f>
        <v/>
      </c>
    </row>
    <row r="20">
      <c r="B20" s="118" t="n"/>
      <c r="D20" s="118" t="inlineStr">
        <is>
          <t>Subscription</t>
        </is>
      </c>
      <c r="F20" s="118" t="n"/>
      <c r="L20" s="46">
        <f>IF(15&lt;=COUNTA($B$6:$B$20),INDEX($B$6:$B$20,15),IF(15&lt;=COUNTA($B$6:$B$20)+COUNTA($D$6:$D$30),INDEX($D$6:$D$30,15-COUNTA($B$6:$B$20)),IF(15&lt;=COUNTA($B$6:$B$20)+COUNTA($D$6:$D$30)+COUNTA($F$6:$F$20),INDEX($F$6:$F$20,15-COUNTA($B$6:$B$20)-COUNTA($D$6:$D$30)),"")))</f>
        <v/>
      </c>
      <c r="M20" s="46">
        <f>IF(15&lt;=COUNTA($B$6:$B$20),"รายรับ",IF(15&lt;=COUNTA($B$6:$B$20)+COUNTA($D$6:$D$30),"รายจ่าย",IF(15&lt;=COUNTA($B$6:$B$20)+COUNTA($D$6:$D$30)+COUNTA($F$6:$F$20),"เงินออม","")))</f>
        <v/>
      </c>
    </row>
    <row r="21">
      <c r="D21" s="118" t="inlineStr">
        <is>
          <t>ทำบุญ/บริจาค</t>
        </is>
      </c>
      <c r="L21" s="46">
        <f>IF(16&lt;=COUNTA($B$6:$B$20),INDEX($B$6:$B$20,16),IF(16&lt;=COUNTA($B$6:$B$20)+COUNTA($D$6:$D$30),INDEX($D$6:$D$30,16-COUNTA($B$6:$B$20)),IF(16&lt;=COUNTA($B$6:$B$20)+COUNTA($D$6:$D$30)+COUNTA($F$6:$F$20),INDEX($F$6:$F$20,16-COUNTA($B$6:$B$20)-COUNTA($D$6:$D$30)),"")))</f>
        <v/>
      </c>
      <c r="M21" s="46">
        <f>IF(16&lt;=COUNTA($B$6:$B$20),"รายรับ",IF(16&lt;=COUNTA($B$6:$B$20)+COUNTA($D$6:$D$30),"รายจ่าย",IF(16&lt;=COUNTA($B$6:$B$20)+COUNTA($D$6:$D$30)+COUNTA($F$6:$F$20),"เงินออม","")))</f>
        <v/>
      </c>
    </row>
    <row r="22">
      <c r="D22" s="118" t="inlineStr">
        <is>
          <t>รายจ่ายอื่นๆ</t>
        </is>
      </c>
      <c r="L22" s="46">
        <f>IF(17&lt;=COUNTA($B$6:$B$20),INDEX($B$6:$B$20,17),IF(17&lt;=COUNTA($B$6:$B$20)+COUNTA($D$6:$D$30),INDEX($D$6:$D$30,17-COUNTA($B$6:$B$20)),IF(17&lt;=COUNTA($B$6:$B$20)+COUNTA($D$6:$D$30)+COUNTA($F$6:$F$20),INDEX($F$6:$F$20,17-COUNTA($B$6:$B$20)-COUNTA($D$6:$D$30)),"")))</f>
        <v/>
      </c>
      <c r="M22" s="46">
        <f>IF(17&lt;=COUNTA($B$6:$B$20),"รายรับ",IF(17&lt;=COUNTA($B$6:$B$20)+COUNTA($D$6:$D$30),"รายจ่าย",IF(17&lt;=COUNTA($B$6:$B$20)+COUNTA($D$6:$D$30)+COUNTA($F$6:$F$20),"เงินออม","")))</f>
        <v/>
      </c>
    </row>
    <row r="23">
      <c r="D23" s="118" t="n"/>
      <c r="L23" s="46">
        <f>IF(18&lt;=COUNTA($B$6:$B$20),INDEX($B$6:$B$20,18),IF(18&lt;=COUNTA($B$6:$B$20)+COUNTA($D$6:$D$30),INDEX($D$6:$D$30,18-COUNTA($B$6:$B$20)),IF(18&lt;=COUNTA($B$6:$B$20)+COUNTA($D$6:$D$30)+COUNTA($F$6:$F$20),INDEX($F$6:$F$20,18-COUNTA($B$6:$B$20)-COUNTA($D$6:$D$30)),"")))</f>
        <v/>
      </c>
      <c r="M23" s="46">
        <f>IF(18&lt;=COUNTA($B$6:$B$20),"รายรับ",IF(18&lt;=COUNTA($B$6:$B$20)+COUNTA($D$6:$D$30),"รายจ่าย",IF(18&lt;=COUNTA($B$6:$B$20)+COUNTA($D$6:$D$30)+COUNTA($F$6:$F$20),"เงินออม","")))</f>
        <v/>
      </c>
    </row>
    <row r="24">
      <c r="D24" s="118" t="n"/>
      <c r="L24" s="46">
        <f>IF(19&lt;=COUNTA($B$6:$B$20),INDEX($B$6:$B$20,19),IF(19&lt;=COUNTA($B$6:$B$20)+COUNTA($D$6:$D$30),INDEX($D$6:$D$30,19-COUNTA($B$6:$B$20)),IF(19&lt;=COUNTA($B$6:$B$20)+COUNTA($D$6:$D$30)+COUNTA($F$6:$F$20),INDEX($F$6:$F$20,19-COUNTA($B$6:$B$20)-COUNTA($D$6:$D$30)),"")))</f>
        <v/>
      </c>
      <c r="M24" s="46">
        <f>IF(19&lt;=COUNTA($B$6:$B$20),"รายรับ",IF(19&lt;=COUNTA($B$6:$B$20)+COUNTA($D$6:$D$30),"รายจ่าย",IF(19&lt;=COUNTA($B$6:$B$20)+COUNTA($D$6:$D$30)+COUNTA($F$6:$F$20),"เงินออม","")))</f>
        <v/>
      </c>
    </row>
    <row r="25">
      <c r="D25" s="118" t="n"/>
      <c r="L25" s="46">
        <f>IF(20&lt;=COUNTA($B$6:$B$20),INDEX($B$6:$B$20,20),IF(20&lt;=COUNTA($B$6:$B$20)+COUNTA($D$6:$D$30),INDEX($D$6:$D$30,20-COUNTA($B$6:$B$20)),IF(20&lt;=COUNTA($B$6:$B$20)+COUNTA($D$6:$D$30)+COUNTA($F$6:$F$20),INDEX($F$6:$F$20,20-COUNTA($B$6:$B$20)-COUNTA($D$6:$D$30)),"")))</f>
        <v/>
      </c>
      <c r="M25" s="46">
        <f>IF(20&lt;=COUNTA($B$6:$B$20),"รายรับ",IF(20&lt;=COUNTA($B$6:$B$20)+COUNTA($D$6:$D$30),"รายจ่าย",IF(20&lt;=COUNTA($B$6:$B$20)+COUNTA($D$6:$D$30)+COUNTA($F$6:$F$20),"เงินออม","")))</f>
        <v/>
      </c>
    </row>
    <row r="26">
      <c r="D26" s="118" t="n"/>
      <c r="L26" s="46">
        <f>IF(21&lt;=COUNTA($B$6:$B$20),INDEX($B$6:$B$20,21),IF(21&lt;=COUNTA($B$6:$B$20)+COUNTA($D$6:$D$30),INDEX($D$6:$D$30,21-COUNTA($B$6:$B$20)),IF(21&lt;=COUNTA($B$6:$B$20)+COUNTA($D$6:$D$30)+COUNTA($F$6:$F$20),INDEX($F$6:$F$20,21-COUNTA($B$6:$B$20)-COUNTA($D$6:$D$30)),"")))</f>
        <v/>
      </c>
      <c r="M26" s="46">
        <f>IF(21&lt;=COUNTA($B$6:$B$20),"รายรับ",IF(21&lt;=COUNTA($B$6:$B$20)+COUNTA($D$6:$D$30),"รายจ่าย",IF(21&lt;=COUNTA($B$6:$B$20)+COUNTA($D$6:$D$30)+COUNTA($F$6:$F$20),"เงินออม","")))</f>
        <v/>
      </c>
    </row>
    <row r="27">
      <c r="D27" s="118" t="n"/>
      <c r="L27" s="46">
        <f>IF(22&lt;=COUNTA($B$6:$B$20),INDEX($B$6:$B$20,22),IF(22&lt;=COUNTA($B$6:$B$20)+COUNTA($D$6:$D$30),INDEX($D$6:$D$30,22-COUNTA($B$6:$B$20)),IF(22&lt;=COUNTA($B$6:$B$20)+COUNTA($D$6:$D$30)+COUNTA($F$6:$F$20),INDEX($F$6:$F$20,22-COUNTA($B$6:$B$20)-COUNTA($D$6:$D$30)),"")))</f>
        <v/>
      </c>
      <c r="M27" s="46">
        <f>IF(22&lt;=COUNTA($B$6:$B$20),"รายรับ",IF(22&lt;=COUNTA($B$6:$B$20)+COUNTA($D$6:$D$30),"รายจ่าย",IF(22&lt;=COUNTA($B$6:$B$20)+COUNTA($D$6:$D$30)+COUNTA($F$6:$F$20),"เงินออม","")))</f>
        <v/>
      </c>
    </row>
    <row r="28">
      <c r="D28" s="118" t="n"/>
      <c r="L28" s="46">
        <f>IF(23&lt;=COUNTA($B$6:$B$20),INDEX($B$6:$B$20,23),IF(23&lt;=COUNTA($B$6:$B$20)+COUNTA($D$6:$D$30),INDEX($D$6:$D$30,23-COUNTA($B$6:$B$20)),IF(23&lt;=COUNTA($B$6:$B$20)+COUNTA($D$6:$D$30)+COUNTA($F$6:$F$20),INDEX($F$6:$F$20,23-COUNTA($B$6:$B$20)-COUNTA($D$6:$D$30)),"")))</f>
        <v/>
      </c>
      <c r="M28" s="46">
        <f>IF(23&lt;=COUNTA($B$6:$B$20),"รายรับ",IF(23&lt;=COUNTA($B$6:$B$20)+COUNTA($D$6:$D$30),"รายจ่าย",IF(23&lt;=COUNTA($B$6:$B$20)+COUNTA($D$6:$D$30)+COUNTA($F$6:$F$20),"เงินออม","")))</f>
        <v/>
      </c>
    </row>
    <row r="29">
      <c r="D29" s="118" t="n"/>
      <c r="L29" s="46">
        <f>IF(24&lt;=COUNTA($B$6:$B$20),INDEX($B$6:$B$20,24),IF(24&lt;=COUNTA($B$6:$B$20)+COUNTA($D$6:$D$30),INDEX($D$6:$D$30,24-COUNTA($B$6:$B$20)),IF(24&lt;=COUNTA($B$6:$B$20)+COUNTA($D$6:$D$30)+COUNTA($F$6:$F$20),INDEX($F$6:$F$20,24-COUNTA($B$6:$B$20)-COUNTA($D$6:$D$30)),"")))</f>
        <v/>
      </c>
      <c r="M29" s="46">
        <f>IF(24&lt;=COUNTA($B$6:$B$20),"รายรับ",IF(24&lt;=COUNTA($B$6:$B$20)+COUNTA($D$6:$D$30),"รายจ่าย",IF(24&lt;=COUNTA($B$6:$B$20)+COUNTA($D$6:$D$30)+COUNTA($F$6:$F$20),"เงินออม","")))</f>
        <v/>
      </c>
    </row>
    <row r="30">
      <c r="D30" s="118" t="n"/>
      <c r="L30" s="46">
        <f>IF(25&lt;=COUNTA($B$6:$B$20),INDEX($B$6:$B$20,25),IF(25&lt;=COUNTA($B$6:$B$20)+COUNTA($D$6:$D$30),INDEX($D$6:$D$30,25-COUNTA($B$6:$B$20)),IF(25&lt;=COUNTA($B$6:$B$20)+COUNTA($D$6:$D$30)+COUNTA($F$6:$F$20),INDEX($F$6:$F$20,25-COUNTA($B$6:$B$20)-COUNTA($D$6:$D$30)),"")))</f>
        <v/>
      </c>
      <c r="M30" s="46">
        <f>IF(25&lt;=COUNTA($B$6:$B$20),"รายรับ",IF(25&lt;=COUNTA($B$6:$B$20)+COUNTA($D$6:$D$30),"รายจ่าย",IF(25&lt;=COUNTA($B$6:$B$20)+COUNTA($D$6:$D$30)+COUNTA($F$6:$F$20),"เงินออม","")))</f>
        <v/>
      </c>
    </row>
    <row r="31">
      <c r="L31" s="46">
        <f>IF(26&lt;=COUNTA($B$6:$B$20),INDEX($B$6:$B$20,26),IF(26&lt;=COUNTA($B$6:$B$20)+COUNTA($D$6:$D$30),INDEX($D$6:$D$30,26-COUNTA($B$6:$B$20)),IF(26&lt;=COUNTA($B$6:$B$20)+COUNTA($D$6:$D$30)+COUNTA($F$6:$F$20),INDEX($F$6:$F$20,26-COUNTA($B$6:$B$20)-COUNTA($D$6:$D$30)),"")))</f>
        <v/>
      </c>
      <c r="M31" s="46">
        <f>IF(26&lt;=COUNTA($B$6:$B$20),"รายรับ",IF(26&lt;=COUNTA($B$6:$B$20)+COUNTA($D$6:$D$30),"รายจ่าย",IF(26&lt;=COUNTA($B$6:$B$20)+COUNTA($D$6:$D$30)+COUNTA($F$6:$F$20),"เงินออม","")))</f>
        <v/>
      </c>
    </row>
    <row r="32">
      <c r="L32" s="46">
        <f>IF(27&lt;=COUNTA($B$6:$B$20),INDEX($B$6:$B$20,27),IF(27&lt;=COUNTA($B$6:$B$20)+COUNTA($D$6:$D$30),INDEX($D$6:$D$30,27-COUNTA($B$6:$B$20)),IF(27&lt;=COUNTA($B$6:$B$20)+COUNTA($D$6:$D$30)+COUNTA($F$6:$F$20),INDEX($F$6:$F$20,27-COUNTA($B$6:$B$20)-COUNTA($D$6:$D$30)),"")))</f>
        <v/>
      </c>
      <c r="M32" s="46">
        <f>IF(27&lt;=COUNTA($B$6:$B$20),"รายรับ",IF(27&lt;=COUNTA($B$6:$B$20)+COUNTA($D$6:$D$30),"รายจ่าย",IF(27&lt;=COUNTA($B$6:$B$20)+COUNTA($D$6:$D$30)+COUNTA($F$6:$F$20),"เงินออม","")))</f>
        <v/>
      </c>
    </row>
    <row r="33" ht="24" customHeight="1">
      <c r="B33" s="120" t="inlineStr">
        <is>
          <t>📘 วิธีใช้งาน</t>
        </is>
      </c>
      <c r="C33" s="120" t="n"/>
      <c r="D33" s="120" t="n"/>
      <c r="E33" s="120" t="n"/>
      <c r="F33" s="120" t="n"/>
      <c r="L33" s="46">
        <f>IF(28&lt;=COUNTA($B$6:$B$20),INDEX($B$6:$B$20,28),IF(28&lt;=COUNTA($B$6:$B$20)+COUNTA($D$6:$D$30),INDEX($D$6:$D$30,28-COUNTA($B$6:$B$20)),IF(28&lt;=COUNTA($B$6:$B$20)+COUNTA($D$6:$D$30)+COUNTA($F$6:$F$20),INDEX($F$6:$F$20,28-COUNTA($B$6:$B$20)-COUNTA($D$6:$D$30)),"")))</f>
        <v/>
      </c>
      <c r="M33" s="46">
        <f>IF(28&lt;=COUNTA($B$6:$B$20),"รายรับ",IF(28&lt;=COUNTA($B$6:$B$20)+COUNTA($D$6:$D$30),"รายจ่าย",IF(28&lt;=COUNTA($B$6:$B$20)+COUNTA($D$6:$D$30)+COUNTA($F$6:$F$20),"เงินออม","")))</f>
        <v/>
      </c>
    </row>
    <row r="34" ht="20" customHeight="1">
      <c r="B34" s="121" t="inlineStr">
        <is>
          <t>1) Setup — แก้/เพิ่มหมวดหมู่ในช่องสีเหลือง (สูงสุด: รายรับ 15 · รายจ่าย 25 · ออม 15 หมวด)</t>
        </is>
      </c>
      <c r="C34" s="121" t="n"/>
      <c r="D34" s="121" t="n"/>
      <c r="E34" s="121" t="n"/>
      <c r="F34" s="121" t="n"/>
      <c r="L34" s="46">
        <f>IF(29&lt;=COUNTA($B$6:$B$20),INDEX($B$6:$B$20,29),IF(29&lt;=COUNTA($B$6:$B$20)+COUNTA($D$6:$D$30),INDEX($D$6:$D$30,29-COUNTA($B$6:$B$20)),IF(29&lt;=COUNTA($B$6:$B$20)+COUNTA($D$6:$D$30)+COUNTA($F$6:$F$20),INDEX($F$6:$F$20,29-COUNTA($B$6:$B$20)-COUNTA($D$6:$D$30)),"")))</f>
        <v/>
      </c>
      <c r="M34" s="46">
        <f>IF(29&lt;=COUNTA($B$6:$B$20),"รายรับ",IF(29&lt;=COUNTA($B$6:$B$20)+COUNTA($D$6:$D$30),"รายจ่าย",IF(29&lt;=COUNTA($B$6:$B$20)+COUNTA($D$6:$D$30)+COUNTA($F$6:$F$20),"เงินออม","")))</f>
        <v/>
      </c>
    </row>
    <row r="35" ht="20" customHeight="1">
      <c r="B35" s="121" t="inlineStr">
        <is>
          <t>2) Transaction — บันทึกทุกรายการ: วันที่ → ประเภท → หมวดหมู่ → จำนวนเงิน → รายละเอียด</t>
        </is>
      </c>
      <c r="C35" s="121" t="n"/>
      <c r="D35" s="121" t="n"/>
      <c r="E35" s="121" t="n"/>
      <c r="F35" s="121" t="n"/>
      <c r="L35" s="46">
        <f>IF(30&lt;=COUNTA($B$6:$B$20),INDEX($B$6:$B$20,30),IF(30&lt;=COUNTA($B$6:$B$20)+COUNTA($D$6:$D$30),INDEX($D$6:$D$30,30-COUNTA($B$6:$B$20)),IF(30&lt;=COUNTA($B$6:$B$20)+COUNTA($D$6:$D$30)+COUNTA($F$6:$F$20),INDEX($F$6:$F$20,30-COUNTA($B$6:$B$20)-COUNTA($D$6:$D$30)),"")))</f>
        <v/>
      </c>
      <c r="M35" s="46">
        <f>IF(30&lt;=COUNTA($B$6:$B$20),"รายรับ",IF(30&lt;=COUNTA($B$6:$B$20)+COUNTA($D$6:$D$30),"รายจ่าย",IF(30&lt;=COUNTA($B$6:$B$20)+COUNTA($D$6:$D$30)+COUNTA($F$6:$F$20),"เงินออม","")))</f>
        <v/>
      </c>
    </row>
    <row r="36" ht="20" customHeight="1">
      <c r="B36" s="121" t="inlineStr">
        <is>
          <t>3) Dashboard Overview — เลือกปีที่มุมขวาบน ดูภาพรวมทั้งปี ค่าเฉลี่ยรายเดือน Top 10 และ Heat Map</t>
        </is>
      </c>
      <c r="C36" s="121" t="n"/>
      <c r="D36" s="121" t="n"/>
      <c r="E36" s="121" t="n"/>
      <c r="F36" s="121" t="n"/>
      <c r="L36" s="46">
        <f>IF(31&lt;=COUNTA($B$6:$B$20),INDEX($B$6:$B$20,31),IF(31&lt;=COUNTA($B$6:$B$20)+COUNTA($D$6:$D$30),INDEX($D$6:$D$30,31-COUNTA($B$6:$B$20)),IF(31&lt;=COUNTA($B$6:$B$20)+COUNTA($D$6:$D$30)+COUNTA($F$6:$F$20),INDEX($F$6:$F$20,31-COUNTA($B$6:$B$20)-COUNTA($D$6:$D$30)),"")))</f>
        <v/>
      </c>
      <c r="M36" s="46">
        <f>IF(31&lt;=COUNTA($B$6:$B$20),"รายรับ",IF(31&lt;=COUNTA($B$6:$B$20)+COUNTA($D$6:$D$30),"รายจ่าย",IF(31&lt;=COUNTA($B$6:$B$20)+COUNTA($D$6:$D$30)+COUNTA($F$6:$F$20),"เงินออม","")))</f>
        <v/>
      </c>
    </row>
    <row r="37" ht="20" customHeight="1">
      <c r="B37" s="121" t="inlineStr">
        <is>
          <t>4) Monthly Overview — เลือกปีและเดือน ดูสรุปเดือนนั้นพร้อมเทียบกับเดือนก่อน</t>
        </is>
      </c>
      <c r="C37" s="121" t="n"/>
      <c r="D37" s="121" t="n"/>
      <c r="E37" s="121" t="n"/>
      <c r="F37" s="121" t="n"/>
      <c r="L37" s="46">
        <f>IF(32&lt;=COUNTA($B$6:$B$20),INDEX($B$6:$B$20,32),IF(32&lt;=COUNTA($B$6:$B$20)+COUNTA($D$6:$D$30),INDEX($D$6:$D$30,32-COUNTA($B$6:$B$20)),IF(32&lt;=COUNTA($B$6:$B$20)+COUNTA($D$6:$D$30)+COUNTA($F$6:$F$20),INDEX($F$6:$F$20,32-COUNTA($B$6:$B$20)-COUNTA($D$6:$D$30)),"")))</f>
        <v/>
      </c>
      <c r="M37" s="46">
        <f>IF(32&lt;=COUNTA($B$6:$B$20),"รายรับ",IF(32&lt;=COUNTA($B$6:$B$20)+COUNTA($D$6:$D$30),"รายจ่าย",IF(32&lt;=COUNTA($B$6:$B$20)+COUNTA($D$6:$D$30)+COUNTA($F$6:$F$20),"เงินออม","")))</f>
        <v/>
      </c>
    </row>
    <row r="38" ht="20" customHeight="1">
      <c r="B38" s="121" t="inlineStr">
        <is>
          <t>5) ข้อมูลในหน้า Transaction เป็นตัวอย่าง ลบได้ทันที (ลบเฉพาะคอลัมน์ B–F ห้ามลบคอลัมน์ 'ตรวจสอบ')</t>
        </is>
      </c>
      <c r="C38" s="121" t="n"/>
      <c r="D38" s="121" t="n"/>
      <c r="E38" s="121" t="n"/>
      <c r="F38" s="121" t="n"/>
      <c r="L38" s="46">
        <f>IF(33&lt;=COUNTA($B$6:$B$20),INDEX($B$6:$B$20,33),IF(33&lt;=COUNTA($B$6:$B$20)+COUNTA($D$6:$D$30),INDEX($D$6:$D$30,33-COUNTA($B$6:$B$20)),IF(33&lt;=COUNTA($B$6:$B$20)+COUNTA($D$6:$D$30)+COUNTA($F$6:$F$20),INDEX($F$6:$F$20,33-COUNTA($B$6:$B$20)-COUNTA($D$6:$D$30)),"")))</f>
        <v/>
      </c>
      <c r="M38" s="46">
        <f>IF(33&lt;=COUNTA($B$6:$B$20),"รายรับ",IF(33&lt;=COUNTA($B$6:$B$20)+COUNTA($D$6:$D$30),"รายจ่าย",IF(33&lt;=COUNTA($B$6:$B$20)+COUNTA($D$6:$D$30)+COUNTA($F$6:$F$20),"เงินออม","")))</f>
        <v/>
      </c>
    </row>
    <row r="39" ht="20" customHeight="1">
      <c r="B39" s="121" t="inlineStr">
        <is>
          <t>6) ถ้าเปลี่ยนชื่อหมวดหมู่ รายการเก่าที่ใช้ชื่อเดิมจะขึ้น ⚠ ในหน้า Transaction ให้แก้ชื่อให้ตรงกัน</t>
        </is>
      </c>
      <c r="C39" s="121" t="n"/>
      <c r="D39" s="121" t="n"/>
      <c r="E39" s="121" t="n"/>
      <c r="F39" s="121" t="n"/>
      <c r="L39" s="46">
        <f>IF(34&lt;=COUNTA($B$6:$B$20),INDEX($B$6:$B$20,34),IF(34&lt;=COUNTA($B$6:$B$20)+COUNTA($D$6:$D$30),INDEX($D$6:$D$30,34-COUNTA($B$6:$B$20)),IF(34&lt;=COUNTA($B$6:$B$20)+COUNTA($D$6:$D$30)+COUNTA($F$6:$F$20),INDEX($F$6:$F$20,34-COUNTA($B$6:$B$20)-COUNTA($D$6:$D$30)),"")))</f>
        <v/>
      </c>
      <c r="M39" s="46">
        <f>IF(34&lt;=COUNTA($B$6:$B$20),"รายรับ",IF(34&lt;=COUNTA($B$6:$B$20)+COUNTA($D$6:$D$30),"รายจ่าย",IF(34&lt;=COUNTA($B$6:$B$20)+COUNTA($D$6:$D$30)+COUNTA($F$6:$F$20),"เงินออม","")))</f>
        <v/>
      </c>
    </row>
    <row r="40" ht="20" customHeight="1">
      <c r="B40" s="121" t="inlineStr">
        <is>
          <t>7) แถวไม่พอ: เพิ่มแถวท้ายชีต แล้วคัดลอกแถวสุดท้าย (B–G) วางลงแถวใหม่ — ระบบนับทุกแถวไม่จำกัด</t>
        </is>
      </c>
      <c r="C40" s="121" t="n"/>
      <c r="D40" s="121" t="n"/>
      <c r="E40" s="121" t="n"/>
      <c r="F40" s="121" t="n"/>
      <c r="L40" s="46">
        <f>IF(35&lt;=COUNTA($B$6:$B$20),INDEX($B$6:$B$20,35),IF(35&lt;=COUNTA($B$6:$B$20)+COUNTA($D$6:$D$30),INDEX($D$6:$D$30,35-COUNTA($B$6:$B$20)),IF(35&lt;=COUNTA($B$6:$B$20)+COUNTA($D$6:$D$30)+COUNTA($F$6:$F$20),INDEX($F$6:$F$20,35-COUNTA($B$6:$B$20)-COUNTA($D$6:$D$30)),"")))</f>
        <v/>
      </c>
      <c r="M40" s="46">
        <f>IF(35&lt;=COUNTA($B$6:$B$20),"รายรับ",IF(35&lt;=COUNTA($B$6:$B$20)+COUNTA($D$6:$D$30),"รายจ่าย",IF(35&lt;=COUNTA($B$6:$B$20)+COUNTA($D$6:$D$30)+COUNTA($F$6:$F$20),"เงินออม","")))</f>
        <v/>
      </c>
    </row>
    <row r="41" ht="20" customHeight="1">
      <c r="B41" s="121" t="inlineStr">
        <is>
          <t>💡 คงเหลือ (Cash Flow) = รายรับ − รายจ่าย − เงินออม   ·   อัตราการออม = เงินออม ÷ รายรับ</t>
        </is>
      </c>
      <c r="C41" s="121" t="n"/>
      <c r="D41" s="121" t="n"/>
      <c r="E41" s="121" t="n"/>
      <c r="F41" s="121" t="n"/>
      <c r="L41" s="46">
        <f>IF(36&lt;=COUNTA($B$6:$B$20),INDEX($B$6:$B$20,36),IF(36&lt;=COUNTA($B$6:$B$20)+COUNTA($D$6:$D$30),INDEX($D$6:$D$30,36-COUNTA($B$6:$B$20)),IF(36&lt;=COUNTA($B$6:$B$20)+COUNTA($D$6:$D$30)+COUNTA($F$6:$F$20),INDEX($F$6:$F$20,36-COUNTA($B$6:$B$20)-COUNTA($D$6:$D$30)),"")))</f>
        <v/>
      </c>
      <c r="M41" s="46">
        <f>IF(36&lt;=COUNTA($B$6:$B$20),"รายรับ",IF(36&lt;=COUNTA($B$6:$B$20)+COUNTA($D$6:$D$30),"รายจ่าย",IF(36&lt;=COUNTA($B$6:$B$20)+COUNTA($D$6:$D$30)+COUNTA($F$6:$F$20),"เงินออม","")))</f>
        <v/>
      </c>
    </row>
    <row r="42" ht="20" customHeight="1">
      <c r="B42" s="121" t="inlineStr">
        <is>
          <t>🟨 ช่องสีเหลือง = ช่องที่กรอกหรือเลือกได้   ·   ช่องสีเทา = ระบบคำนวณให้ ไม่ต้องแก้ไข</t>
        </is>
      </c>
      <c r="C42" s="121" t="n"/>
      <c r="D42" s="121" t="n"/>
      <c r="E42" s="121" t="n"/>
      <c r="F42" s="121" t="n"/>
      <c r="L42" s="46">
        <f>IF(37&lt;=COUNTA($B$6:$B$20),INDEX($B$6:$B$20,37),IF(37&lt;=COUNTA($B$6:$B$20)+COUNTA($D$6:$D$30),INDEX($D$6:$D$30,37-COUNTA($B$6:$B$20)),IF(37&lt;=COUNTA($B$6:$B$20)+COUNTA($D$6:$D$30)+COUNTA($F$6:$F$20),INDEX($F$6:$F$20,37-COUNTA($B$6:$B$20)-COUNTA($D$6:$D$30)),"")))</f>
        <v/>
      </c>
      <c r="M42" s="46">
        <f>IF(37&lt;=COUNTA($B$6:$B$20),"รายรับ",IF(37&lt;=COUNTA($B$6:$B$20)+COUNTA($D$6:$D$30),"รายจ่าย",IF(37&lt;=COUNTA($B$6:$B$20)+COUNTA($D$6:$D$30)+COUNTA($F$6:$F$20),"เงินออม","")))</f>
        <v/>
      </c>
    </row>
    <row r="43">
      <c r="L43" s="46">
        <f>IF(38&lt;=COUNTA($B$6:$B$20),INDEX($B$6:$B$20,38),IF(38&lt;=COUNTA($B$6:$B$20)+COUNTA($D$6:$D$30),INDEX($D$6:$D$30,38-COUNTA($B$6:$B$20)),IF(38&lt;=COUNTA($B$6:$B$20)+COUNTA($D$6:$D$30)+COUNTA($F$6:$F$20),INDEX($F$6:$F$20,38-COUNTA($B$6:$B$20)-COUNTA($D$6:$D$30)),"")))</f>
        <v/>
      </c>
      <c r="M43" s="46">
        <f>IF(38&lt;=COUNTA($B$6:$B$20),"รายรับ",IF(38&lt;=COUNTA($B$6:$B$20)+COUNTA($D$6:$D$30),"รายจ่าย",IF(38&lt;=COUNTA($B$6:$B$20)+COUNTA($D$6:$D$30)+COUNTA($F$6:$F$20),"เงินออม","")))</f>
        <v/>
      </c>
    </row>
    <row r="44">
      <c r="L44" s="46">
        <f>IF(39&lt;=COUNTA($B$6:$B$20),INDEX($B$6:$B$20,39),IF(39&lt;=COUNTA($B$6:$B$20)+COUNTA($D$6:$D$30),INDEX($D$6:$D$30,39-COUNTA($B$6:$B$20)),IF(39&lt;=COUNTA($B$6:$B$20)+COUNTA($D$6:$D$30)+COUNTA($F$6:$F$20),INDEX($F$6:$F$20,39-COUNTA($B$6:$B$20)-COUNTA($D$6:$D$30)),"")))</f>
        <v/>
      </c>
      <c r="M44" s="46">
        <f>IF(39&lt;=COUNTA($B$6:$B$20),"รายรับ",IF(39&lt;=COUNTA($B$6:$B$20)+COUNTA($D$6:$D$30),"รายจ่าย",IF(39&lt;=COUNTA($B$6:$B$20)+COUNTA($D$6:$D$30)+COUNTA($F$6:$F$20),"เงินออม","")))</f>
        <v/>
      </c>
    </row>
    <row r="45">
      <c r="L45" s="46">
        <f>IF(40&lt;=COUNTA($B$6:$B$20),INDEX($B$6:$B$20,40),IF(40&lt;=COUNTA($B$6:$B$20)+COUNTA($D$6:$D$30),INDEX($D$6:$D$30,40-COUNTA($B$6:$B$20)),IF(40&lt;=COUNTA($B$6:$B$20)+COUNTA($D$6:$D$30)+COUNTA($F$6:$F$20),INDEX($F$6:$F$20,40-COUNTA($B$6:$B$20)-COUNTA($D$6:$D$30)),"")))</f>
        <v/>
      </c>
      <c r="M45" s="46">
        <f>IF(40&lt;=COUNTA($B$6:$B$20),"รายรับ",IF(40&lt;=COUNTA($B$6:$B$20)+COUNTA($D$6:$D$30),"รายจ่าย",IF(40&lt;=COUNTA($B$6:$B$20)+COUNTA($D$6:$D$30)+COUNTA($F$6:$F$20),"เงินออม","")))</f>
        <v/>
      </c>
    </row>
    <row r="46">
      <c r="L46" s="46">
        <f>IF(41&lt;=COUNTA($B$6:$B$20),INDEX($B$6:$B$20,41),IF(41&lt;=COUNTA($B$6:$B$20)+COUNTA($D$6:$D$30),INDEX($D$6:$D$30,41-COUNTA($B$6:$B$20)),IF(41&lt;=COUNTA($B$6:$B$20)+COUNTA($D$6:$D$30)+COUNTA($F$6:$F$20),INDEX($F$6:$F$20,41-COUNTA($B$6:$B$20)-COUNTA($D$6:$D$30)),"")))</f>
        <v/>
      </c>
      <c r="M46" s="46">
        <f>IF(41&lt;=COUNTA($B$6:$B$20),"รายรับ",IF(41&lt;=COUNTA($B$6:$B$20)+COUNTA($D$6:$D$30),"รายจ่าย",IF(41&lt;=COUNTA($B$6:$B$20)+COUNTA($D$6:$D$30)+COUNTA($F$6:$F$20),"เงินออม","")))</f>
        <v/>
      </c>
    </row>
    <row r="47">
      <c r="L47" s="46">
        <f>IF(42&lt;=COUNTA($B$6:$B$20),INDEX($B$6:$B$20,42),IF(42&lt;=COUNTA($B$6:$B$20)+COUNTA($D$6:$D$30),INDEX($D$6:$D$30,42-COUNTA($B$6:$B$20)),IF(42&lt;=COUNTA($B$6:$B$20)+COUNTA($D$6:$D$30)+COUNTA($F$6:$F$20),INDEX($F$6:$F$20,42-COUNTA($B$6:$B$20)-COUNTA($D$6:$D$30)),"")))</f>
        <v/>
      </c>
      <c r="M47" s="46">
        <f>IF(42&lt;=COUNTA($B$6:$B$20),"รายรับ",IF(42&lt;=COUNTA($B$6:$B$20)+COUNTA($D$6:$D$30),"รายจ่าย",IF(42&lt;=COUNTA($B$6:$B$20)+COUNTA($D$6:$D$30)+COUNTA($F$6:$F$20),"เงินออม","")))</f>
        <v/>
      </c>
    </row>
    <row r="48">
      <c r="L48" s="46">
        <f>IF(43&lt;=COUNTA($B$6:$B$20),INDEX($B$6:$B$20,43),IF(43&lt;=COUNTA($B$6:$B$20)+COUNTA($D$6:$D$30),INDEX($D$6:$D$30,43-COUNTA($B$6:$B$20)),IF(43&lt;=COUNTA($B$6:$B$20)+COUNTA($D$6:$D$30)+COUNTA($F$6:$F$20),INDEX($F$6:$F$20,43-COUNTA($B$6:$B$20)-COUNTA($D$6:$D$30)),"")))</f>
        <v/>
      </c>
      <c r="M48" s="46">
        <f>IF(43&lt;=COUNTA($B$6:$B$20),"รายรับ",IF(43&lt;=COUNTA($B$6:$B$20)+COUNTA($D$6:$D$30),"รายจ่าย",IF(43&lt;=COUNTA($B$6:$B$20)+COUNTA($D$6:$D$30)+COUNTA($F$6:$F$20),"เงินออม","")))</f>
        <v/>
      </c>
    </row>
    <row r="49">
      <c r="L49" s="46">
        <f>IF(44&lt;=COUNTA($B$6:$B$20),INDEX($B$6:$B$20,44),IF(44&lt;=COUNTA($B$6:$B$20)+COUNTA($D$6:$D$30),INDEX($D$6:$D$30,44-COUNTA($B$6:$B$20)),IF(44&lt;=COUNTA($B$6:$B$20)+COUNTA($D$6:$D$30)+COUNTA($F$6:$F$20),INDEX($F$6:$F$20,44-COUNTA($B$6:$B$20)-COUNTA($D$6:$D$30)),"")))</f>
        <v/>
      </c>
      <c r="M49" s="46">
        <f>IF(44&lt;=COUNTA($B$6:$B$20),"รายรับ",IF(44&lt;=COUNTA($B$6:$B$20)+COUNTA($D$6:$D$30),"รายจ่าย",IF(44&lt;=COUNTA($B$6:$B$20)+COUNTA($D$6:$D$30)+COUNTA($F$6:$F$20),"เงินออม","")))</f>
        <v/>
      </c>
    </row>
    <row r="50">
      <c r="L50" s="46">
        <f>IF(45&lt;=COUNTA($B$6:$B$20),INDEX($B$6:$B$20,45),IF(45&lt;=COUNTA($B$6:$B$20)+COUNTA($D$6:$D$30),INDEX($D$6:$D$30,45-COUNTA($B$6:$B$20)),IF(45&lt;=COUNTA($B$6:$B$20)+COUNTA($D$6:$D$30)+COUNTA($F$6:$F$20),INDEX($F$6:$F$20,45-COUNTA($B$6:$B$20)-COUNTA($D$6:$D$30)),"")))</f>
        <v/>
      </c>
      <c r="M50" s="46">
        <f>IF(45&lt;=COUNTA($B$6:$B$20),"รายรับ",IF(45&lt;=COUNTA($B$6:$B$20)+COUNTA($D$6:$D$30),"รายจ่าย",IF(45&lt;=COUNTA($B$6:$B$20)+COUNTA($D$6:$D$30)+COUNTA($F$6:$F$20),"เงินออม","")))</f>
        <v/>
      </c>
    </row>
    <row r="51">
      <c r="L51" s="46">
        <f>IF(46&lt;=COUNTA($B$6:$B$20),INDEX($B$6:$B$20,46),IF(46&lt;=COUNTA($B$6:$B$20)+COUNTA($D$6:$D$30),INDEX($D$6:$D$30,46-COUNTA($B$6:$B$20)),IF(46&lt;=COUNTA($B$6:$B$20)+COUNTA($D$6:$D$30)+COUNTA($F$6:$F$20),INDEX($F$6:$F$20,46-COUNTA($B$6:$B$20)-COUNTA($D$6:$D$30)),"")))</f>
        <v/>
      </c>
      <c r="M51" s="46">
        <f>IF(46&lt;=COUNTA($B$6:$B$20),"รายรับ",IF(46&lt;=COUNTA($B$6:$B$20)+COUNTA($D$6:$D$30),"รายจ่าย",IF(46&lt;=COUNTA($B$6:$B$20)+COUNTA($D$6:$D$30)+COUNTA($F$6:$F$20),"เงินออม","")))</f>
        <v/>
      </c>
    </row>
    <row r="52">
      <c r="L52" s="46">
        <f>IF(47&lt;=COUNTA($B$6:$B$20),INDEX($B$6:$B$20,47),IF(47&lt;=COUNTA($B$6:$B$20)+COUNTA($D$6:$D$30),INDEX($D$6:$D$30,47-COUNTA($B$6:$B$20)),IF(47&lt;=COUNTA($B$6:$B$20)+COUNTA($D$6:$D$30)+COUNTA($F$6:$F$20),INDEX($F$6:$F$20,47-COUNTA($B$6:$B$20)-COUNTA($D$6:$D$30)),"")))</f>
        <v/>
      </c>
      <c r="M52" s="46">
        <f>IF(47&lt;=COUNTA($B$6:$B$20),"รายรับ",IF(47&lt;=COUNTA($B$6:$B$20)+COUNTA($D$6:$D$30),"รายจ่าย",IF(47&lt;=COUNTA($B$6:$B$20)+COUNTA($D$6:$D$30)+COUNTA($F$6:$F$20),"เงินออม","")))</f>
        <v/>
      </c>
    </row>
    <row r="53">
      <c r="L53" s="46">
        <f>IF(48&lt;=COUNTA($B$6:$B$20),INDEX($B$6:$B$20,48),IF(48&lt;=COUNTA($B$6:$B$20)+COUNTA($D$6:$D$30),INDEX($D$6:$D$30,48-COUNTA($B$6:$B$20)),IF(48&lt;=COUNTA($B$6:$B$20)+COUNTA($D$6:$D$30)+COUNTA($F$6:$F$20),INDEX($F$6:$F$20,48-COUNTA($B$6:$B$20)-COUNTA($D$6:$D$30)),"")))</f>
        <v/>
      </c>
      <c r="M53" s="46">
        <f>IF(48&lt;=COUNTA($B$6:$B$20),"รายรับ",IF(48&lt;=COUNTA($B$6:$B$20)+COUNTA($D$6:$D$30),"รายจ่าย",IF(48&lt;=COUNTA($B$6:$B$20)+COUNTA($D$6:$D$30)+COUNTA($F$6:$F$20),"เงินออม","")))</f>
        <v/>
      </c>
    </row>
    <row r="54">
      <c r="L54" s="46">
        <f>IF(49&lt;=COUNTA($B$6:$B$20),INDEX($B$6:$B$20,49),IF(49&lt;=COUNTA($B$6:$B$20)+COUNTA($D$6:$D$30),INDEX($D$6:$D$30,49-COUNTA($B$6:$B$20)),IF(49&lt;=COUNTA($B$6:$B$20)+COUNTA($D$6:$D$30)+COUNTA($F$6:$F$20),INDEX($F$6:$F$20,49-COUNTA($B$6:$B$20)-COUNTA($D$6:$D$30)),"")))</f>
        <v/>
      </c>
      <c r="M54" s="46">
        <f>IF(49&lt;=COUNTA($B$6:$B$20),"รายรับ",IF(49&lt;=COUNTA($B$6:$B$20)+COUNTA($D$6:$D$30),"รายจ่าย",IF(49&lt;=COUNTA($B$6:$B$20)+COUNTA($D$6:$D$30)+COUNTA($F$6:$F$20),"เงินออม","")))</f>
        <v/>
      </c>
    </row>
    <row r="55">
      <c r="L55" s="46">
        <f>IF(50&lt;=COUNTA($B$6:$B$20),INDEX($B$6:$B$20,50),IF(50&lt;=COUNTA($B$6:$B$20)+COUNTA($D$6:$D$30),INDEX($D$6:$D$30,50-COUNTA($B$6:$B$20)),IF(50&lt;=COUNTA($B$6:$B$20)+COUNTA($D$6:$D$30)+COUNTA($F$6:$F$20),INDEX($F$6:$F$20,50-COUNTA($B$6:$B$20)-COUNTA($D$6:$D$30)),"")))</f>
        <v/>
      </c>
      <c r="M55" s="46">
        <f>IF(50&lt;=COUNTA($B$6:$B$20),"รายรับ",IF(50&lt;=COUNTA($B$6:$B$20)+COUNTA($D$6:$D$30),"รายจ่าย",IF(50&lt;=COUNTA($B$6:$B$20)+COUNTA($D$6:$D$30)+COUNTA($F$6:$F$20),"เงินออม","")))</f>
        <v/>
      </c>
    </row>
    <row r="56">
      <c r="L56" s="46">
        <f>IF(51&lt;=COUNTA($B$6:$B$20),INDEX($B$6:$B$20,51),IF(51&lt;=COUNTA($B$6:$B$20)+COUNTA($D$6:$D$30),INDEX($D$6:$D$30,51-COUNTA($B$6:$B$20)),IF(51&lt;=COUNTA($B$6:$B$20)+COUNTA($D$6:$D$30)+COUNTA($F$6:$F$20),INDEX($F$6:$F$20,51-COUNTA($B$6:$B$20)-COUNTA($D$6:$D$30)),"")))</f>
        <v/>
      </c>
      <c r="M56" s="46">
        <f>IF(51&lt;=COUNTA($B$6:$B$20),"รายรับ",IF(51&lt;=COUNTA($B$6:$B$20)+COUNTA($D$6:$D$30),"รายจ่าย",IF(51&lt;=COUNTA($B$6:$B$20)+COUNTA($D$6:$D$30)+COUNTA($F$6:$F$20),"เงินออม","")))</f>
        <v/>
      </c>
    </row>
    <row r="57">
      <c r="L57" s="46">
        <f>IF(52&lt;=COUNTA($B$6:$B$20),INDEX($B$6:$B$20,52),IF(52&lt;=COUNTA($B$6:$B$20)+COUNTA($D$6:$D$30),INDEX($D$6:$D$30,52-COUNTA($B$6:$B$20)),IF(52&lt;=COUNTA($B$6:$B$20)+COUNTA($D$6:$D$30)+COUNTA($F$6:$F$20),INDEX($F$6:$F$20,52-COUNTA($B$6:$B$20)-COUNTA($D$6:$D$30)),"")))</f>
        <v/>
      </c>
      <c r="M57" s="46">
        <f>IF(52&lt;=COUNTA($B$6:$B$20),"รายรับ",IF(52&lt;=COUNTA($B$6:$B$20)+COUNTA($D$6:$D$30),"รายจ่าย",IF(52&lt;=COUNTA($B$6:$B$20)+COUNTA($D$6:$D$30)+COUNTA($F$6:$F$20),"เงินออม","")))</f>
        <v/>
      </c>
    </row>
    <row r="58">
      <c r="L58" s="46">
        <f>IF(53&lt;=COUNTA($B$6:$B$20),INDEX($B$6:$B$20,53),IF(53&lt;=COUNTA($B$6:$B$20)+COUNTA($D$6:$D$30),INDEX($D$6:$D$30,53-COUNTA($B$6:$B$20)),IF(53&lt;=COUNTA($B$6:$B$20)+COUNTA($D$6:$D$30)+COUNTA($F$6:$F$20),INDEX($F$6:$F$20,53-COUNTA($B$6:$B$20)-COUNTA($D$6:$D$30)),"")))</f>
        <v/>
      </c>
      <c r="M58" s="46">
        <f>IF(53&lt;=COUNTA($B$6:$B$20),"รายรับ",IF(53&lt;=COUNTA($B$6:$B$20)+COUNTA($D$6:$D$30),"รายจ่าย",IF(53&lt;=COUNTA($B$6:$B$20)+COUNTA($D$6:$D$30)+COUNTA($F$6:$F$20),"เงินออม","")))</f>
        <v/>
      </c>
    </row>
    <row r="59">
      <c r="L59" s="46">
        <f>IF(54&lt;=COUNTA($B$6:$B$20),INDEX($B$6:$B$20,54),IF(54&lt;=COUNTA($B$6:$B$20)+COUNTA($D$6:$D$30),INDEX($D$6:$D$30,54-COUNTA($B$6:$B$20)),IF(54&lt;=COUNTA($B$6:$B$20)+COUNTA($D$6:$D$30)+COUNTA($F$6:$F$20),INDEX($F$6:$F$20,54-COUNTA($B$6:$B$20)-COUNTA($D$6:$D$30)),"")))</f>
        <v/>
      </c>
      <c r="M59" s="46">
        <f>IF(54&lt;=COUNTA($B$6:$B$20),"รายรับ",IF(54&lt;=COUNTA($B$6:$B$20)+COUNTA($D$6:$D$30),"รายจ่าย",IF(54&lt;=COUNTA($B$6:$B$20)+COUNTA($D$6:$D$30)+COUNTA($F$6:$F$20),"เงินออม","")))</f>
        <v/>
      </c>
    </row>
    <row r="60">
      <c r="L60" s="46">
        <f>IF(55&lt;=COUNTA($B$6:$B$20),INDEX($B$6:$B$20,55),IF(55&lt;=COUNTA($B$6:$B$20)+COUNTA($D$6:$D$30),INDEX($D$6:$D$30,55-COUNTA($B$6:$B$20)),IF(55&lt;=COUNTA($B$6:$B$20)+COUNTA($D$6:$D$30)+COUNTA($F$6:$F$20),INDEX($F$6:$F$20,55-COUNTA($B$6:$B$20)-COUNTA($D$6:$D$30)),"")))</f>
        <v/>
      </c>
      <c r="M60" s="46">
        <f>IF(55&lt;=COUNTA($B$6:$B$20),"รายรับ",IF(55&lt;=COUNTA($B$6:$B$20)+COUNTA($D$6:$D$30),"รายจ่าย",IF(55&lt;=COUNTA($B$6:$B$20)+COUNTA($D$6:$D$30)+COUNTA($F$6:$F$20),"เงินออม","")))</f>
        <v/>
      </c>
    </row>
  </sheetData>
  <mergeCells count="13">
    <mergeCell ref="B39:F39"/>
    <mergeCell ref="B38:F38"/>
    <mergeCell ref="B2:F2"/>
    <mergeCell ref="B34:F34"/>
    <mergeCell ref="B33:F33"/>
    <mergeCell ref="H4:M4"/>
    <mergeCell ref="B42:F42"/>
    <mergeCell ref="B3:F3"/>
    <mergeCell ref="B37:F37"/>
    <mergeCell ref="B36:F36"/>
    <mergeCell ref="B40:F40"/>
    <mergeCell ref="B41:F41"/>
    <mergeCell ref="B35:F3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2026-10-02T17:29:49Z</dcterms:created>
  <dcterms:modified xmlns:dcterms="http://purl.org/dc/terms/" xmlns:xsi="http://www.w3.org/2001/XMLSchema-instance" xsi:type="dcterms:W3CDTF">2026-10-02T17:29:51Z</dcterms:modified>
</cp:coreProperties>
</file>